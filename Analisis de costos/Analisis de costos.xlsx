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varas/Documents/VScode/FlightLog AQI/Analisis de costos/"/>
    </mc:Choice>
  </mc:AlternateContent>
  <xr:revisionPtr revIDLastSave="0" documentId="8_{D62872E2-39A4-7D47-B432-A1A2C12BC7EF}" xr6:coauthVersionLast="47" xr6:coauthVersionMax="47" xr10:uidLastSave="{00000000-0000-0000-0000-000000000000}"/>
  <bookViews>
    <workbookView xWindow="0" yWindow="740" windowWidth="30240" windowHeight="18900" xr2:uid="{527A39D4-531F-5E46-BD05-60CC344C8C69}"/>
  </bookViews>
  <sheets>
    <sheet name="Analisis de Costos" sheetId="1" r:id="rId1"/>
  </sheets>
  <externalReferences>
    <externalReference r:id="rId2"/>
  </externalReferences>
  <definedNames>
    <definedName name="Años">[1]Variables!$A$1:$A$5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G23" i="1"/>
  <c r="F23" i="1"/>
  <c r="D21" i="1"/>
  <c r="G21" i="1" s="1"/>
  <c r="F19" i="1"/>
  <c r="G19" i="1" s="1"/>
  <c r="K13" i="1"/>
  <c r="L13" i="1" s="1"/>
  <c r="K12" i="1"/>
  <c r="L12" i="1" s="1"/>
  <c r="C12" i="1"/>
  <c r="K11" i="1"/>
  <c r="L11" i="1" s="1"/>
  <c r="H11" i="1"/>
  <c r="C15" i="1" s="1"/>
  <c r="C11" i="1"/>
  <c r="I9" i="1" s="1"/>
  <c r="K10" i="1"/>
  <c r="L10" i="1" s="1"/>
  <c r="K9" i="1"/>
  <c r="L9" i="1" s="1"/>
  <c r="K8" i="1"/>
  <c r="L8" i="1" s="1"/>
  <c r="K7" i="1"/>
  <c r="L7" i="1" s="1"/>
  <c r="C7" i="1"/>
  <c r="H6" i="1"/>
  <c r="I6" i="1" s="1"/>
  <c r="C6" i="1"/>
  <c r="I5" i="1"/>
  <c r="C10" i="1" l="1"/>
  <c r="D29" i="1"/>
  <c r="D30" i="1"/>
  <c r="I11" i="1"/>
  <c r="C44" i="1"/>
  <c r="C9" i="1"/>
  <c r="D18" i="1" s="1"/>
  <c r="F18" i="1" s="1"/>
  <c r="D22" i="1"/>
  <c r="C40" i="1"/>
  <c r="C45" i="1" s="1"/>
  <c r="F21" i="1"/>
  <c r="C8" i="1"/>
  <c r="I10" i="1"/>
  <c r="D31" i="1" s="1"/>
  <c r="G18" i="1" l="1"/>
  <c r="D32" i="1"/>
  <c r="D24" i="1"/>
  <c r="F24" i="1" s="1"/>
  <c r="G24" i="1" s="1"/>
  <c r="C38" i="1" s="1"/>
  <c r="D20" i="1"/>
  <c r="F22" i="1"/>
  <c r="G22" i="1"/>
  <c r="C43" i="1" l="1"/>
  <c r="C39" i="1"/>
  <c r="F20" i="1"/>
  <c r="F25" i="1" s="1"/>
  <c r="G20" i="1"/>
  <c r="D25" i="1"/>
  <c r="G26" i="1" l="1"/>
  <c r="C35" i="1" s="1"/>
  <c r="C42" i="1" s="1"/>
  <c r="G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Santiago Varas</author>
  </authors>
  <commentList>
    <comment ref="D19" authorId="0" shapeId="0" xr:uid="{1A5E4E5B-F181-634B-A5BE-1637095F5AE9}">
      <text>
        <r>
          <rPr>
            <b/>
            <sz val="10"/>
            <color rgb="FF000000"/>
            <rFont val="Tahoma"/>
            <family val="2"/>
          </rPr>
          <t>Santiago Varas: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=(C13*'https://d.docs.live.net/028FBC3688E6692A/Documentos/[Construcción Hangar.xlsx]Escenarios'!$B$30)+(40000*12)+(20000*12)</t>
        </r>
      </text>
    </comment>
  </commentList>
</comments>
</file>

<file path=xl/sharedStrings.xml><?xml version="1.0" encoding="utf-8"?>
<sst xmlns="http://schemas.openxmlformats.org/spreadsheetml/2006/main" count="68" uniqueCount="54">
  <si>
    <t>C-172 N</t>
  </si>
  <si>
    <t>CC-AQI</t>
  </si>
  <si>
    <t>UF</t>
  </si>
  <si>
    <t>Variables</t>
  </si>
  <si>
    <t>USD</t>
  </si>
  <si>
    <t xml:space="preserve">pesos </t>
  </si>
  <si>
    <t xml:space="preserve">Consumos </t>
  </si>
  <si>
    <t>GAL / hr.</t>
  </si>
  <si>
    <t>Litros / hr.</t>
  </si>
  <si>
    <t xml:space="preserve">Combustible </t>
  </si>
  <si>
    <t>CLP Litro Avgas</t>
  </si>
  <si>
    <t xml:space="preserve">Aceite </t>
  </si>
  <si>
    <t>Año</t>
  </si>
  <si>
    <t>Total</t>
  </si>
  <si>
    <t>Prom. Mensual</t>
  </si>
  <si>
    <t>CLP Litro Aceite</t>
  </si>
  <si>
    <t>TOA</t>
  </si>
  <si>
    <t>Mantto</t>
  </si>
  <si>
    <t>Ciclo Hrs.</t>
  </si>
  <si>
    <t>CLP / Hr.</t>
  </si>
  <si>
    <t>Seguro USD</t>
  </si>
  <si>
    <t>dólares</t>
  </si>
  <si>
    <t>100 hrs</t>
  </si>
  <si>
    <t xml:space="preserve">Cambio Aceite </t>
  </si>
  <si>
    <t>Cambio aceite</t>
  </si>
  <si>
    <t>Revisión 100 hrs</t>
  </si>
  <si>
    <t>Overhaul</t>
  </si>
  <si>
    <t>Horas Anuales</t>
  </si>
  <si>
    <t xml:space="preserve">horas </t>
  </si>
  <si>
    <t>Tacómetro Actual</t>
  </si>
  <si>
    <t>Años Remanentes</t>
  </si>
  <si>
    <t>Costos</t>
  </si>
  <si>
    <t>Fijos</t>
  </si>
  <si>
    <t>Mes</t>
  </si>
  <si>
    <t>Hora</t>
  </si>
  <si>
    <t>Seguro</t>
  </si>
  <si>
    <t>Hangar</t>
  </si>
  <si>
    <t>TOA + Patentes</t>
  </si>
  <si>
    <t>Contingencias</t>
  </si>
  <si>
    <t>Impuesto Lujo + Contador</t>
  </si>
  <si>
    <t>Limpieza</t>
  </si>
  <si>
    <t xml:space="preserve">Total Fijo/ hora </t>
  </si>
  <si>
    <t>Combustible</t>
  </si>
  <si>
    <t>Aceite</t>
  </si>
  <si>
    <t>Total Variable/ hora</t>
  </si>
  <si>
    <t>Total costo hora</t>
  </si>
  <si>
    <t>Cash Overhaul</t>
  </si>
  <si>
    <t>Credito Overhaul</t>
  </si>
  <si>
    <t xml:space="preserve">Recaudado </t>
  </si>
  <si>
    <t>Valor Hora</t>
  </si>
  <si>
    <t>Ganancia/ Hora</t>
  </si>
  <si>
    <t>Falta</t>
  </si>
  <si>
    <t>Años remanente Overhaul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</si>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</sst>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$&quot;* #,##0_-;\-&quot;$&quot;* #,##0_-;_-&quot;$&quot;* &quot;-&quot;_-;_-@_-"/>
    <numFmt numFmtId="164" formatCode="0.0"/>
    <numFmt numFmtId="165" formatCode="&quot;$&quot;#,##0"/>
    <numFmt numFmtId="166" formatCode="_-&quot;$&quot;* #,##0.0_-;\-&quot;$&quot;* #,##0.0_-;_-&quot;$&quot;* &quot;-&quot;_-;_-@_-"/>
    <numFmt numFmtId="167" formatCode="_-&quot;$&quot;* #,##0.0_-;\-&quot;$&quot;* #,##0.0_-;_-&quot;$&quot;* &quot;-&quot;?_-;_-@_-"/>
    <numFmt numFmtId="168" formatCode="_-&quot;$&quot;* #,##0_-;\-&quot;$&quot;* #,##0_-;_-&quot;$&quot;* &quot;-&quot;??_-;_-@_-"/>
    <numFmt numFmtId="169" formatCode="_-&quot;$&quot;* #,##0_-;\-&quot;$&quot;* #,##0_-;_-&quot;$&quot;* &quot;-&quot;?_-;_-@_-"/>
    <numFmt numFmtId="170" formatCode="&quot;$&quot;#,##0.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9411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1"/>
      <color theme="1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9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165" fontId="6" fillId="0" borderId="0" xfId="0" applyNumberFormat="1" applyFont="1"/>
    <xf numFmtId="165" fontId="6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/>
    </xf>
    <xf numFmtId="42" fontId="6" fillId="4" borderId="8" xfId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/>
    </xf>
    <xf numFmtId="42" fontId="6" fillId="4" borderId="14" xfId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42" fontId="6" fillId="0" borderId="0" xfId="1" applyFont="1"/>
    <xf numFmtId="0" fontId="7" fillId="2" borderId="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/>
    </xf>
    <xf numFmtId="2" fontId="6" fillId="4" borderId="19" xfId="0" applyNumberFormat="1" applyFont="1" applyFill="1" applyBorder="1" applyAlignment="1">
      <alignment horizontal="center" vertical="center"/>
    </xf>
    <xf numFmtId="2" fontId="6" fillId="4" borderId="2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66" fontId="6" fillId="4" borderId="14" xfId="1" applyNumberFormat="1" applyFont="1" applyFill="1" applyBorder="1" applyAlignment="1">
      <alignment horizontal="center" vertical="center"/>
    </xf>
    <xf numFmtId="42" fontId="6" fillId="4" borderId="9" xfId="0" applyNumberFormat="1" applyFont="1" applyFill="1" applyBorder="1" applyAlignment="1">
      <alignment horizontal="center" vertical="center"/>
    </xf>
    <xf numFmtId="14" fontId="6" fillId="0" borderId="0" xfId="0" applyNumberFormat="1" applyFont="1"/>
    <xf numFmtId="0" fontId="6" fillId="3" borderId="13" xfId="0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42" fontId="6" fillId="4" borderId="15" xfId="0" applyNumberFormat="1" applyFont="1" applyFill="1" applyBorder="1" applyAlignment="1">
      <alignment horizontal="center" vertical="center"/>
    </xf>
    <xf numFmtId="164" fontId="6" fillId="4" borderId="19" xfId="0" applyNumberFormat="1" applyFont="1" applyFill="1" applyBorder="1" applyAlignment="1">
      <alignment horizontal="center" vertical="center"/>
    </xf>
    <xf numFmtId="42" fontId="6" fillId="4" borderId="20" xfId="0" applyNumberFormat="1" applyFont="1" applyFill="1" applyBorder="1" applyAlignment="1">
      <alignment horizontal="center" vertical="center"/>
    </xf>
    <xf numFmtId="42" fontId="9" fillId="0" borderId="0" xfId="0" applyNumberFormat="1" applyFont="1"/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2" fontId="6" fillId="0" borderId="0" xfId="0" applyNumberFormat="1" applyFont="1"/>
    <xf numFmtId="1" fontId="6" fillId="4" borderId="14" xfId="1" applyNumberFormat="1" applyFont="1" applyFill="1" applyBorder="1" applyAlignment="1">
      <alignment horizontal="right" vertical="center"/>
    </xf>
    <xf numFmtId="1" fontId="6" fillId="0" borderId="0" xfId="0" applyNumberFormat="1" applyFont="1"/>
    <xf numFmtId="164" fontId="6" fillId="4" borderId="14" xfId="1" applyNumberFormat="1" applyFont="1" applyFill="1" applyBorder="1" applyAlignment="1">
      <alignment horizontal="center" vertical="center"/>
    </xf>
    <xf numFmtId="164" fontId="6" fillId="4" borderId="15" xfId="1" applyNumberFormat="1" applyFont="1" applyFill="1" applyBorder="1" applyAlignment="1">
      <alignment horizontal="center" vertical="center"/>
    </xf>
    <xf numFmtId="0" fontId="9" fillId="0" borderId="0" xfId="0" applyFont="1"/>
    <xf numFmtId="0" fontId="7" fillId="2" borderId="23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/>
    </xf>
    <xf numFmtId="2" fontId="6" fillId="4" borderId="19" xfId="1" applyNumberFormat="1" applyFont="1" applyFill="1" applyBorder="1" applyAlignment="1">
      <alignment horizontal="center" vertical="center"/>
    </xf>
    <xf numFmtId="2" fontId="6" fillId="4" borderId="20" xfId="1" applyNumberFormat="1" applyFont="1" applyFill="1" applyBorder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/>
    </xf>
    <xf numFmtId="1" fontId="6" fillId="5" borderId="2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 wrapText="1"/>
    </xf>
    <xf numFmtId="42" fontId="6" fillId="4" borderId="11" xfId="1" applyFont="1" applyFill="1" applyBorder="1" applyAlignment="1">
      <alignment horizontal="center" vertical="center"/>
    </xf>
    <xf numFmtId="42" fontId="6" fillId="4" borderId="24" xfId="1" applyFont="1" applyFill="1" applyBorder="1" applyAlignment="1">
      <alignment horizontal="center" vertical="center"/>
    </xf>
    <xf numFmtId="42" fontId="6" fillId="4" borderId="8" xfId="1" applyFont="1" applyFill="1" applyBorder="1" applyAlignment="1">
      <alignment horizontal="center"/>
    </xf>
    <xf numFmtId="42" fontId="6" fillId="4" borderId="9" xfId="1" applyFont="1" applyFill="1" applyBorder="1" applyAlignment="1">
      <alignment horizontal="center" vertical="center"/>
    </xf>
    <xf numFmtId="42" fontId="6" fillId="4" borderId="21" xfId="1" applyFont="1" applyFill="1" applyBorder="1" applyAlignment="1">
      <alignment horizontal="center" vertical="center"/>
    </xf>
    <xf numFmtId="42" fontId="6" fillId="4" borderId="25" xfId="1" applyFont="1" applyFill="1" applyBorder="1" applyAlignment="1">
      <alignment horizontal="center" vertical="center"/>
    </xf>
    <xf numFmtId="42" fontId="6" fillId="4" borderId="14" xfId="1" applyFont="1" applyFill="1" applyBorder="1" applyAlignment="1">
      <alignment horizontal="center"/>
    </xf>
    <xf numFmtId="42" fontId="6" fillId="4" borderId="15" xfId="1" applyFont="1" applyFill="1" applyBorder="1" applyAlignment="1">
      <alignment horizontal="center" vertical="center"/>
    </xf>
    <xf numFmtId="42" fontId="11" fillId="0" borderId="0" xfId="0" applyNumberFormat="1" applyFont="1" applyAlignment="1">
      <alignment horizontal="center" vertical="center"/>
    </xf>
    <xf numFmtId="0" fontId="8" fillId="3" borderId="13" xfId="0" applyFont="1" applyFill="1" applyBorder="1" applyAlignment="1">
      <alignment horizontal="left"/>
    </xf>
    <xf numFmtId="168" fontId="6" fillId="4" borderId="19" xfId="0" applyNumberFormat="1" applyFont="1" applyFill="1" applyBorder="1" applyAlignment="1">
      <alignment horizontal="center"/>
    </xf>
    <xf numFmtId="168" fontId="6" fillId="4" borderId="19" xfId="0" applyNumberFormat="1" applyFont="1" applyFill="1" applyBorder="1"/>
    <xf numFmtId="168" fontId="6" fillId="4" borderId="20" xfId="0" applyNumberFormat="1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left"/>
    </xf>
    <xf numFmtId="42" fontId="7" fillId="4" borderId="27" xfId="1" applyFont="1" applyFill="1" applyBorder="1" applyAlignment="1">
      <alignment horizontal="center" vertical="center"/>
    </xf>
    <xf numFmtId="42" fontId="7" fillId="4" borderId="28" xfId="1" applyFont="1" applyFill="1" applyBorder="1" applyAlignment="1">
      <alignment horizontal="center" vertical="center"/>
    </xf>
    <xf numFmtId="42" fontId="7" fillId="4" borderId="29" xfId="1" applyFont="1" applyFill="1" applyBorder="1" applyAlignment="1">
      <alignment horizontal="center"/>
    </xf>
    <xf numFmtId="42" fontId="7" fillId="4" borderId="30" xfId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2" fontId="7" fillId="6" borderId="3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42" fontId="7" fillId="6" borderId="6" xfId="0" applyNumberFormat="1" applyFont="1" applyFill="1" applyBorder="1" applyAlignment="1">
      <alignment horizontal="center" vertical="center"/>
    </xf>
    <xf numFmtId="42" fontId="6" fillId="0" borderId="0" xfId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1" applyFont="1" applyAlignment="1">
      <alignment horizontal="center" vertical="center"/>
    </xf>
    <xf numFmtId="42" fontId="7" fillId="6" borderId="3" xfId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42" fontId="6" fillId="0" borderId="0" xfId="0" applyNumberFormat="1" applyFont="1" applyAlignment="1">
      <alignment horizontal="center"/>
    </xf>
    <xf numFmtId="42" fontId="7" fillId="6" borderId="6" xfId="1" applyFont="1" applyFill="1" applyBorder="1" applyAlignment="1">
      <alignment horizontal="center" vertical="center"/>
    </xf>
    <xf numFmtId="42" fontId="6" fillId="0" borderId="0" xfId="1" applyFont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42" fontId="13" fillId="6" borderId="3" xfId="0" applyNumberFormat="1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42" fontId="13" fillId="6" borderId="6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5" fontId="3" fillId="0" borderId="9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5" fontId="2" fillId="7" borderId="32" xfId="0" applyNumberFormat="1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6" fillId="0" borderId="33" xfId="0" applyNumberFormat="1" applyFont="1" applyBorder="1" applyAlignment="1">
      <alignment horizontal="center" vertical="center"/>
    </xf>
    <xf numFmtId="169" fontId="8" fillId="0" borderId="0" xfId="0" applyNumberFormat="1" applyFont="1"/>
    <xf numFmtId="0" fontId="6" fillId="0" borderId="34" xfId="0" applyFont="1" applyBorder="1" applyAlignment="1">
      <alignment horizontal="center"/>
    </xf>
    <xf numFmtId="165" fontId="6" fillId="0" borderId="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165" fontId="6" fillId="0" borderId="14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/>
    </xf>
    <xf numFmtId="165" fontId="14" fillId="0" borderId="14" xfId="0" applyNumberFormat="1" applyFont="1" applyBorder="1" applyAlignment="1">
      <alignment horizontal="center"/>
    </xf>
    <xf numFmtId="2" fontId="6" fillId="0" borderId="14" xfId="0" applyNumberFormat="1" applyFont="1" applyBorder="1" applyAlignment="1">
      <alignment horizontal="center" vertical="center"/>
    </xf>
    <xf numFmtId="170" fontId="6" fillId="0" borderId="14" xfId="0" applyNumberFormat="1" applyFont="1" applyBorder="1" applyAlignment="1">
      <alignment horizontal="center" vertical="center"/>
    </xf>
    <xf numFmtId="4" fontId="15" fillId="0" borderId="0" xfId="0" applyNumberFormat="1" applyFont="1"/>
    <xf numFmtId="2" fontId="6" fillId="0" borderId="0" xfId="1" applyNumberFormat="1" applyFont="1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8FBC3688E6692A/Documentos/Bitacora%20AQI.xlsx" TargetMode="External"/><Relationship Id="rId1" Type="http://schemas.openxmlformats.org/officeDocument/2006/relationships/externalLinkPath" Target="https://d.docs.live.net/028FBC3688E6692A/Documentos/Bitacora%20AQ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bro"/>
      <sheetName val="13nov"/>
      <sheetName val="13nov2"/>
      <sheetName val="Presupuesto Viaje México"/>
      <sheetName val="Presupuesto Viaje Europa"/>
      <sheetName val="Ceres Flight Progression "/>
      <sheetName val="Informe 4oct21"/>
      <sheetName val="Hoja1"/>
      <sheetName val="Costos"/>
      <sheetName val="Pilotos"/>
      <sheetName val="Pendientes de Pago"/>
      <sheetName val="Detalle Pilotos"/>
      <sheetName val="Ceres"/>
      <sheetName val="Pago Overhaul"/>
      <sheetName val="Vuelos Mexico Ops"/>
      <sheetName val="Vuelos Airpull-Ceres"/>
      <sheetName val="SII F29 y Contador"/>
      <sheetName val="Vuelos Aerotrust-Ceres"/>
      <sheetName val="Sheet1"/>
      <sheetName val="Payment Differences"/>
      <sheetName val="Facturas 580 y 576"/>
      <sheetName val="Cuenta"/>
      <sheetName val="Combustible"/>
      <sheetName val="Sheet2"/>
      <sheetName val="Hoja5"/>
      <sheetName val="Presupuesto Viaje España 04-24"/>
      <sheetName val="Europe 89"/>
      <sheetName val="Aerotrust 88"/>
      <sheetName val="Europe 87"/>
      <sheetName val="Aerotrust 86"/>
      <sheetName val="Europe 85"/>
      <sheetName val="Aerotrust 84"/>
      <sheetName val="Aerotrust 83"/>
      <sheetName val="Aerotrust 82"/>
      <sheetName val="Aerotrust 81"/>
      <sheetName val="Aerotrust 80"/>
      <sheetName val="Aerotrust 79"/>
      <sheetName val="Aerotrust 78"/>
      <sheetName val="Aerotrust 77"/>
      <sheetName val="Aerotrust 76"/>
      <sheetName val="Aerotrust 75"/>
      <sheetName val="Aerotrust 74"/>
      <sheetName val="Aerotrust 73"/>
      <sheetName val="Aerotrust 72"/>
      <sheetName val="Aerotrust 71"/>
      <sheetName val="Aerotrust 70"/>
      <sheetName val="Aerotrust 69"/>
      <sheetName val="Aerotrust 68"/>
      <sheetName val="Aerotrust 67"/>
      <sheetName val="Aerotrust 66"/>
      <sheetName val="Aerotrust 65"/>
      <sheetName val="Aerotrust 64"/>
      <sheetName val="Aerotrust 63"/>
      <sheetName val="Aerotrust 62"/>
      <sheetName val="Aerotrust 61"/>
      <sheetName val="Aerotrust 60"/>
      <sheetName val="Aerotrust 59"/>
      <sheetName val="Europe 58"/>
      <sheetName val="Europe 57"/>
      <sheetName val="Europe 56"/>
      <sheetName val="Aerotrust 55"/>
      <sheetName val="Europe 54"/>
      <sheetName val="Aerotrust 53"/>
      <sheetName val="Aerotrust 52"/>
      <sheetName val="Europe 51"/>
      <sheetName val="Europe 50"/>
      <sheetName val="Aerotrust 49"/>
      <sheetName val="Aerotrust 48"/>
      <sheetName val="Aerotrust 47"/>
      <sheetName val="Aerotrust 46"/>
      <sheetName val="Aerotrust 45"/>
      <sheetName val="Aerotrust 44"/>
      <sheetName val="Aerotrust 43"/>
      <sheetName val="Aerotrust 42"/>
      <sheetName val="Aerotrust 41"/>
      <sheetName val="Aerotrust 40"/>
      <sheetName val="Aerotrust 39"/>
      <sheetName val="Aerotrust 38"/>
      <sheetName val="Aerotrust 37"/>
      <sheetName val="Aerotrust 36"/>
      <sheetName val="Aerotrust 35"/>
      <sheetName val="Aerotrust 34"/>
      <sheetName val="Aerotrust 33"/>
      <sheetName val="Aerotrust 32"/>
      <sheetName val="Aerotrust 31"/>
      <sheetName val="Aerotrust 30"/>
      <sheetName val="Aerotrust 29"/>
      <sheetName val="Aerotrust 28"/>
      <sheetName val="Aerotrust 27"/>
      <sheetName val="Aerotrust 26"/>
      <sheetName val="Aerotrust 25"/>
      <sheetName val="Aerotrust 24"/>
      <sheetName val="Aerotrust 23"/>
      <sheetName val="Aerotrust 22"/>
      <sheetName val="Aerotrust 21"/>
      <sheetName val="Aerotrust 20"/>
      <sheetName val="Aerotrust 19"/>
      <sheetName val="Aerotrust 18"/>
      <sheetName val="Aerotrust 17"/>
      <sheetName val="Aerotrust 16"/>
      <sheetName val="Aerotrust 15"/>
      <sheetName val="Aerotrust 14"/>
      <sheetName val="Aerotrust 13"/>
      <sheetName val="Aerotrust 12"/>
      <sheetName val="Aerotrust 11"/>
      <sheetName val="Aerotrust 10"/>
      <sheetName val="Aerotrust 9"/>
      <sheetName val="Aerotrust 8"/>
      <sheetName val="Aerotrust 7"/>
      <sheetName val="Aerotrust 6"/>
      <sheetName val="Aerotrust 5 "/>
      <sheetName val="Hoja2"/>
      <sheetName val="Detalle anexo"/>
      <sheetName val="Analisis de Costos"/>
      <sheetName val="Info Pilotos Seguro"/>
      <sheetName val="Valor curso PCA"/>
      <sheetName val="Valor curso Instructor"/>
      <sheetName val="Valor curso Convalidación"/>
      <sheetName val="Valor curso PPA"/>
      <sheetName val="Proyectos"/>
      <sheetName val="Variables"/>
      <sheetName val="Reunión Flypro 30aug24"/>
    </sheetNames>
    <sheetDataSet>
      <sheetData sheetId="0">
        <row r="1">
          <cell r="J1" t="str">
            <v>Dif. Hobbs</v>
          </cell>
          <cell r="U1" t="str">
            <v>Año</v>
          </cell>
        </row>
        <row r="2">
          <cell r="U2">
            <v>2017</v>
          </cell>
        </row>
        <row r="3">
          <cell r="U3">
            <v>2017</v>
          </cell>
        </row>
        <row r="4">
          <cell r="U4">
            <v>2017</v>
          </cell>
        </row>
        <row r="5">
          <cell r="J5">
            <v>0.8</v>
          </cell>
          <cell r="U5">
            <v>2017</v>
          </cell>
        </row>
        <row r="6">
          <cell r="J6">
            <v>0.5</v>
          </cell>
          <cell r="U6">
            <v>2017</v>
          </cell>
        </row>
        <row r="7">
          <cell r="J7">
            <v>0.7</v>
          </cell>
          <cell r="U7">
            <v>2017</v>
          </cell>
        </row>
        <row r="8">
          <cell r="J8">
            <v>0.6</v>
          </cell>
          <cell r="U8">
            <v>2017</v>
          </cell>
        </row>
        <row r="9">
          <cell r="J9">
            <v>0.9</v>
          </cell>
          <cell r="U9">
            <v>2017</v>
          </cell>
        </row>
        <row r="10">
          <cell r="J10">
            <v>0.4</v>
          </cell>
          <cell r="U10">
            <v>2017</v>
          </cell>
        </row>
        <row r="11">
          <cell r="J11">
            <v>2</v>
          </cell>
          <cell r="U11">
            <v>2017</v>
          </cell>
        </row>
        <row r="12">
          <cell r="J12">
            <v>0.6</v>
          </cell>
          <cell r="U12">
            <v>2017</v>
          </cell>
        </row>
        <row r="13">
          <cell r="J13">
            <v>0.6</v>
          </cell>
          <cell r="U13">
            <v>2017</v>
          </cell>
        </row>
        <row r="14">
          <cell r="J14">
            <v>1.3</v>
          </cell>
          <cell r="U14">
            <v>2017</v>
          </cell>
        </row>
        <row r="15">
          <cell r="J15">
            <v>0.5</v>
          </cell>
          <cell r="U15">
            <v>2017</v>
          </cell>
        </row>
        <row r="16">
          <cell r="J16">
            <v>0.5</v>
          </cell>
          <cell r="U16">
            <v>2017</v>
          </cell>
        </row>
        <row r="17">
          <cell r="J17">
            <v>0.6</v>
          </cell>
          <cell r="U17">
            <v>2017</v>
          </cell>
        </row>
        <row r="18">
          <cell r="J18">
            <v>1.3</v>
          </cell>
          <cell r="U18">
            <v>2017</v>
          </cell>
        </row>
        <row r="19">
          <cell r="J19">
            <v>0.4</v>
          </cell>
          <cell r="U19">
            <v>2017</v>
          </cell>
        </row>
        <row r="20">
          <cell r="J20">
            <v>1.2</v>
          </cell>
          <cell r="U20">
            <v>2017</v>
          </cell>
        </row>
        <row r="21">
          <cell r="J21">
            <v>1.2</v>
          </cell>
          <cell r="U21">
            <v>2018</v>
          </cell>
        </row>
        <row r="22">
          <cell r="J22">
            <v>1.6</v>
          </cell>
          <cell r="U22">
            <v>2018</v>
          </cell>
        </row>
        <row r="23">
          <cell r="J23">
            <v>1.2</v>
          </cell>
          <cell r="U23">
            <v>2018</v>
          </cell>
        </row>
        <row r="24">
          <cell r="J24">
            <v>0.4</v>
          </cell>
          <cell r="U24">
            <v>2018</v>
          </cell>
        </row>
        <row r="25">
          <cell r="J25">
            <v>1.2</v>
          </cell>
          <cell r="U25">
            <v>2018</v>
          </cell>
        </row>
        <row r="26">
          <cell r="J26">
            <v>0.8</v>
          </cell>
          <cell r="U26">
            <v>2018</v>
          </cell>
        </row>
        <row r="27">
          <cell r="J27">
            <v>2.4</v>
          </cell>
          <cell r="U27">
            <v>2018</v>
          </cell>
        </row>
        <row r="28">
          <cell r="J28">
            <v>1.4</v>
          </cell>
          <cell r="U28">
            <v>2018</v>
          </cell>
        </row>
        <row r="29">
          <cell r="J29">
            <v>4.2</v>
          </cell>
          <cell r="U29">
            <v>2018</v>
          </cell>
        </row>
        <row r="30">
          <cell r="J30">
            <v>0.3</v>
          </cell>
          <cell r="U30">
            <v>2018</v>
          </cell>
        </row>
        <row r="31">
          <cell r="J31">
            <v>0.3</v>
          </cell>
          <cell r="U31">
            <v>2018</v>
          </cell>
        </row>
        <row r="32">
          <cell r="J32">
            <v>0.8</v>
          </cell>
          <cell r="U32">
            <v>2018</v>
          </cell>
        </row>
        <row r="33">
          <cell r="J33">
            <v>0.3</v>
          </cell>
          <cell r="U33">
            <v>2018</v>
          </cell>
        </row>
        <row r="34">
          <cell r="J34">
            <v>1.1000000000000001</v>
          </cell>
          <cell r="U34">
            <v>2018</v>
          </cell>
        </row>
        <row r="35">
          <cell r="J35">
            <v>0.3</v>
          </cell>
          <cell r="U35">
            <v>2018</v>
          </cell>
        </row>
        <row r="36">
          <cell r="J36">
            <v>0.7</v>
          </cell>
          <cell r="U36">
            <v>2018</v>
          </cell>
        </row>
        <row r="37">
          <cell r="J37">
            <v>0.9</v>
          </cell>
          <cell r="U37">
            <v>2018</v>
          </cell>
        </row>
        <row r="38">
          <cell r="J38">
            <v>0.9</v>
          </cell>
          <cell r="U38">
            <v>2018</v>
          </cell>
        </row>
        <row r="39">
          <cell r="J39">
            <v>1</v>
          </cell>
          <cell r="U39">
            <v>2018</v>
          </cell>
        </row>
        <row r="40">
          <cell r="J40">
            <v>0.8</v>
          </cell>
          <cell r="U40">
            <v>2018</v>
          </cell>
        </row>
        <row r="41">
          <cell r="J41">
            <v>0.6</v>
          </cell>
          <cell r="U41">
            <v>2018</v>
          </cell>
        </row>
        <row r="42">
          <cell r="J42">
            <v>0.6</v>
          </cell>
          <cell r="U42">
            <v>2018</v>
          </cell>
        </row>
        <row r="43">
          <cell r="J43">
            <v>0.6</v>
          </cell>
          <cell r="U43">
            <v>2018</v>
          </cell>
        </row>
        <row r="44">
          <cell r="J44">
            <v>0.5</v>
          </cell>
          <cell r="U44">
            <v>2018</v>
          </cell>
        </row>
        <row r="45">
          <cell r="J45">
            <v>0.5</v>
          </cell>
          <cell r="U45">
            <v>2018</v>
          </cell>
        </row>
        <row r="46">
          <cell r="J46">
            <v>1</v>
          </cell>
          <cell r="U46">
            <v>2018</v>
          </cell>
        </row>
        <row r="47">
          <cell r="J47">
            <v>0.8</v>
          </cell>
          <cell r="U47">
            <v>2018</v>
          </cell>
        </row>
        <row r="48">
          <cell r="J48">
            <v>0.3</v>
          </cell>
          <cell r="U48">
            <v>2018</v>
          </cell>
        </row>
        <row r="49">
          <cell r="J49">
            <v>3.4</v>
          </cell>
          <cell r="U49">
            <v>2018</v>
          </cell>
        </row>
        <row r="50">
          <cell r="J50">
            <v>1.1000000000000001</v>
          </cell>
          <cell r="U50">
            <v>2018</v>
          </cell>
        </row>
        <row r="51">
          <cell r="J51">
            <v>1.2</v>
          </cell>
          <cell r="U51">
            <v>2018</v>
          </cell>
        </row>
        <row r="52">
          <cell r="J52">
            <v>0.9</v>
          </cell>
          <cell r="U52">
            <v>2018</v>
          </cell>
        </row>
        <row r="53">
          <cell r="J53">
            <v>1.1000000000000001</v>
          </cell>
          <cell r="U53">
            <v>2018</v>
          </cell>
        </row>
        <row r="54">
          <cell r="J54">
            <v>1.6</v>
          </cell>
          <cell r="U54">
            <v>2018</v>
          </cell>
        </row>
        <row r="55">
          <cell r="J55">
            <v>2.9</v>
          </cell>
          <cell r="U55">
            <v>2018</v>
          </cell>
        </row>
        <row r="56">
          <cell r="J56">
            <v>1.7</v>
          </cell>
          <cell r="U56">
            <v>2018</v>
          </cell>
        </row>
        <row r="57">
          <cell r="J57">
            <v>2.2000000000000002</v>
          </cell>
          <cell r="U57">
            <v>2018</v>
          </cell>
        </row>
        <row r="58">
          <cell r="J58">
            <v>2.6</v>
          </cell>
          <cell r="U58">
            <v>2018</v>
          </cell>
        </row>
        <row r="59">
          <cell r="J59">
            <v>2.2000000000000002</v>
          </cell>
          <cell r="U59">
            <v>2018</v>
          </cell>
        </row>
        <row r="60">
          <cell r="J60">
            <v>2.9</v>
          </cell>
          <cell r="U60">
            <v>2018</v>
          </cell>
        </row>
        <row r="61">
          <cell r="J61">
            <v>1.3</v>
          </cell>
          <cell r="U61">
            <v>2018</v>
          </cell>
        </row>
        <row r="62">
          <cell r="J62">
            <v>1</v>
          </cell>
          <cell r="U62">
            <v>2018</v>
          </cell>
        </row>
        <row r="63">
          <cell r="J63">
            <v>2.9</v>
          </cell>
          <cell r="U63">
            <v>2018</v>
          </cell>
        </row>
        <row r="64">
          <cell r="J64">
            <v>2.2999999999999998</v>
          </cell>
          <cell r="U64">
            <v>2018</v>
          </cell>
        </row>
        <row r="65">
          <cell r="J65">
            <v>0.8</v>
          </cell>
          <cell r="U65">
            <v>2018</v>
          </cell>
        </row>
        <row r="66">
          <cell r="J66">
            <v>0.9</v>
          </cell>
          <cell r="U66">
            <v>2018</v>
          </cell>
        </row>
        <row r="67">
          <cell r="J67">
            <v>0.1</v>
          </cell>
          <cell r="U67">
            <v>2018</v>
          </cell>
        </row>
        <row r="68">
          <cell r="J68">
            <v>2.2999999999999998</v>
          </cell>
          <cell r="U68">
            <v>2018</v>
          </cell>
        </row>
        <row r="69">
          <cell r="J69">
            <v>0.7</v>
          </cell>
          <cell r="U69">
            <v>2018</v>
          </cell>
        </row>
        <row r="70">
          <cell r="J70">
            <v>1.1000000000000001</v>
          </cell>
          <cell r="U70">
            <v>2018</v>
          </cell>
        </row>
        <row r="71">
          <cell r="J71">
            <v>1.6</v>
          </cell>
          <cell r="U71">
            <v>2018</v>
          </cell>
        </row>
        <row r="72">
          <cell r="J72">
            <v>1</v>
          </cell>
          <cell r="U72">
            <v>2018</v>
          </cell>
        </row>
        <row r="73">
          <cell r="J73">
            <v>1.8</v>
          </cell>
          <cell r="U73">
            <v>2018</v>
          </cell>
        </row>
        <row r="74">
          <cell r="J74">
            <v>1.7</v>
          </cell>
          <cell r="U74">
            <v>2018</v>
          </cell>
        </row>
        <row r="75">
          <cell r="J75">
            <v>0.8</v>
          </cell>
          <cell r="U75">
            <v>2018</v>
          </cell>
        </row>
        <row r="76">
          <cell r="J76">
            <v>0.1</v>
          </cell>
          <cell r="U76">
            <v>2018</v>
          </cell>
        </row>
        <row r="77">
          <cell r="J77">
            <v>0.4</v>
          </cell>
          <cell r="U77">
            <v>2018</v>
          </cell>
        </row>
        <row r="78">
          <cell r="J78">
            <v>0.8</v>
          </cell>
          <cell r="U78">
            <v>2018</v>
          </cell>
        </row>
        <row r="79">
          <cell r="J79">
            <v>5.0999999999999996</v>
          </cell>
          <cell r="U79">
            <v>2018</v>
          </cell>
        </row>
        <row r="80">
          <cell r="J80">
            <v>0.1</v>
          </cell>
          <cell r="U80">
            <v>2018</v>
          </cell>
        </row>
        <row r="81">
          <cell r="J81">
            <v>3.2</v>
          </cell>
          <cell r="U81">
            <v>2018</v>
          </cell>
        </row>
        <row r="82">
          <cell r="J82">
            <v>0.6</v>
          </cell>
          <cell r="U82">
            <v>2018</v>
          </cell>
        </row>
        <row r="83">
          <cell r="J83">
            <v>0.7</v>
          </cell>
          <cell r="U83">
            <v>2018</v>
          </cell>
        </row>
        <row r="84">
          <cell r="J84">
            <v>1.6</v>
          </cell>
          <cell r="U84">
            <v>2018</v>
          </cell>
        </row>
        <row r="85">
          <cell r="J85">
            <v>2</v>
          </cell>
          <cell r="U85">
            <v>2018</v>
          </cell>
        </row>
        <row r="86">
          <cell r="J86">
            <v>1.4</v>
          </cell>
          <cell r="U86">
            <v>2018</v>
          </cell>
        </row>
        <row r="87">
          <cell r="J87">
            <v>2.2999999999999998</v>
          </cell>
          <cell r="U87">
            <v>2018</v>
          </cell>
        </row>
        <row r="88">
          <cell r="J88">
            <v>0.3</v>
          </cell>
          <cell r="U88">
            <v>2018</v>
          </cell>
        </row>
        <row r="89">
          <cell r="J89">
            <v>2.5</v>
          </cell>
          <cell r="U89">
            <v>2018</v>
          </cell>
        </row>
        <row r="90">
          <cell r="J90">
            <v>3.1</v>
          </cell>
          <cell r="U90">
            <v>2018</v>
          </cell>
        </row>
        <row r="91">
          <cell r="J91">
            <v>1.8</v>
          </cell>
          <cell r="U91">
            <v>2018</v>
          </cell>
        </row>
        <row r="92">
          <cell r="J92">
            <v>1.5</v>
          </cell>
          <cell r="U92">
            <v>2018</v>
          </cell>
        </row>
        <row r="93">
          <cell r="J93">
            <v>1.2</v>
          </cell>
          <cell r="U93">
            <v>2018</v>
          </cell>
        </row>
        <row r="94">
          <cell r="J94">
            <v>0.2</v>
          </cell>
          <cell r="U94">
            <v>2018</v>
          </cell>
        </row>
        <row r="95">
          <cell r="J95">
            <v>2.5</v>
          </cell>
          <cell r="U95">
            <v>2018</v>
          </cell>
        </row>
        <row r="96">
          <cell r="J96">
            <v>1.9</v>
          </cell>
          <cell r="U96">
            <v>2018</v>
          </cell>
        </row>
        <row r="97">
          <cell r="J97">
            <v>1.4</v>
          </cell>
          <cell r="U97">
            <v>2018</v>
          </cell>
        </row>
        <row r="98">
          <cell r="J98">
            <v>2.8</v>
          </cell>
          <cell r="U98">
            <v>2018</v>
          </cell>
        </row>
        <row r="99">
          <cell r="J99">
            <v>2.1</v>
          </cell>
          <cell r="U99">
            <v>2018</v>
          </cell>
        </row>
        <row r="100">
          <cell r="J100">
            <v>2.6</v>
          </cell>
          <cell r="U100">
            <v>2018</v>
          </cell>
        </row>
        <row r="101">
          <cell r="J101">
            <v>0.3</v>
          </cell>
          <cell r="U101">
            <v>2018</v>
          </cell>
        </row>
        <row r="102">
          <cell r="J102">
            <v>2.7</v>
          </cell>
          <cell r="U102">
            <v>2018</v>
          </cell>
        </row>
        <row r="103">
          <cell r="J103">
            <v>0.7</v>
          </cell>
          <cell r="U103">
            <v>2018</v>
          </cell>
        </row>
        <row r="104">
          <cell r="J104">
            <v>0.8</v>
          </cell>
          <cell r="U104">
            <v>2018</v>
          </cell>
        </row>
        <row r="105">
          <cell r="J105">
            <v>3.1</v>
          </cell>
          <cell r="U105">
            <v>2018</v>
          </cell>
        </row>
        <row r="106">
          <cell r="J106">
            <v>1</v>
          </cell>
          <cell r="U106">
            <v>2018</v>
          </cell>
        </row>
        <row r="107">
          <cell r="J107">
            <v>2.5</v>
          </cell>
          <cell r="U107">
            <v>2018</v>
          </cell>
        </row>
        <row r="108">
          <cell r="J108">
            <v>1.7</v>
          </cell>
          <cell r="U108">
            <v>2018</v>
          </cell>
        </row>
        <row r="109">
          <cell r="J109">
            <v>1</v>
          </cell>
          <cell r="U109">
            <v>2018</v>
          </cell>
        </row>
        <row r="110">
          <cell r="J110">
            <v>2.6</v>
          </cell>
          <cell r="U110">
            <v>2018</v>
          </cell>
        </row>
        <row r="111">
          <cell r="J111">
            <v>2.5</v>
          </cell>
          <cell r="U111">
            <v>2018</v>
          </cell>
        </row>
        <row r="112">
          <cell r="J112">
            <v>1.3</v>
          </cell>
          <cell r="U112">
            <v>2018</v>
          </cell>
        </row>
        <row r="113">
          <cell r="J113">
            <v>2.6</v>
          </cell>
          <cell r="U113">
            <v>2018</v>
          </cell>
        </row>
        <row r="114">
          <cell r="J114">
            <v>1.7</v>
          </cell>
          <cell r="U114">
            <v>2018</v>
          </cell>
        </row>
        <row r="115">
          <cell r="J115">
            <v>0.6</v>
          </cell>
          <cell r="U115">
            <v>2018</v>
          </cell>
        </row>
        <row r="116">
          <cell r="J116">
            <v>1.2</v>
          </cell>
          <cell r="U116">
            <v>2018</v>
          </cell>
        </row>
        <row r="117">
          <cell r="J117">
            <v>2.2000000000000002</v>
          </cell>
          <cell r="U117">
            <v>2018</v>
          </cell>
        </row>
        <row r="118">
          <cell r="J118">
            <v>2.2999999999999998</v>
          </cell>
          <cell r="U118">
            <v>2018</v>
          </cell>
        </row>
        <row r="119">
          <cell r="J119">
            <v>2.2000000000000002</v>
          </cell>
          <cell r="U119">
            <v>2018</v>
          </cell>
        </row>
        <row r="120">
          <cell r="J120">
            <v>2.7</v>
          </cell>
          <cell r="U120">
            <v>2018</v>
          </cell>
        </row>
        <row r="121">
          <cell r="J121">
            <v>3.1</v>
          </cell>
          <cell r="U121">
            <v>2018</v>
          </cell>
        </row>
        <row r="122">
          <cell r="J122">
            <v>2.8</v>
          </cell>
          <cell r="U122">
            <v>2018</v>
          </cell>
        </row>
        <row r="123">
          <cell r="J123">
            <v>0.2</v>
          </cell>
          <cell r="U123">
            <v>2018</v>
          </cell>
        </row>
        <row r="124">
          <cell r="J124">
            <v>1.8</v>
          </cell>
          <cell r="U124">
            <v>2018</v>
          </cell>
        </row>
        <row r="125">
          <cell r="J125">
            <v>2.2000000000000002</v>
          </cell>
          <cell r="U125">
            <v>2018</v>
          </cell>
        </row>
        <row r="126">
          <cell r="J126">
            <v>2.9</v>
          </cell>
          <cell r="U126">
            <v>2018</v>
          </cell>
        </row>
        <row r="127">
          <cell r="J127">
            <v>2.2000000000000002</v>
          </cell>
          <cell r="U127">
            <v>2018</v>
          </cell>
        </row>
        <row r="128">
          <cell r="J128">
            <v>3.3</v>
          </cell>
          <cell r="U128">
            <v>2018</v>
          </cell>
        </row>
        <row r="129">
          <cell r="J129">
            <v>2.5</v>
          </cell>
          <cell r="U129">
            <v>2018</v>
          </cell>
        </row>
        <row r="130">
          <cell r="J130">
            <v>1.5</v>
          </cell>
          <cell r="U130">
            <v>2018</v>
          </cell>
        </row>
        <row r="131">
          <cell r="J131">
            <v>2.4</v>
          </cell>
          <cell r="U131">
            <v>2018</v>
          </cell>
        </row>
        <row r="132">
          <cell r="J132">
            <v>2.9</v>
          </cell>
          <cell r="U132">
            <v>2018</v>
          </cell>
        </row>
        <row r="133">
          <cell r="J133">
            <v>1.7</v>
          </cell>
          <cell r="U133">
            <v>2018</v>
          </cell>
        </row>
        <row r="134">
          <cell r="J134">
            <v>2.8</v>
          </cell>
          <cell r="U134">
            <v>2018</v>
          </cell>
        </row>
        <row r="135">
          <cell r="J135">
            <v>3.4</v>
          </cell>
          <cell r="U135">
            <v>2018</v>
          </cell>
        </row>
        <row r="136">
          <cell r="J136">
            <v>1.1000000000000001</v>
          </cell>
          <cell r="U136">
            <v>2018</v>
          </cell>
        </row>
        <row r="137">
          <cell r="J137">
            <v>1.4</v>
          </cell>
          <cell r="U137">
            <v>2018</v>
          </cell>
        </row>
        <row r="138">
          <cell r="J138">
            <v>3.1</v>
          </cell>
          <cell r="U138">
            <v>2018</v>
          </cell>
        </row>
        <row r="139">
          <cell r="J139">
            <v>2.4</v>
          </cell>
          <cell r="U139">
            <v>2018</v>
          </cell>
        </row>
        <row r="140">
          <cell r="J140">
            <v>2.9</v>
          </cell>
          <cell r="U140">
            <v>2018</v>
          </cell>
        </row>
        <row r="141">
          <cell r="J141">
            <v>2.9</v>
          </cell>
          <cell r="U141">
            <v>2018</v>
          </cell>
        </row>
        <row r="142">
          <cell r="J142">
            <v>2.5</v>
          </cell>
          <cell r="U142">
            <v>2018</v>
          </cell>
        </row>
        <row r="143">
          <cell r="J143">
            <v>0.7</v>
          </cell>
          <cell r="U143">
            <v>2018</v>
          </cell>
        </row>
        <row r="144">
          <cell r="J144">
            <v>3</v>
          </cell>
          <cell r="U144">
            <v>2018</v>
          </cell>
        </row>
        <row r="145">
          <cell r="J145">
            <v>1.6</v>
          </cell>
          <cell r="U145">
            <v>2018</v>
          </cell>
        </row>
        <row r="146">
          <cell r="J146">
            <v>2.2000000000000002</v>
          </cell>
          <cell r="U146">
            <v>2018</v>
          </cell>
        </row>
        <row r="147">
          <cell r="J147">
            <v>1.5</v>
          </cell>
          <cell r="U147">
            <v>2018</v>
          </cell>
        </row>
        <row r="148">
          <cell r="J148">
            <v>0.4</v>
          </cell>
          <cell r="U148">
            <v>2018</v>
          </cell>
        </row>
        <row r="149">
          <cell r="J149">
            <v>2</v>
          </cell>
          <cell r="U149">
            <v>2018</v>
          </cell>
        </row>
        <row r="150">
          <cell r="J150">
            <v>2.8</v>
          </cell>
          <cell r="U150">
            <v>2018</v>
          </cell>
        </row>
        <row r="151">
          <cell r="J151">
            <v>1.1000000000000001</v>
          </cell>
          <cell r="U151">
            <v>2018</v>
          </cell>
        </row>
        <row r="152">
          <cell r="J152">
            <v>2.6</v>
          </cell>
          <cell r="U152">
            <v>2018</v>
          </cell>
        </row>
        <row r="153">
          <cell r="J153">
            <v>0.7</v>
          </cell>
          <cell r="U153">
            <v>2018</v>
          </cell>
        </row>
        <row r="154">
          <cell r="J154">
            <v>5</v>
          </cell>
          <cell r="U154">
            <v>2018</v>
          </cell>
        </row>
        <row r="155">
          <cell r="J155">
            <v>0.5</v>
          </cell>
          <cell r="U155">
            <v>2018</v>
          </cell>
        </row>
        <row r="156">
          <cell r="J156">
            <v>1.3</v>
          </cell>
          <cell r="U156">
            <v>2018</v>
          </cell>
        </row>
        <row r="157">
          <cell r="J157">
            <v>0.6</v>
          </cell>
          <cell r="U157">
            <v>2018</v>
          </cell>
        </row>
        <row r="158">
          <cell r="J158">
            <v>0.6</v>
          </cell>
          <cell r="U158">
            <v>2018</v>
          </cell>
        </row>
        <row r="159">
          <cell r="J159">
            <v>2.6</v>
          </cell>
          <cell r="U159">
            <v>2018</v>
          </cell>
        </row>
        <row r="160">
          <cell r="J160">
            <v>2.1</v>
          </cell>
          <cell r="U160">
            <v>2018</v>
          </cell>
        </row>
        <row r="161">
          <cell r="J161">
            <v>1.5</v>
          </cell>
          <cell r="U161">
            <v>2018</v>
          </cell>
        </row>
        <row r="162">
          <cell r="J162">
            <v>2.2999999999999998</v>
          </cell>
          <cell r="U162">
            <v>2018</v>
          </cell>
        </row>
        <row r="163">
          <cell r="J163">
            <v>2.5</v>
          </cell>
          <cell r="U163">
            <v>2018</v>
          </cell>
        </row>
        <row r="164">
          <cell r="J164">
            <v>2.5</v>
          </cell>
          <cell r="U164">
            <v>2018</v>
          </cell>
        </row>
        <row r="165">
          <cell r="J165">
            <v>1.1000000000000001</v>
          </cell>
          <cell r="U165">
            <v>2018</v>
          </cell>
        </row>
        <row r="166">
          <cell r="J166">
            <v>1.1000000000000001</v>
          </cell>
          <cell r="U166">
            <v>2018</v>
          </cell>
        </row>
        <row r="167">
          <cell r="J167">
            <v>2.4</v>
          </cell>
          <cell r="U167">
            <v>2018</v>
          </cell>
        </row>
        <row r="168">
          <cell r="J168">
            <v>3</v>
          </cell>
          <cell r="U168">
            <v>2018</v>
          </cell>
        </row>
        <row r="169">
          <cell r="J169">
            <v>2.1</v>
          </cell>
          <cell r="U169">
            <v>2018</v>
          </cell>
        </row>
        <row r="170">
          <cell r="J170">
            <v>3.6</v>
          </cell>
          <cell r="U170">
            <v>2018</v>
          </cell>
        </row>
        <row r="171">
          <cell r="J171">
            <v>2.5</v>
          </cell>
          <cell r="U171">
            <v>2018</v>
          </cell>
        </row>
        <row r="172">
          <cell r="J172">
            <v>2.6</v>
          </cell>
          <cell r="U172">
            <v>2018</v>
          </cell>
        </row>
        <row r="173">
          <cell r="J173">
            <v>2.1</v>
          </cell>
          <cell r="U173">
            <v>2018</v>
          </cell>
        </row>
        <row r="174">
          <cell r="J174">
            <v>1.5</v>
          </cell>
          <cell r="U174">
            <v>2018</v>
          </cell>
        </row>
        <row r="175">
          <cell r="J175">
            <v>1.1000000000000001</v>
          </cell>
          <cell r="U175">
            <v>2018</v>
          </cell>
        </row>
        <row r="176">
          <cell r="J176">
            <v>2.6</v>
          </cell>
          <cell r="U176">
            <v>2018</v>
          </cell>
        </row>
        <row r="177">
          <cell r="J177">
            <v>0.9</v>
          </cell>
          <cell r="U177">
            <v>2018</v>
          </cell>
        </row>
        <row r="178">
          <cell r="J178">
            <v>1.7</v>
          </cell>
          <cell r="U178">
            <v>2018</v>
          </cell>
        </row>
        <row r="179">
          <cell r="J179">
            <v>0.5</v>
          </cell>
          <cell r="U179">
            <v>2018</v>
          </cell>
        </row>
        <row r="180">
          <cell r="J180">
            <v>1.9</v>
          </cell>
          <cell r="U180">
            <v>2018</v>
          </cell>
        </row>
        <row r="181">
          <cell r="J181">
            <v>2.2000000000000002</v>
          </cell>
          <cell r="U181">
            <v>2018</v>
          </cell>
        </row>
        <row r="182">
          <cell r="J182">
            <v>2.6</v>
          </cell>
          <cell r="U182">
            <v>2018</v>
          </cell>
        </row>
        <row r="183">
          <cell r="J183">
            <v>2.1</v>
          </cell>
          <cell r="U183">
            <v>2018</v>
          </cell>
        </row>
        <row r="184">
          <cell r="J184">
            <v>1.1000000000000001</v>
          </cell>
          <cell r="U184">
            <v>2018</v>
          </cell>
        </row>
        <row r="185">
          <cell r="J185">
            <v>2.8</v>
          </cell>
          <cell r="U185">
            <v>2018</v>
          </cell>
        </row>
        <row r="186">
          <cell r="J186">
            <v>2.5</v>
          </cell>
          <cell r="U186">
            <v>2018</v>
          </cell>
        </row>
        <row r="187">
          <cell r="J187">
            <v>1.6</v>
          </cell>
          <cell r="U187">
            <v>2018</v>
          </cell>
        </row>
        <row r="188">
          <cell r="J188">
            <v>0.1</v>
          </cell>
          <cell r="U188">
            <v>2018</v>
          </cell>
        </row>
        <row r="189">
          <cell r="J189">
            <v>0.6</v>
          </cell>
          <cell r="U189">
            <v>2018</v>
          </cell>
        </row>
        <row r="190">
          <cell r="J190">
            <v>2.7</v>
          </cell>
          <cell r="U190">
            <v>2018</v>
          </cell>
        </row>
        <row r="191">
          <cell r="J191">
            <v>2.1</v>
          </cell>
          <cell r="U191">
            <v>2018</v>
          </cell>
        </row>
        <row r="192">
          <cell r="J192">
            <v>3.3</v>
          </cell>
          <cell r="U192">
            <v>2018</v>
          </cell>
        </row>
        <row r="193">
          <cell r="J193">
            <v>3.2</v>
          </cell>
          <cell r="U193">
            <v>2018</v>
          </cell>
        </row>
        <row r="194">
          <cell r="J194">
            <v>2</v>
          </cell>
          <cell r="U194">
            <v>2018</v>
          </cell>
        </row>
        <row r="195">
          <cell r="J195">
            <v>2.5</v>
          </cell>
          <cell r="U195">
            <v>2018</v>
          </cell>
        </row>
        <row r="196">
          <cell r="J196">
            <v>3.6</v>
          </cell>
          <cell r="U196">
            <v>2018</v>
          </cell>
        </row>
        <row r="197">
          <cell r="J197">
            <v>1.9</v>
          </cell>
          <cell r="U197">
            <v>2018</v>
          </cell>
        </row>
        <row r="198">
          <cell r="J198">
            <v>2.2000000000000002</v>
          </cell>
          <cell r="U198">
            <v>2018</v>
          </cell>
        </row>
        <row r="199">
          <cell r="J199">
            <v>1.5</v>
          </cell>
          <cell r="U199">
            <v>2018</v>
          </cell>
        </row>
        <row r="200">
          <cell r="J200">
            <v>3.4</v>
          </cell>
          <cell r="U200">
            <v>2018</v>
          </cell>
        </row>
        <row r="201">
          <cell r="J201">
            <v>1.9</v>
          </cell>
          <cell r="U201">
            <v>2018</v>
          </cell>
        </row>
        <row r="202">
          <cell r="J202">
            <v>0.7</v>
          </cell>
          <cell r="U202">
            <v>2018</v>
          </cell>
        </row>
        <row r="203">
          <cell r="J203">
            <v>0.6</v>
          </cell>
          <cell r="U203">
            <v>2018</v>
          </cell>
        </row>
        <row r="204">
          <cell r="J204">
            <v>3.2</v>
          </cell>
          <cell r="U204">
            <v>2018</v>
          </cell>
        </row>
        <row r="205">
          <cell r="J205">
            <v>1.6</v>
          </cell>
          <cell r="U205">
            <v>2018</v>
          </cell>
        </row>
        <row r="206">
          <cell r="J206">
            <v>1.4</v>
          </cell>
          <cell r="U206">
            <v>2018</v>
          </cell>
        </row>
        <row r="207">
          <cell r="J207">
            <v>2.2999999999999998</v>
          </cell>
          <cell r="U207">
            <v>2018</v>
          </cell>
        </row>
        <row r="208">
          <cell r="J208">
            <v>0.5</v>
          </cell>
          <cell r="U208">
            <v>2018</v>
          </cell>
        </row>
        <row r="209">
          <cell r="J209">
            <v>1.6</v>
          </cell>
          <cell r="U209">
            <v>2018</v>
          </cell>
        </row>
        <row r="210">
          <cell r="J210">
            <v>2.2000000000000002</v>
          </cell>
          <cell r="U210">
            <v>2018</v>
          </cell>
        </row>
        <row r="211">
          <cell r="J211">
            <v>1.5</v>
          </cell>
          <cell r="U211">
            <v>2018</v>
          </cell>
        </row>
        <row r="212">
          <cell r="J212">
            <v>3.2</v>
          </cell>
          <cell r="U212">
            <v>2018</v>
          </cell>
        </row>
        <row r="213">
          <cell r="J213">
            <v>1.5</v>
          </cell>
          <cell r="U213">
            <v>2018</v>
          </cell>
        </row>
        <row r="214">
          <cell r="J214">
            <v>3.2</v>
          </cell>
          <cell r="U214">
            <v>2018</v>
          </cell>
        </row>
        <row r="215">
          <cell r="J215">
            <v>1.4</v>
          </cell>
          <cell r="U215">
            <v>2018</v>
          </cell>
        </row>
        <row r="216">
          <cell r="J216">
            <v>2.1</v>
          </cell>
          <cell r="U216">
            <v>2018</v>
          </cell>
        </row>
        <row r="217">
          <cell r="J217">
            <v>2.7</v>
          </cell>
          <cell r="U217">
            <v>2018</v>
          </cell>
        </row>
        <row r="218">
          <cell r="J218">
            <v>1.1000000000000001</v>
          </cell>
          <cell r="U218">
            <v>2018</v>
          </cell>
        </row>
        <row r="219">
          <cell r="J219">
            <v>1.9</v>
          </cell>
          <cell r="U219">
            <v>2018</v>
          </cell>
        </row>
        <row r="220">
          <cell r="J220">
            <v>1.3</v>
          </cell>
          <cell r="U220">
            <v>2018</v>
          </cell>
        </row>
        <row r="221">
          <cell r="J221">
            <v>1.2</v>
          </cell>
          <cell r="U221">
            <v>2018</v>
          </cell>
        </row>
        <row r="222">
          <cell r="J222">
            <v>0.7</v>
          </cell>
          <cell r="U222">
            <v>2018</v>
          </cell>
        </row>
        <row r="223">
          <cell r="J223">
            <v>1.6</v>
          </cell>
          <cell r="U223">
            <v>2018</v>
          </cell>
        </row>
        <row r="224">
          <cell r="J224">
            <v>0.5</v>
          </cell>
          <cell r="U224">
            <v>2018</v>
          </cell>
        </row>
        <row r="225">
          <cell r="J225">
            <v>3.1</v>
          </cell>
          <cell r="U225">
            <v>2018</v>
          </cell>
        </row>
        <row r="226">
          <cell r="J226">
            <v>1.7</v>
          </cell>
          <cell r="U226">
            <v>2018</v>
          </cell>
        </row>
        <row r="227">
          <cell r="J227">
            <v>0.6</v>
          </cell>
          <cell r="U227">
            <v>2018</v>
          </cell>
        </row>
        <row r="228">
          <cell r="J228">
            <v>1.4</v>
          </cell>
          <cell r="U228">
            <v>2018</v>
          </cell>
        </row>
        <row r="229">
          <cell r="J229">
            <v>0.5</v>
          </cell>
          <cell r="U229">
            <v>2018</v>
          </cell>
        </row>
        <row r="230">
          <cell r="J230">
            <v>0.8</v>
          </cell>
          <cell r="U230">
            <v>2018</v>
          </cell>
        </row>
        <row r="231">
          <cell r="J231">
            <v>0.6</v>
          </cell>
          <cell r="U231">
            <v>2018</v>
          </cell>
        </row>
        <row r="232">
          <cell r="J232">
            <v>0.5</v>
          </cell>
          <cell r="U232">
            <v>2018</v>
          </cell>
        </row>
        <row r="233">
          <cell r="J233">
            <v>3.3</v>
          </cell>
          <cell r="U233">
            <v>2018</v>
          </cell>
        </row>
        <row r="234">
          <cell r="J234">
            <v>1</v>
          </cell>
          <cell r="U234">
            <v>2018</v>
          </cell>
        </row>
        <row r="235">
          <cell r="J235">
            <v>3.1</v>
          </cell>
          <cell r="U235">
            <v>2018</v>
          </cell>
        </row>
        <row r="236">
          <cell r="J236">
            <v>3</v>
          </cell>
          <cell r="U236">
            <v>2018</v>
          </cell>
        </row>
        <row r="237">
          <cell r="J237">
            <v>1.6</v>
          </cell>
          <cell r="U237">
            <v>2018</v>
          </cell>
        </row>
        <row r="238">
          <cell r="J238">
            <v>3.3</v>
          </cell>
          <cell r="U238">
            <v>2018</v>
          </cell>
        </row>
        <row r="239">
          <cell r="J239">
            <v>2.5</v>
          </cell>
          <cell r="U239">
            <v>2018</v>
          </cell>
        </row>
        <row r="240">
          <cell r="J240">
            <v>1.5</v>
          </cell>
          <cell r="U240">
            <v>2018</v>
          </cell>
        </row>
        <row r="241">
          <cell r="J241">
            <v>1.4</v>
          </cell>
          <cell r="U241">
            <v>2018</v>
          </cell>
        </row>
        <row r="242">
          <cell r="J242">
            <v>0.3</v>
          </cell>
          <cell r="U242">
            <v>2018</v>
          </cell>
        </row>
        <row r="243">
          <cell r="J243">
            <v>1.5</v>
          </cell>
          <cell r="U243">
            <v>2018</v>
          </cell>
        </row>
        <row r="244">
          <cell r="J244">
            <v>3</v>
          </cell>
          <cell r="U244">
            <v>2018</v>
          </cell>
        </row>
        <row r="245">
          <cell r="J245">
            <v>1.6</v>
          </cell>
          <cell r="U245">
            <v>2018</v>
          </cell>
        </row>
        <row r="246">
          <cell r="J246">
            <v>1.7</v>
          </cell>
          <cell r="U246">
            <v>2018</v>
          </cell>
        </row>
        <row r="247">
          <cell r="J247">
            <v>1.2</v>
          </cell>
          <cell r="U247">
            <v>2018</v>
          </cell>
        </row>
        <row r="248">
          <cell r="J248">
            <v>2.1</v>
          </cell>
          <cell r="U248">
            <v>2018</v>
          </cell>
        </row>
        <row r="249">
          <cell r="J249">
            <v>0.8</v>
          </cell>
          <cell r="U249">
            <v>2018</v>
          </cell>
        </row>
        <row r="250">
          <cell r="J250">
            <v>0.2</v>
          </cell>
          <cell r="U250">
            <v>2018</v>
          </cell>
        </row>
        <row r="251">
          <cell r="J251">
            <v>1.5</v>
          </cell>
          <cell r="U251">
            <v>2018</v>
          </cell>
        </row>
        <row r="252">
          <cell r="J252">
            <v>0.2</v>
          </cell>
          <cell r="U252">
            <v>2018</v>
          </cell>
        </row>
        <row r="253">
          <cell r="J253">
            <v>2.6</v>
          </cell>
          <cell r="U253">
            <v>2018</v>
          </cell>
        </row>
        <row r="254">
          <cell r="J254">
            <v>2.2000000000000002</v>
          </cell>
          <cell r="U254">
            <v>2018</v>
          </cell>
        </row>
        <row r="255">
          <cell r="J255">
            <v>0.9</v>
          </cell>
          <cell r="U255">
            <v>2018</v>
          </cell>
        </row>
        <row r="256">
          <cell r="J256">
            <v>0.7</v>
          </cell>
          <cell r="U256">
            <v>2018</v>
          </cell>
        </row>
        <row r="257">
          <cell r="J257">
            <v>3.2</v>
          </cell>
          <cell r="U257">
            <v>2018</v>
          </cell>
        </row>
        <row r="258">
          <cell r="J258">
            <v>2.7</v>
          </cell>
          <cell r="U258">
            <v>2018</v>
          </cell>
        </row>
        <row r="259">
          <cell r="J259">
            <v>2.8</v>
          </cell>
          <cell r="U259">
            <v>2018</v>
          </cell>
        </row>
        <row r="260">
          <cell r="J260">
            <v>2.4</v>
          </cell>
          <cell r="U260">
            <v>2018</v>
          </cell>
        </row>
        <row r="261">
          <cell r="J261">
            <v>1</v>
          </cell>
          <cell r="U261">
            <v>2019</v>
          </cell>
        </row>
        <row r="262">
          <cell r="J262">
            <v>2</v>
          </cell>
          <cell r="U262">
            <v>2019</v>
          </cell>
        </row>
        <row r="263">
          <cell r="J263">
            <v>0.1</v>
          </cell>
          <cell r="U263">
            <v>2019</v>
          </cell>
        </row>
        <row r="264">
          <cell r="J264">
            <v>1.3</v>
          </cell>
          <cell r="U264">
            <v>2019</v>
          </cell>
        </row>
        <row r="265">
          <cell r="J265">
            <v>2.2999999999999998</v>
          </cell>
          <cell r="U265">
            <v>2019</v>
          </cell>
        </row>
        <row r="266">
          <cell r="J266">
            <v>1.1000000000000001</v>
          </cell>
          <cell r="U266">
            <v>2019</v>
          </cell>
        </row>
        <row r="267">
          <cell r="J267">
            <v>0.6</v>
          </cell>
          <cell r="U267">
            <v>2019</v>
          </cell>
        </row>
        <row r="268">
          <cell r="J268">
            <v>1.5</v>
          </cell>
          <cell r="U268">
            <v>2019</v>
          </cell>
        </row>
        <row r="269">
          <cell r="J269">
            <v>2.9</v>
          </cell>
          <cell r="U269">
            <v>2019</v>
          </cell>
        </row>
        <row r="270">
          <cell r="J270">
            <v>1.2</v>
          </cell>
          <cell r="U270">
            <v>2019</v>
          </cell>
        </row>
        <row r="271">
          <cell r="J271">
            <v>1.3</v>
          </cell>
          <cell r="U271">
            <v>2019</v>
          </cell>
        </row>
        <row r="272">
          <cell r="J272">
            <v>1.9</v>
          </cell>
          <cell r="U272">
            <v>2019</v>
          </cell>
        </row>
        <row r="273">
          <cell r="J273">
            <v>1.3</v>
          </cell>
          <cell r="U273">
            <v>2019</v>
          </cell>
        </row>
        <row r="274">
          <cell r="J274">
            <v>1.9</v>
          </cell>
          <cell r="U274">
            <v>2019</v>
          </cell>
        </row>
        <row r="275">
          <cell r="J275">
            <v>1.8</v>
          </cell>
          <cell r="U275">
            <v>2019</v>
          </cell>
        </row>
        <row r="276">
          <cell r="J276">
            <v>2.2000000000000002</v>
          </cell>
          <cell r="U276">
            <v>2019</v>
          </cell>
        </row>
        <row r="277">
          <cell r="J277">
            <v>0.9</v>
          </cell>
          <cell r="U277">
            <v>2019</v>
          </cell>
        </row>
        <row r="278">
          <cell r="J278">
            <v>0.7</v>
          </cell>
          <cell r="U278">
            <v>2019</v>
          </cell>
        </row>
        <row r="279">
          <cell r="J279">
            <v>0.2</v>
          </cell>
          <cell r="U279">
            <v>2019</v>
          </cell>
        </row>
        <row r="280">
          <cell r="J280">
            <v>0.9</v>
          </cell>
          <cell r="U280">
            <v>2019</v>
          </cell>
        </row>
        <row r="281">
          <cell r="J281">
            <v>1.5</v>
          </cell>
          <cell r="U281">
            <v>2019</v>
          </cell>
        </row>
        <row r="282">
          <cell r="J282">
            <v>0.6</v>
          </cell>
          <cell r="U282">
            <v>2019</v>
          </cell>
        </row>
        <row r="283">
          <cell r="J283">
            <v>1.5</v>
          </cell>
          <cell r="U283">
            <v>2019</v>
          </cell>
        </row>
        <row r="284">
          <cell r="J284">
            <v>3.2</v>
          </cell>
          <cell r="U284">
            <v>2019</v>
          </cell>
        </row>
        <row r="285">
          <cell r="J285">
            <v>0.7</v>
          </cell>
          <cell r="U285">
            <v>2019</v>
          </cell>
        </row>
        <row r="286">
          <cell r="J286">
            <v>2.8</v>
          </cell>
          <cell r="U286">
            <v>2019</v>
          </cell>
        </row>
        <row r="287">
          <cell r="J287">
            <v>3.3</v>
          </cell>
          <cell r="U287">
            <v>2019</v>
          </cell>
        </row>
        <row r="288">
          <cell r="J288">
            <v>2.6</v>
          </cell>
          <cell r="U288">
            <v>2019</v>
          </cell>
        </row>
        <row r="289">
          <cell r="J289">
            <v>1.7</v>
          </cell>
          <cell r="U289">
            <v>2019</v>
          </cell>
        </row>
        <row r="290">
          <cell r="J290">
            <v>1.6</v>
          </cell>
          <cell r="U290">
            <v>2019</v>
          </cell>
        </row>
        <row r="291">
          <cell r="J291">
            <v>2.2000000000000002</v>
          </cell>
          <cell r="U291">
            <v>2019</v>
          </cell>
        </row>
        <row r="292">
          <cell r="J292">
            <v>2</v>
          </cell>
          <cell r="U292">
            <v>2019</v>
          </cell>
        </row>
        <row r="293">
          <cell r="J293">
            <v>1.1000000000000001</v>
          </cell>
          <cell r="U293">
            <v>2019</v>
          </cell>
        </row>
        <row r="294">
          <cell r="J294">
            <v>2.7</v>
          </cell>
          <cell r="U294">
            <v>2019</v>
          </cell>
        </row>
        <row r="295">
          <cell r="J295">
            <v>2.4</v>
          </cell>
          <cell r="U295">
            <v>2019</v>
          </cell>
        </row>
        <row r="296">
          <cell r="J296">
            <v>2.2999999999999998</v>
          </cell>
          <cell r="U296">
            <v>2019</v>
          </cell>
        </row>
        <row r="297">
          <cell r="J297">
            <v>2.1</v>
          </cell>
          <cell r="U297">
            <v>2019</v>
          </cell>
        </row>
        <row r="298">
          <cell r="J298">
            <v>0.5</v>
          </cell>
          <cell r="U298">
            <v>2019</v>
          </cell>
        </row>
        <row r="299">
          <cell r="J299">
            <v>0.7</v>
          </cell>
          <cell r="U299">
            <v>2019</v>
          </cell>
        </row>
        <row r="300">
          <cell r="J300">
            <v>1.7</v>
          </cell>
          <cell r="U300">
            <v>2019</v>
          </cell>
        </row>
        <row r="301">
          <cell r="J301">
            <v>1.5</v>
          </cell>
          <cell r="U301">
            <v>2019</v>
          </cell>
        </row>
        <row r="302">
          <cell r="J302">
            <v>1</v>
          </cell>
          <cell r="U302">
            <v>2019</v>
          </cell>
        </row>
        <row r="303">
          <cell r="J303">
            <v>1</v>
          </cell>
          <cell r="U303">
            <v>2019</v>
          </cell>
        </row>
        <row r="304">
          <cell r="J304">
            <v>1.7</v>
          </cell>
          <cell r="U304">
            <v>2019</v>
          </cell>
        </row>
        <row r="305">
          <cell r="J305">
            <v>1.6</v>
          </cell>
          <cell r="U305">
            <v>2019</v>
          </cell>
        </row>
        <row r="306">
          <cell r="J306">
            <v>0.8</v>
          </cell>
          <cell r="U306">
            <v>2019</v>
          </cell>
        </row>
        <row r="307">
          <cell r="J307">
            <v>1.4</v>
          </cell>
          <cell r="U307">
            <v>2019</v>
          </cell>
        </row>
        <row r="308">
          <cell r="J308">
            <v>0.5</v>
          </cell>
          <cell r="U308">
            <v>2019</v>
          </cell>
        </row>
        <row r="309">
          <cell r="J309">
            <v>2.9</v>
          </cell>
          <cell r="U309">
            <v>2019</v>
          </cell>
        </row>
        <row r="310">
          <cell r="J310">
            <v>0.8</v>
          </cell>
          <cell r="U310">
            <v>2019</v>
          </cell>
        </row>
        <row r="311">
          <cell r="J311">
            <v>1.5</v>
          </cell>
          <cell r="U311">
            <v>2019</v>
          </cell>
        </row>
        <row r="312">
          <cell r="J312">
            <v>1.5</v>
          </cell>
          <cell r="U312">
            <v>2019</v>
          </cell>
        </row>
        <row r="313">
          <cell r="J313">
            <v>2.2000000000000002</v>
          </cell>
          <cell r="U313">
            <v>2019</v>
          </cell>
        </row>
        <row r="314">
          <cell r="J314">
            <v>1.4</v>
          </cell>
          <cell r="U314">
            <v>2019</v>
          </cell>
        </row>
        <row r="315">
          <cell r="J315">
            <v>0.9</v>
          </cell>
          <cell r="U315">
            <v>2019</v>
          </cell>
        </row>
        <row r="316">
          <cell r="J316">
            <v>1.1000000000000001</v>
          </cell>
          <cell r="U316">
            <v>2019</v>
          </cell>
        </row>
        <row r="317">
          <cell r="J317">
            <v>0.8</v>
          </cell>
          <cell r="U317">
            <v>2019</v>
          </cell>
        </row>
        <row r="318">
          <cell r="J318">
            <v>0.1</v>
          </cell>
          <cell r="U318">
            <v>2019</v>
          </cell>
        </row>
        <row r="319">
          <cell r="J319">
            <v>0.6</v>
          </cell>
          <cell r="U319">
            <v>2019</v>
          </cell>
        </row>
        <row r="320">
          <cell r="J320">
            <v>1.1000000000000001</v>
          </cell>
          <cell r="U320">
            <v>2019</v>
          </cell>
        </row>
        <row r="321">
          <cell r="J321">
            <v>2.4</v>
          </cell>
          <cell r="U321">
            <v>2019</v>
          </cell>
        </row>
        <row r="322">
          <cell r="J322">
            <v>1.2</v>
          </cell>
          <cell r="U322">
            <v>2019</v>
          </cell>
        </row>
        <row r="323">
          <cell r="J323">
            <v>0.1</v>
          </cell>
          <cell r="U323">
            <v>2019</v>
          </cell>
        </row>
        <row r="324">
          <cell r="J324">
            <v>1.7</v>
          </cell>
          <cell r="U324">
            <v>2019</v>
          </cell>
        </row>
        <row r="325">
          <cell r="J325">
            <v>1.7</v>
          </cell>
          <cell r="U325">
            <v>2019</v>
          </cell>
        </row>
        <row r="326">
          <cell r="J326">
            <v>1.5</v>
          </cell>
          <cell r="U326">
            <v>2019</v>
          </cell>
        </row>
        <row r="327">
          <cell r="J327">
            <v>2.9</v>
          </cell>
          <cell r="U327">
            <v>2019</v>
          </cell>
        </row>
        <row r="328">
          <cell r="J328">
            <v>4.3</v>
          </cell>
          <cell r="U328">
            <v>2019</v>
          </cell>
        </row>
        <row r="329">
          <cell r="J329">
            <v>2.1</v>
          </cell>
          <cell r="U329">
            <v>2019</v>
          </cell>
        </row>
        <row r="330">
          <cell r="J330">
            <v>2.1</v>
          </cell>
          <cell r="U330">
            <v>2019</v>
          </cell>
        </row>
        <row r="331">
          <cell r="J331">
            <v>0.1</v>
          </cell>
          <cell r="U331">
            <v>2019</v>
          </cell>
        </row>
        <row r="332">
          <cell r="J332">
            <v>2</v>
          </cell>
          <cell r="U332">
            <v>2019</v>
          </cell>
        </row>
        <row r="333">
          <cell r="J333">
            <v>0.7</v>
          </cell>
          <cell r="U333">
            <v>2019</v>
          </cell>
        </row>
        <row r="334">
          <cell r="J334">
            <v>0.7</v>
          </cell>
          <cell r="U334">
            <v>2019</v>
          </cell>
        </row>
        <row r="335">
          <cell r="J335">
            <v>1.5</v>
          </cell>
          <cell r="U335">
            <v>2019</v>
          </cell>
        </row>
        <row r="336">
          <cell r="J336">
            <v>1.9</v>
          </cell>
          <cell r="U336">
            <v>2019</v>
          </cell>
        </row>
        <row r="337">
          <cell r="J337">
            <v>1.3</v>
          </cell>
          <cell r="U337">
            <v>2019</v>
          </cell>
        </row>
        <row r="338">
          <cell r="J338">
            <v>4.5999999999999996</v>
          </cell>
          <cell r="U338">
            <v>2019</v>
          </cell>
        </row>
        <row r="339">
          <cell r="J339">
            <v>1.5</v>
          </cell>
          <cell r="U339">
            <v>2019</v>
          </cell>
        </row>
        <row r="340">
          <cell r="J340">
            <v>3</v>
          </cell>
          <cell r="U340">
            <v>2019</v>
          </cell>
        </row>
        <row r="341">
          <cell r="J341">
            <v>1.9</v>
          </cell>
          <cell r="U341">
            <v>2019</v>
          </cell>
        </row>
        <row r="342">
          <cell r="J342">
            <v>2.2999999999999998</v>
          </cell>
          <cell r="U342">
            <v>2019</v>
          </cell>
        </row>
        <row r="343">
          <cell r="J343">
            <v>1.3</v>
          </cell>
          <cell r="U343">
            <v>2019</v>
          </cell>
        </row>
        <row r="344">
          <cell r="J344">
            <v>3</v>
          </cell>
          <cell r="U344">
            <v>2019</v>
          </cell>
        </row>
        <row r="345">
          <cell r="J345">
            <v>1.8</v>
          </cell>
          <cell r="U345">
            <v>2019</v>
          </cell>
        </row>
        <row r="346">
          <cell r="J346">
            <v>2.6</v>
          </cell>
          <cell r="U346">
            <v>2019</v>
          </cell>
        </row>
        <row r="347">
          <cell r="J347">
            <v>0.6</v>
          </cell>
          <cell r="U347">
            <v>2019</v>
          </cell>
        </row>
        <row r="348">
          <cell r="J348">
            <v>1.5</v>
          </cell>
          <cell r="U348">
            <v>2019</v>
          </cell>
        </row>
        <row r="349">
          <cell r="J349">
            <v>1.6</v>
          </cell>
          <cell r="U349">
            <v>2019</v>
          </cell>
        </row>
        <row r="350">
          <cell r="J350">
            <v>2.4</v>
          </cell>
          <cell r="U350">
            <v>2019</v>
          </cell>
        </row>
        <row r="351">
          <cell r="J351">
            <v>0.8</v>
          </cell>
          <cell r="U351">
            <v>2019</v>
          </cell>
        </row>
        <row r="352">
          <cell r="J352">
            <v>0.2</v>
          </cell>
          <cell r="U352">
            <v>2019</v>
          </cell>
        </row>
        <row r="353">
          <cell r="J353">
            <v>1.3</v>
          </cell>
          <cell r="U353">
            <v>2019</v>
          </cell>
        </row>
        <row r="354">
          <cell r="J354">
            <v>2.1</v>
          </cell>
          <cell r="U354">
            <v>2019</v>
          </cell>
        </row>
        <row r="355">
          <cell r="J355">
            <v>1</v>
          </cell>
          <cell r="U355">
            <v>2019</v>
          </cell>
        </row>
        <row r="356">
          <cell r="J356">
            <v>2</v>
          </cell>
          <cell r="U356">
            <v>2019</v>
          </cell>
        </row>
        <row r="357">
          <cell r="J357">
            <v>1.5</v>
          </cell>
          <cell r="U357">
            <v>2019</v>
          </cell>
        </row>
        <row r="358">
          <cell r="J358">
            <v>1.7</v>
          </cell>
          <cell r="U358">
            <v>2019</v>
          </cell>
        </row>
        <row r="359">
          <cell r="J359">
            <v>0.4</v>
          </cell>
          <cell r="U359">
            <v>2019</v>
          </cell>
        </row>
        <row r="360">
          <cell r="J360">
            <v>1.7</v>
          </cell>
          <cell r="U360">
            <v>2019</v>
          </cell>
        </row>
        <row r="361">
          <cell r="J361">
            <v>1.3</v>
          </cell>
          <cell r="U361">
            <v>2019</v>
          </cell>
        </row>
        <row r="362">
          <cell r="J362">
            <v>1</v>
          </cell>
          <cell r="U362">
            <v>2019</v>
          </cell>
        </row>
        <row r="363">
          <cell r="J363">
            <v>1.7</v>
          </cell>
          <cell r="U363">
            <v>2019</v>
          </cell>
        </row>
        <row r="364">
          <cell r="J364">
            <v>0.5</v>
          </cell>
          <cell r="U364">
            <v>2019</v>
          </cell>
        </row>
        <row r="365">
          <cell r="J365">
            <v>2.1</v>
          </cell>
          <cell r="U365">
            <v>2019</v>
          </cell>
        </row>
        <row r="366">
          <cell r="J366">
            <v>1.7</v>
          </cell>
          <cell r="U366">
            <v>2019</v>
          </cell>
        </row>
        <row r="367">
          <cell r="J367">
            <v>1.7</v>
          </cell>
          <cell r="U367">
            <v>2019</v>
          </cell>
        </row>
        <row r="368">
          <cell r="J368">
            <v>1.4</v>
          </cell>
          <cell r="U368">
            <v>2019</v>
          </cell>
        </row>
        <row r="369">
          <cell r="J369">
            <v>2.5</v>
          </cell>
          <cell r="U369">
            <v>2019</v>
          </cell>
        </row>
        <row r="370">
          <cell r="J370">
            <v>2.7</v>
          </cell>
          <cell r="U370">
            <v>2019</v>
          </cell>
        </row>
        <row r="371">
          <cell r="J371">
            <v>2.5</v>
          </cell>
          <cell r="U371">
            <v>2019</v>
          </cell>
        </row>
        <row r="372">
          <cell r="J372">
            <v>1.7</v>
          </cell>
          <cell r="U372">
            <v>2019</v>
          </cell>
        </row>
        <row r="373">
          <cell r="J373">
            <v>0.7</v>
          </cell>
          <cell r="U373">
            <v>2019</v>
          </cell>
        </row>
        <row r="374">
          <cell r="J374">
            <v>1.9</v>
          </cell>
          <cell r="U374">
            <v>2019</v>
          </cell>
        </row>
        <row r="375">
          <cell r="J375">
            <v>0.6</v>
          </cell>
          <cell r="U375">
            <v>2019</v>
          </cell>
        </row>
        <row r="376">
          <cell r="J376">
            <v>1.2</v>
          </cell>
          <cell r="U376">
            <v>2019</v>
          </cell>
        </row>
        <row r="377">
          <cell r="J377">
            <v>1.1000000000000001</v>
          </cell>
          <cell r="U377">
            <v>2019</v>
          </cell>
        </row>
        <row r="378">
          <cell r="J378">
            <v>1.9</v>
          </cell>
          <cell r="U378">
            <v>2019</v>
          </cell>
        </row>
        <row r="379">
          <cell r="J379">
            <v>2.2000000000000002</v>
          </cell>
          <cell r="U379">
            <v>2019</v>
          </cell>
        </row>
        <row r="380">
          <cell r="J380">
            <v>0.7</v>
          </cell>
          <cell r="U380">
            <v>2019</v>
          </cell>
        </row>
        <row r="381">
          <cell r="J381">
            <v>1.4</v>
          </cell>
          <cell r="U381">
            <v>2019</v>
          </cell>
        </row>
        <row r="382">
          <cell r="J382">
            <v>4</v>
          </cell>
          <cell r="U382">
            <v>2019</v>
          </cell>
        </row>
        <row r="383">
          <cell r="J383">
            <v>1.5</v>
          </cell>
          <cell r="U383">
            <v>2019</v>
          </cell>
        </row>
        <row r="384">
          <cell r="J384">
            <v>1.3</v>
          </cell>
          <cell r="U384">
            <v>2019</v>
          </cell>
        </row>
        <row r="385">
          <cell r="J385">
            <v>0.8</v>
          </cell>
          <cell r="U385">
            <v>2019</v>
          </cell>
        </row>
        <row r="386">
          <cell r="J386">
            <v>1.4</v>
          </cell>
          <cell r="U386">
            <v>2019</v>
          </cell>
        </row>
        <row r="387">
          <cell r="J387">
            <v>2.2000000000000002</v>
          </cell>
          <cell r="U387">
            <v>2019</v>
          </cell>
        </row>
        <row r="388">
          <cell r="J388">
            <v>0.3</v>
          </cell>
          <cell r="U388">
            <v>2019</v>
          </cell>
        </row>
        <row r="389">
          <cell r="J389">
            <v>1.7</v>
          </cell>
          <cell r="U389">
            <v>2019</v>
          </cell>
        </row>
        <row r="390">
          <cell r="J390">
            <v>2.2999999999999998</v>
          </cell>
          <cell r="U390">
            <v>2019</v>
          </cell>
        </row>
        <row r="391">
          <cell r="J391">
            <v>0.6</v>
          </cell>
          <cell r="U391">
            <v>2019</v>
          </cell>
        </row>
        <row r="392">
          <cell r="J392">
            <v>2.2000000000000002</v>
          </cell>
          <cell r="U392">
            <v>2019</v>
          </cell>
        </row>
        <row r="393">
          <cell r="J393">
            <v>0.8</v>
          </cell>
          <cell r="U393">
            <v>2019</v>
          </cell>
        </row>
        <row r="394">
          <cell r="J394">
            <v>2.9</v>
          </cell>
          <cell r="U394">
            <v>2019</v>
          </cell>
        </row>
        <row r="395">
          <cell r="J395">
            <v>2.7</v>
          </cell>
          <cell r="U395">
            <v>2019</v>
          </cell>
        </row>
        <row r="396">
          <cell r="J396">
            <v>2.4</v>
          </cell>
          <cell r="U396">
            <v>2019</v>
          </cell>
        </row>
        <row r="397">
          <cell r="J397">
            <v>2.2999999999999998</v>
          </cell>
          <cell r="U397">
            <v>2019</v>
          </cell>
        </row>
        <row r="398">
          <cell r="J398">
            <v>1.1000000000000001</v>
          </cell>
          <cell r="U398">
            <v>2019</v>
          </cell>
        </row>
        <row r="399">
          <cell r="J399">
            <v>0.8</v>
          </cell>
          <cell r="U399">
            <v>2019</v>
          </cell>
        </row>
        <row r="400">
          <cell r="J400">
            <v>2.5</v>
          </cell>
          <cell r="U400">
            <v>2019</v>
          </cell>
        </row>
        <row r="401">
          <cell r="J401">
            <v>2.8</v>
          </cell>
          <cell r="U401">
            <v>2019</v>
          </cell>
        </row>
        <row r="402">
          <cell r="J402">
            <v>3.1</v>
          </cell>
          <cell r="U402">
            <v>2019</v>
          </cell>
        </row>
        <row r="403">
          <cell r="J403">
            <v>1</v>
          </cell>
          <cell r="U403">
            <v>2019</v>
          </cell>
        </row>
        <row r="404">
          <cell r="J404">
            <v>1.8</v>
          </cell>
          <cell r="U404">
            <v>2019</v>
          </cell>
        </row>
        <row r="405">
          <cell r="J405">
            <v>2.2999999999999998</v>
          </cell>
          <cell r="U405">
            <v>2019</v>
          </cell>
        </row>
        <row r="406">
          <cell r="J406">
            <v>1.8</v>
          </cell>
          <cell r="U406">
            <v>2019</v>
          </cell>
        </row>
        <row r="407">
          <cell r="J407">
            <v>2.5</v>
          </cell>
          <cell r="U407">
            <v>2019</v>
          </cell>
        </row>
        <row r="408">
          <cell r="J408">
            <v>1.1000000000000001</v>
          </cell>
          <cell r="U408">
            <v>2019</v>
          </cell>
        </row>
        <row r="409">
          <cell r="J409">
            <v>1.7</v>
          </cell>
          <cell r="U409">
            <v>2019</v>
          </cell>
        </row>
        <row r="410">
          <cell r="J410">
            <v>0.3</v>
          </cell>
          <cell r="U410">
            <v>2019</v>
          </cell>
        </row>
        <row r="411">
          <cell r="J411">
            <v>2.5</v>
          </cell>
          <cell r="U411">
            <v>2019</v>
          </cell>
        </row>
        <row r="412">
          <cell r="J412">
            <v>3.3</v>
          </cell>
          <cell r="U412">
            <v>2019</v>
          </cell>
        </row>
        <row r="413">
          <cell r="J413">
            <v>1.7</v>
          </cell>
          <cell r="U413">
            <v>2019</v>
          </cell>
        </row>
        <row r="414">
          <cell r="J414">
            <v>1.8</v>
          </cell>
          <cell r="U414">
            <v>2019</v>
          </cell>
        </row>
        <row r="415">
          <cell r="J415">
            <v>1.6</v>
          </cell>
          <cell r="U415">
            <v>2019</v>
          </cell>
        </row>
        <row r="416">
          <cell r="J416">
            <v>1.5</v>
          </cell>
          <cell r="U416">
            <v>2019</v>
          </cell>
        </row>
        <row r="417">
          <cell r="J417">
            <v>2.2000000000000002</v>
          </cell>
          <cell r="U417">
            <v>2019</v>
          </cell>
        </row>
        <row r="418">
          <cell r="J418">
            <v>1.3</v>
          </cell>
          <cell r="U418">
            <v>2019</v>
          </cell>
        </row>
        <row r="419">
          <cell r="J419">
            <v>1.6</v>
          </cell>
          <cell r="U419">
            <v>2019</v>
          </cell>
        </row>
        <row r="420">
          <cell r="J420">
            <v>0.2</v>
          </cell>
          <cell r="U420">
            <v>2019</v>
          </cell>
        </row>
        <row r="421">
          <cell r="J421">
            <v>0.5</v>
          </cell>
          <cell r="U421">
            <v>2019</v>
          </cell>
        </row>
        <row r="422">
          <cell r="J422">
            <v>0.6</v>
          </cell>
          <cell r="U422">
            <v>2019</v>
          </cell>
        </row>
        <row r="423">
          <cell r="J423">
            <v>1.1000000000000001</v>
          </cell>
          <cell r="U423">
            <v>2019</v>
          </cell>
        </row>
        <row r="424">
          <cell r="J424">
            <v>1.7</v>
          </cell>
          <cell r="U424">
            <v>2019</v>
          </cell>
        </row>
        <row r="425">
          <cell r="J425">
            <v>3</v>
          </cell>
          <cell r="U425">
            <v>2019</v>
          </cell>
        </row>
        <row r="426">
          <cell r="J426">
            <v>2.2999999999999998</v>
          </cell>
          <cell r="U426">
            <v>2019</v>
          </cell>
        </row>
        <row r="427">
          <cell r="J427">
            <v>0.7</v>
          </cell>
          <cell r="U427">
            <v>2019</v>
          </cell>
        </row>
        <row r="428">
          <cell r="J428">
            <v>0.6</v>
          </cell>
          <cell r="U428">
            <v>2019</v>
          </cell>
        </row>
        <row r="429">
          <cell r="J429">
            <v>0.6</v>
          </cell>
          <cell r="U429">
            <v>2019</v>
          </cell>
        </row>
        <row r="430">
          <cell r="J430">
            <v>1.2</v>
          </cell>
          <cell r="U430">
            <v>2019</v>
          </cell>
        </row>
        <row r="431">
          <cell r="J431">
            <v>1.4</v>
          </cell>
          <cell r="U431">
            <v>2019</v>
          </cell>
        </row>
        <row r="432">
          <cell r="J432">
            <v>2</v>
          </cell>
          <cell r="U432">
            <v>2019</v>
          </cell>
        </row>
        <row r="433">
          <cell r="J433">
            <v>1.6</v>
          </cell>
          <cell r="U433">
            <v>2019</v>
          </cell>
        </row>
        <row r="434">
          <cell r="J434">
            <v>2.2999999999999998</v>
          </cell>
          <cell r="U434">
            <v>2019</v>
          </cell>
        </row>
        <row r="435">
          <cell r="J435">
            <v>2.1</v>
          </cell>
          <cell r="U435">
            <v>2019</v>
          </cell>
        </row>
        <row r="436">
          <cell r="J436">
            <v>2</v>
          </cell>
          <cell r="U436">
            <v>2019</v>
          </cell>
        </row>
        <row r="437">
          <cell r="J437">
            <v>1.1000000000000001</v>
          </cell>
          <cell r="U437">
            <v>2019</v>
          </cell>
        </row>
        <row r="438">
          <cell r="J438">
            <v>0.8</v>
          </cell>
          <cell r="U438">
            <v>2019</v>
          </cell>
        </row>
        <row r="439">
          <cell r="J439">
            <v>1.5</v>
          </cell>
          <cell r="U439">
            <v>2019</v>
          </cell>
        </row>
        <row r="440">
          <cell r="J440">
            <v>1.1000000000000001</v>
          </cell>
          <cell r="U440">
            <v>2019</v>
          </cell>
        </row>
        <row r="441">
          <cell r="J441">
            <v>2.9</v>
          </cell>
          <cell r="U441">
            <v>2019</v>
          </cell>
        </row>
        <row r="442">
          <cell r="J442">
            <v>1.8</v>
          </cell>
          <cell r="U442">
            <v>2019</v>
          </cell>
        </row>
        <row r="443">
          <cell r="J443">
            <v>1.3</v>
          </cell>
          <cell r="U443">
            <v>2019</v>
          </cell>
        </row>
        <row r="444">
          <cell r="J444">
            <v>1</v>
          </cell>
          <cell r="U444">
            <v>2019</v>
          </cell>
        </row>
        <row r="445">
          <cell r="J445">
            <v>1.4</v>
          </cell>
          <cell r="U445">
            <v>2019</v>
          </cell>
        </row>
        <row r="446">
          <cell r="J446">
            <v>0.7</v>
          </cell>
          <cell r="U446">
            <v>2019</v>
          </cell>
        </row>
        <row r="447">
          <cell r="J447">
            <v>1.7</v>
          </cell>
          <cell r="U447">
            <v>2019</v>
          </cell>
        </row>
        <row r="448">
          <cell r="J448">
            <v>2.2999999999999545</v>
          </cell>
          <cell r="U448">
            <v>2019</v>
          </cell>
        </row>
        <row r="449">
          <cell r="J449">
            <v>0.70000000000004547</v>
          </cell>
          <cell r="U449">
            <v>2019</v>
          </cell>
        </row>
        <row r="450">
          <cell r="J450">
            <v>1.8999999999999773</v>
          </cell>
          <cell r="U450">
            <v>2019</v>
          </cell>
        </row>
        <row r="451">
          <cell r="J451">
            <v>0.5</v>
          </cell>
          <cell r="U451">
            <v>2019</v>
          </cell>
        </row>
        <row r="452">
          <cell r="J452">
            <v>2.1000000000000227</v>
          </cell>
          <cell r="U452">
            <v>2019</v>
          </cell>
        </row>
        <row r="453">
          <cell r="J453">
            <v>1.8999999999999773</v>
          </cell>
          <cell r="U453">
            <v>2019</v>
          </cell>
        </row>
        <row r="454">
          <cell r="J454">
            <v>1.1999999999999318</v>
          </cell>
          <cell r="U454">
            <v>2019</v>
          </cell>
        </row>
        <row r="455">
          <cell r="J455">
            <v>1.9000000000000909</v>
          </cell>
          <cell r="U455">
            <v>2019</v>
          </cell>
        </row>
        <row r="456">
          <cell r="J456">
            <v>2.5999999999999091</v>
          </cell>
          <cell r="U456">
            <v>2019</v>
          </cell>
        </row>
        <row r="457">
          <cell r="J457">
            <v>1.2000000000000455</v>
          </cell>
          <cell r="U457">
            <v>2019</v>
          </cell>
        </row>
        <row r="458">
          <cell r="J458">
            <v>0.70000000000004547</v>
          </cell>
          <cell r="U458">
            <v>2019</v>
          </cell>
        </row>
        <row r="459">
          <cell r="J459">
            <v>0.89999999999997726</v>
          </cell>
          <cell r="U459">
            <v>2019</v>
          </cell>
        </row>
        <row r="460">
          <cell r="J460">
            <v>0.5</v>
          </cell>
          <cell r="U460">
            <v>2019</v>
          </cell>
        </row>
        <row r="461">
          <cell r="J461">
            <v>2.1999999999999318</v>
          </cell>
          <cell r="U461">
            <v>2019</v>
          </cell>
        </row>
        <row r="462">
          <cell r="J462">
            <v>1</v>
          </cell>
          <cell r="U462">
            <v>2019</v>
          </cell>
        </row>
        <row r="463">
          <cell r="J463">
            <v>1.3000000000000682</v>
          </cell>
          <cell r="U463">
            <v>2019</v>
          </cell>
        </row>
        <row r="464">
          <cell r="J464">
            <v>0.79999999999995453</v>
          </cell>
          <cell r="U464">
            <v>2019</v>
          </cell>
        </row>
        <row r="465">
          <cell r="J465">
            <v>2.2000000000000455</v>
          </cell>
          <cell r="U465">
            <v>2019</v>
          </cell>
        </row>
        <row r="466">
          <cell r="J466">
            <v>0.39999999999997726</v>
          </cell>
          <cell r="U466">
            <v>2019</v>
          </cell>
        </row>
        <row r="467">
          <cell r="J467">
            <v>1.2999999999999545</v>
          </cell>
          <cell r="U467">
            <v>2019</v>
          </cell>
        </row>
        <row r="468">
          <cell r="J468">
            <v>0.70000000000004547</v>
          </cell>
          <cell r="U468">
            <v>2019</v>
          </cell>
        </row>
        <row r="469">
          <cell r="J469">
            <v>1.1000000000000227</v>
          </cell>
          <cell r="U469">
            <v>2019</v>
          </cell>
        </row>
        <row r="470">
          <cell r="J470">
            <v>0.60000000000002274</v>
          </cell>
          <cell r="U470">
            <v>2019</v>
          </cell>
        </row>
        <row r="471">
          <cell r="J471">
            <v>0.79999999999995453</v>
          </cell>
          <cell r="U471">
            <v>2019</v>
          </cell>
        </row>
        <row r="472">
          <cell r="J472">
            <v>2.1000000000000227</v>
          </cell>
          <cell r="U472">
            <v>2019</v>
          </cell>
        </row>
        <row r="473">
          <cell r="J473">
            <v>0.89999999999997726</v>
          </cell>
          <cell r="U473">
            <v>2019</v>
          </cell>
        </row>
        <row r="474">
          <cell r="J474">
            <v>0.89999999999997726</v>
          </cell>
          <cell r="U474">
            <v>2019</v>
          </cell>
        </row>
        <row r="475">
          <cell r="J475">
            <v>1.7000000000000455</v>
          </cell>
          <cell r="U475">
            <v>2019</v>
          </cell>
        </row>
        <row r="476">
          <cell r="J476">
            <v>1.6999999999999318</v>
          </cell>
          <cell r="U476">
            <v>2019</v>
          </cell>
        </row>
        <row r="477">
          <cell r="J477">
            <v>2.9000000000000909</v>
          </cell>
          <cell r="U477">
            <v>2019</v>
          </cell>
        </row>
        <row r="478">
          <cell r="J478">
            <v>3.8999999999999773</v>
          </cell>
          <cell r="U478">
            <v>2019</v>
          </cell>
        </row>
        <row r="479">
          <cell r="J479">
            <v>2.5</v>
          </cell>
          <cell r="U479">
            <v>2019</v>
          </cell>
        </row>
        <row r="480">
          <cell r="J480">
            <v>0.10000000000002274</v>
          </cell>
          <cell r="U480">
            <v>2019</v>
          </cell>
        </row>
        <row r="481">
          <cell r="J481">
            <v>2.5999999999999091</v>
          </cell>
          <cell r="U481">
            <v>2019</v>
          </cell>
        </row>
        <row r="482">
          <cell r="J482">
            <v>1.5</v>
          </cell>
          <cell r="U482">
            <v>2019</v>
          </cell>
        </row>
        <row r="483">
          <cell r="J483">
            <v>2.6000000000000227</v>
          </cell>
          <cell r="U483">
            <v>2019</v>
          </cell>
        </row>
        <row r="484">
          <cell r="J484">
            <v>1.5</v>
          </cell>
          <cell r="U484">
            <v>2019</v>
          </cell>
        </row>
        <row r="485">
          <cell r="J485">
            <v>1</v>
          </cell>
          <cell r="U485">
            <v>2019</v>
          </cell>
        </row>
        <row r="486">
          <cell r="J486">
            <v>1.3000000000000682</v>
          </cell>
          <cell r="U486">
            <v>2019</v>
          </cell>
        </row>
        <row r="487">
          <cell r="J487">
            <v>2</v>
          </cell>
          <cell r="U487">
            <v>2019</v>
          </cell>
        </row>
        <row r="488">
          <cell r="J488">
            <v>1.5</v>
          </cell>
          <cell r="U488">
            <v>2019</v>
          </cell>
        </row>
        <row r="489">
          <cell r="J489">
            <v>1.8999999999999773</v>
          </cell>
          <cell r="U489">
            <v>2019</v>
          </cell>
        </row>
        <row r="490">
          <cell r="J490">
            <v>2.1000000000000227</v>
          </cell>
          <cell r="U490">
            <v>2019</v>
          </cell>
        </row>
        <row r="491">
          <cell r="J491">
            <v>2.6999999999999318</v>
          </cell>
          <cell r="U491">
            <v>2019</v>
          </cell>
        </row>
        <row r="492">
          <cell r="J492">
            <v>3.5</v>
          </cell>
          <cell r="U492">
            <v>2019</v>
          </cell>
        </row>
        <row r="493">
          <cell r="J493">
            <v>2.5</v>
          </cell>
          <cell r="U493">
            <v>2019</v>
          </cell>
        </row>
        <row r="494">
          <cell r="J494">
            <v>1</v>
          </cell>
          <cell r="U494">
            <v>2019</v>
          </cell>
        </row>
        <row r="495">
          <cell r="J495">
            <v>1.6000000000000227</v>
          </cell>
          <cell r="U495">
            <v>2019</v>
          </cell>
        </row>
        <row r="496">
          <cell r="J496">
            <v>1.2000000000000455</v>
          </cell>
          <cell r="U496">
            <v>2019</v>
          </cell>
        </row>
        <row r="497">
          <cell r="J497">
            <v>0.69999999999993179</v>
          </cell>
          <cell r="U497">
            <v>2019</v>
          </cell>
        </row>
        <row r="498">
          <cell r="J498">
            <v>1</v>
          </cell>
          <cell r="U498">
            <v>2019</v>
          </cell>
        </row>
        <row r="499">
          <cell r="J499">
            <v>2.2000000000000455</v>
          </cell>
          <cell r="U499">
            <v>2019</v>
          </cell>
        </row>
        <row r="500">
          <cell r="J500">
            <v>1.5</v>
          </cell>
          <cell r="U500">
            <v>2019</v>
          </cell>
        </row>
        <row r="501">
          <cell r="J501">
            <v>1.1000000000000227</v>
          </cell>
          <cell r="U501">
            <v>2019</v>
          </cell>
        </row>
        <row r="502">
          <cell r="J502">
            <v>2.0999999999999091</v>
          </cell>
          <cell r="U502">
            <v>2019</v>
          </cell>
        </row>
        <row r="503">
          <cell r="J503">
            <v>2.1000000000000227</v>
          </cell>
          <cell r="U503">
            <v>2019</v>
          </cell>
        </row>
        <row r="504">
          <cell r="J504">
            <v>0.60000000000002274</v>
          </cell>
          <cell r="U504">
            <v>2019</v>
          </cell>
        </row>
        <row r="505">
          <cell r="J505">
            <v>0.89999999999997726</v>
          </cell>
          <cell r="U505">
            <v>2019</v>
          </cell>
        </row>
        <row r="506">
          <cell r="J506">
            <v>1.5</v>
          </cell>
          <cell r="U506">
            <v>2019</v>
          </cell>
        </row>
        <row r="507">
          <cell r="J507">
            <v>1.1000000000000227</v>
          </cell>
          <cell r="U507">
            <v>2019</v>
          </cell>
        </row>
        <row r="508">
          <cell r="J508">
            <v>2.8999999999999773</v>
          </cell>
          <cell r="U508">
            <v>2019</v>
          </cell>
        </row>
        <row r="509">
          <cell r="J509">
            <v>2.5</v>
          </cell>
          <cell r="U509">
            <v>2019</v>
          </cell>
        </row>
        <row r="510">
          <cell r="J510">
            <v>2</v>
          </cell>
          <cell r="U510">
            <v>2019</v>
          </cell>
        </row>
        <row r="511">
          <cell r="J511">
            <v>1.5</v>
          </cell>
          <cell r="U511">
            <v>2019</v>
          </cell>
        </row>
        <row r="512">
          <cell r="J512">
            <v>2.2000000000000455</v>
          </cell>
          <cell r="U512">
            <v>2019</v>
          </cell>
        </row>
        <row r="513">
          <cell r="J513">
            <v>3</v>
          </cell>
          <cell r="U513">
            <v>2019</v>
          </cell>
        </row>
        <row r="514">
          <cell r="J514">
            <v>2.3999999999999773</v>
          </cell>
          <cell r="U514">
            <v>2019</v>
          </cell>
        </row>
        <row r="515">
          <cell r="J515">
            <v>2.6000000000000227</v>
          </cell>
          <cell r="U515">
            <v>2019</v>
          </cell>
        </row>
        <row r="516">
          <cell r="J516">
            <v>2.1999999999999318</v>
          </cell>
          <cell r="U516">
            <v>2019</v>
          </cell>
        </row>
        <row r="517">
          <cell r="J517">
            <v>2.6000000000000227</v>
          </cell>
          <cell r="U517">
            <v>2019</v>
          </cell>
        </row>
        <row r="518">
          <cell r="J518">
            <v>1.3000000000000682</v>
          </cell>
          <cell r="U518">
            <v>2019</v>
          </cell>
        </row>
        <row r="519">
          <cell r="J519">
            <v>3.2999999999999545</v>
          </cell>
          <cell r="U519">
            <v>2019</v>
          </cell>
        </row>
        <row r="520">
          <cell r="J520">
            <v>2.1000000000000227</v>
          </cell>
          <cell r="U520">
            <v>2019</v>
          </cell>
        </row>
        <row r="521">
          <cell r="J521">
            <v>1.5</v>
          </cell>
          <cell r="U521">
            <v>2019</v>
          </cell>
        </row>
        <row r="522">
          <cell r="J522">
            <v>3.1999999999999318</v>
          </cell>
          <cell r="U522">
            <v>2019</v>
          </cell>
        </row>
        <row r="523">
          <cell r="J523">
            <v>2.4000000000000909</v>
          </cell>
          <cell r="U523">
            <v>2019</v>
          </cell>
        </row>
        <row r="524">
          <cell r="J524">
            <v>2.1999999999999318</v>
          </cell>
          <cell r="U524">
            <v>2019</v>
          </cell>
        </row>
        <row r="525">
          <cell r="J525">
            <v>1.8999999999999773</v>
          </cell>
          <cell r="U525">
            <v>2019</v>
          </cell>
        </row>
        <row r="526">
          <cell r="J526">
            <v>3.1000000000000227</v>
          </cell>
          <cell r="U526">
            <v>2019</v>
          </cell>
        </row>
        <row r="527">
          <cell r="J527">
            <v>1.8000000000000682</v>
          </cell>
          <cell r="U527">
            <v>2019</v>
          </cell>
        </row>
        <row r="528">
          <cell r="J528">
            <v>4.2999999999999545</v>
          </cell>
          <cell r="U528">
            <v>2019</v>
          </cell>
        </row>
        <row r="529">
          <cell r="J529">
            <v>4.5</v>
          </cell>
          <cell r="U529">
            <v>2019</v>
          </cell>
        </row>
        <row r="530">
          <cell r="J530">
            <v>5.1000000000000227</v>
          </cell>
          <cell r="U530">
            <v>2019</v>
          </cell>
        </row>
        <row r="531">
          <cell r="J531">
            <v>0.19999999999993179</v>
          </cell>
          <cell r="U531">
            <v>2019</v>
          </cell>
        </row>
        <row r="532">
          <cell r="J532">
            <v>1.6000000000000227</v>
          </cell>
          <cell r="U532">
            <v>2019</v>
          </cell>
        </row>
        <row r="533">
          <cell r="J533">
            <v>1.7000000000000455</v>
          </cell>
          <cell r="U533">
            <v>2019</v>
          </cell>
        </row>
        <row r="534">
          <cell r="J534">
            <v>2</v>
          </cell>
          <cell r="U534">
            <v>2019</v>
          </cell>
        </row>
        <row r="535">
          <cell r="J535">
            <v>1.7999999999999545</v>
          </cell>
          <cell r="U535">
            <v>2019</v>
          </cell>
        </row>
        <row r="536">
          <cell r="J536">
            <v>2.3000000000000682</v>
          </cell>
          <cell r="U536">
            <v>2019</v>
          </cell>
        </row>
        <row r="537">
          <cell r="J537">
            <v>2.2999999999999545</v>
          </cell>
          <cell r="U537">
            <v>2019</v>
          </cell>
        </row>
        <row r="538">
          <cell r="J538">
            <v>2.7000000000000455</v>
          </cell>
          <cell r="U538">
            <v>2019</v>
          </cell>
        </row>
        <row r="539">
          <cell r="J539">
            <v>3.2999999999999545</v>
          </cell>
          <cell r="U539">
            <v>2019</v>
          </cell>
        </row>
        <row r="540">
          <cell r="J540">
            <v>3.2000000000000455</v>
          </cell>
          <cell r="U540">
            <v>2019</v>
          </cell>
        </row>
        <row r="541">
          <cell r="J541">
            <v>2.5</v>
          </cell>
          <cell r="U541">
            <v>2019</v>
          </cell>
        </row>
        <row r="542">
          <cell r="J542">
            <v>2</v>
          </cell>
          <cell r="U542">
            <v>2019</v>
          </cell>
        </row>
        <row r="543">
          <cell r="J543">
            <v>3.0999999999999091</v>
          </cell>
          <cell r="U543">
            <v>2019</v>
          </cell>
        </row>
        <row r="544">
          <cell r="J544">
            <v>2.4000000000000909</v>
          </cell>
          <cell r="U544">
            <v>2019</v>
          </cell>
        </row>
        <row r="545">
          <cell r="J545">
            <v>0.89999999999997726</v>
          </cell>
          <cell r="U545">
            <v>2019</v>
          </cell>
        </row>
        <row r="546">
          <cell r="J546">
            <v>1</v>
          </cell>
          <cell r="U546">
            <v>2019</v>
          </cell>
        </row>
        <row r="547">
          <cell r="J547">
            <v>0.69999999999993179</v>
          </cell>
          <cell r="U547">
            <v>2019</v>
          </cell>
        </row>
        <row r="548">
          <cell r="J548">
            <v>2.1000000000000227</v>
          </cell>
          <cell r="U548">
            <v>2019</v>
          </cell>
        </row>
        <row r="549">
          <cell r="J549">
            <v>3.1000000000000227</v>
          </cell>
          <cell r="U549">
            <v>2019</v>
          </cell>
        </row>
        <row r="550">
          <cell r="J550">
            <v>2.2000000000000455</v>
          </cell>
          <cell r="U550">
            <v>2019</v>
          </cell>
        </row>
        <row r="551">
          <cell r="J551">
            <v>2.6999999999999318</v>
          </cell>
          <cell r="U551">
            <v>2019</v>
          </cell>
        </row>
        <row r="552">
          <cell r="J552">
            <v>2.8000000000000682</v>
          </cell>
          <cell r="U552">
            <v>2019</v>
          </cell>
        </row>
        <row r="553">
          <cell r="J553">
            <v>3.0999999999999091</v>
          </cell>
          <cell r="U553">
            <v>2019</v>
          </cell>
        </row>
        <row r="554">
          <cell r="J554">
            <v>0.90000000000009095</v>
          </cell>
          <cell r="U554">
            <v>2019</v>
          </cell>
        </row>
        <row r="555">
          <cell r="J555">
            <v>4.5</v>
          </cell>
          <cell r="U555">
            <v>2019</v>
          </cell>
        </row>
        <row r="556">
          <cell r="J556">
            <v>1.8999999999999773</v>
          </cell>
          <cell r="U556">
            <v>2019</v>
          </cell>
        </row>
        <row r="557">
          <cell r="J557">
            <v>1.7999999999999545</v>
          </cell>
          <cell r="U557">
            <v>2020</v>
          </cell>
        </row>
        <row r="558">
          <cell r="J558">
            <v>2.3000000000000682</v>
          </cell>
          <cell r="U558">
            <v>2020</v>
          </cell>
        </row>
        <row r="559">
          <cell r="J559">
            <v>2.5999999999999091</v>
          </cell>
          <cell r="U559">
            <v>2020</v>
          </cell>
        </row>
        <row r="560">
          <cell r="J560">
            <v>3.2000000000000455</v>
          </cell>
          <cell r="U560">
            <v>2020</v>
          </cell>
        </row>
        <row r="561">
          <cell r="J561">
            <v>2</v>
          </cell>
          <cell r="U561">
            <v>2020</v>
          </cell>
        </row>
        <row r="562">
          <cell r="J562">
            <v>3.1000000000000227</v>
          </cell>
          <cell r="U562">
            <v>2020</v>
          </cell>
        </row>
        <row r="563">
          <cell r="J563">
            <v>5</v>
          </cell>
          <cell r="U563">
            <v>2020</v>
          </cell>
        </row>
        <row r="564">
          <cell r="J564">
            <v>1</v>
          </cell>
          <cell r="U564">
            <v>2020</v>
          </cell>
        </row>
        <row r="565">
          <cell r="J565">
            <v>1.6999999999999318</v>
          </cell>
          <cell r="U565">
            <v>2020</v>
          </cell>
        </row>
        <row r="566">
          <cell r="J566">
            <v>2.8000000000000682</v>
          </cell>
          <cell r="U566">
            <v>2020</v>
          </cell>
        </row>
        <row r="567">
          <cell r="J567">
            <v>1.5</v>
          </cell>
          <cell r="U567">
            <v>2020</v>
          </cell>
        </row>
        <row r="568">
          <cell r="J568">
            <v>5.1999999999999318</v>
          </cell>
          <cell r="U568">
            <v>2020</v>
          </cell>
        </row>
        <row r="569">
          <cell r="J569">
            <v>2.7000000000000455</v>
          </cell>
          <cell r="U569">
            <v>2020</v>
          </cell>
        </row>
        <row r="570">
          <cell r="J570">
            <v>2.7000000000000455</v>
          </cell>
          <cell r="U570">
            <v>2020</v>
          </cell>
        </row>
        <row r="571">
          <cell r="J571">
            <v>0.59999999999990905</v>
          </cell>
          <cell r="U571">
            <v>2020</v>
          </cell>
        </row>
        <row r="572">
          <cell r="J572">
            <v>2.8000000000000682</v>
          </cell>
          <cell r="U572">
            <v>2020</v>
          </cell>
        </row>
        <row r="573">
          <cell r="J573">
            <v>2.5</v>
          </cell>
          <cell r="U573">
            <v>2020</v>
          </cell>
        </row>
        <row r="574">
          <cell r="J574">
            <v>0.69999999999993179</v>
          </cell>
          <cell r="U574">
            <v>2020</v>
          </cell>
        </row>
        <row r="575">
          <cell r="J575">
            <v>2</v>
          </cell>
          <cell r="U575">
            <v>2020</v>
          </cell>
        </row>
        <row r="576">
          <cell r="J576">
            <v>2.8000000000000682</v>
          </cell>
          <cell r="U576">
            <v>2020</v>
          </cell>
        </row>
        <row r="577">
          <cell r="J577">
            <v>1.8999999999999773</v>
          </cell>
          <cell r="U577">
            <v>2020</v>
          </cell>
        </row>
        <row r="578">
          <cell r="J578">
            <v>2.1000000000000227</v>
          </cell>
          <cell r="U578">
            <v>2020</v>
          </cell>
        </row>
        <row r="579">
          <cell r="J579">
            <v>0.5</v>
          </cell>
          <cell r="U579">
            <v>2020</v>
          </cell>
        </row>
        <row r="580">
          <cell r="J580">
            <v>0.10000000000002274</v>
          </cell>
          <cell r="U580">
            <v>2020</v>
          </cell>
        </row>
        <row r="581">
          <cell r="J581">
            <v>1.7999999999999545</v>
          </cell>
          <cell r="U581">
            <v>2020</v>
          </cell>
        </row>
        <row r="582">
          <cell r="J582">
            <v>1.6000000000000227</v>
          </cell>
          <cell r="U582">
            <v>2020</v>
          </cell>
        </row>
        <row r="583">
          <cell r="J583">
            <v>1.6000000000000227</v>
          </cell>
          <cell r="U583">
            <v>2020</v>
          </cell>
        </row>
        <row r="584">
          <cell r="J584">
            <v>0.5</v>
          </cell>
          <cell r="U584">
            <v>2020</v>
          </cell>
        </row>
        <row r="585">
          <cell r="J585">
            <v>1.8999999999999773</v>
          </cell>
          <cell r="U585">
            <v>2020</v>
          </cell>
        </row>
        <row r="586">
          <cell r="J586">
            <v>1.2999999999999545</v>
          </cell>
          <cell r="U586">
            <v>2020</v>
          </cell>
        </row>
        <row r="587">
          <cell r="J587">
            <v>1.8999999999999773</v>
          </cell>
          <cell r="U587">
            <v>2020</v>
          </cell>
        </row>
        <row r="588">
          <cell r="J588">
            <v>1.8000000000000682</v>
          </cell>
          <cell r="U588">
            <v>2020</v>
          </cell>
        </row>
        <row r="589">
          <cell r="J589">
            <v>0.5</v>
          </cell>
          <cell r="U589">
            <v>2020</v>
          </cell>
        </row>
        <row r="590">
          <cell r="J590">
            <v>1</v>
          </cell>
          <cell r="U590">
            <v>2020</v>
          </cell>
        </row>
        <row r="591">
          <cell r="J591">
            <v>0.79999999999995453</v>
          </cell>
          <cell r="U591">
            <v>2020</v>
          </cell>
        </row>
        <row r="592">
          <cell r="J592">
            <v>1.3000000000000682</v>
          </cell>
          <cell r="U592">
            <v>2020</v>
          </cell>
        </row>
        <row r="593">
          <cell r="J593">
            <v>1</v>
          </cell>
          <cell r="U593">
            <v>2020</v>
          </cell>
        </row>
        <row r="594">
          <cell r="J594">
            <v>1.2</v>
          </cell>
          <cell r="U594">
            <v>2020</v>
          </cell>
        </row>
        <row r="595">
          <cell r="J595">
            <v>1</v>
          </cell>
          <cell r="U595">
            <v>2020</v>
          </cell>
        </row>
        <row r="596">
          <cell r="J596">
            <v>1.5</v>
          </cell>
          <cell r="U596">
            <v>2020</v>
          </cell>
        </row>
        <row r="597">
          <cell r="J597">
            <v>0.60000000000002274</v>
          </cell>
          <cell r="U597">
            <v>2020</v>
          </cell>
        </row>
        <row r="598">
          <cell r="J598">
            <v>1.6000000000000227</v>
          </cell>
          <cell r="U598">
            <v>2020</v>
          </cell>
        </row>
        <row r="599">
          <cell r="J599">
            <v>2</v>
          </cell>
          <cell r="U599">
            <v>2020</v>
          </cell>
        </row>
        <row r="600">
          <cell r="J600">
            <v>2.7999999999999545</v>
          </cell>
          <cell r="U600">
            <v>2020</v>
          </cell>
        </row>
        <row r="601">
          <cell r="J601">
            <v>0.70000000000004547</v>
          </cell>
          <cell r="U601">
            <v>2020</v>
          </cell>
        </row>
        <row r="602">
          <cell r="J602">
            <v>1.8999999999999773</v>
          </cell>
          <cell r="U602">
            <v>2020</v>
          </cell>
        </row>
        <row r="603">
          <cell r="J603">
            <v>0.69999999999993179</v>
          </cell>
          <cell r="U603">
            <v>2020</v>
          </cell>
        </row>
        <row r="604">
          <cell r="J604">
            <v>2.1000000000000227</v>
          </cell>
          <cell r="U604">
            <v>2020</v>
          </cell>
        </row>
        <row r="605">
          <cell r="J605">
            <v>0.70000000000004547</v>
          </cell>
          <cell r="U605">
            <v>2020</v>
          </cell>
        </row>
        <row r="606">
          <cell r="J606">
            <v>1.6999999999999318</v>
          </cell>
          <cell r="U606">
            <v>2020</v>
          </cell>
        </row>
        <row r="607">
          <cell r="J607">
            <v>1.6000000000000227</v>
          </cell>
          <cell r="U607">
            <v>2020</v>
          </cell>
        </row>
        <row r="608">
          <cell r="J608">
            <v>0.30000000000006821</v>
          </cell>
          <cell r="U608">
            <v>2020</v>
          </cell>
        </row>
        <row r="609">
          <cell r="J609">
            <v>1.1999999999999318</v>
          </cell>
          <cell r="U609">
            <v>2020</v>
          </cell>
        </row>
        <row r="610">
          <cell r="J610">
            <v>1.3999999999999773</v>
          </cell>
          <cell r="U610">
            <v>2020</v>
          </cell>
        </row>
        <row r="611">
          <cell r="J611">
            <v>0.60000000000002274</v>
          </cell>
          <cell r="U611">
            <v>2020</v>
          </cell>
        </row>
        <row r="612">
          <cell r="J612">
            <v>0.70000000000004547</v>
          </cell>
          <cell r="U612">
            <v>2020</v>
          </cell>
        </row>
        <row r="613">
          <cell r="J613">
            <v>0.69999999999993179</v>
          </cell>
          <cell r="U613">
            <v>2020</v>
          </cell>
        </row>
        <row r="614">
          <cell r="J614">
            <v>0.5</v>
          </cell>
          <cell r="U614">
            <v>2020</v>
          </cell>
        </row>
        <row r="615">
          <cell r="J615">
            <v>1.3000000000000682</v>
          </cell>
          <cell r="U615">
            <v>2020</v>
          </cell>
        </row>
        <row r="616">
          <cell r="J616">
            <v>2.2999999999999545</v>
          </cell>
          <cell r="U616">
            <v>2020</v>
          </cell>
        </row>
        <row r="617">
          <cell r="J617">
            <v>2.8999999999999773</v>
          </cell>
          <cell r="U617">
            <v>2020</v>
          </cell>
        </row>
        <row r="618">
          <cell r="J618">
            <v>1.3000000000000682</v>
          </cell>
          <cell r="U618">
            <v>2020</v>
          </cell>
        </row>
        <row r="619">
          <cell r="J619">
            <v>0.79999999999995453</v>
          </cell>
          <cell r="U619">
            <v>2020</v>
          </cell>
        </row>
        <row r="620">
          <cell r="J620">
            <v>0.39999999999997726</v>
          </cell>
          <cell r="U620">
            <v>2020</v>
          </cell>
        </row>
        <row r="621">
          <cell r="J621">
            <v>3.4000000000000909</v>
          </cell>
          <cell r="U621">
            <v>2020</v>
          </cell>
        </row>
        <row r="622">
          <cell r="J622">
            <v>2.0999999999999091</v>
          </cell>
          <cell r="U622">
            <v>2020</v>
          </cell>
        </row>
        <row r="623">
          <cell r="J623">
            <v>1.8000000000000682</v>
          </cell>
          <cell r="U623">
            <v>2020</v>
          </cell>
        </row>
        <row r="624">
          <cell r="J624">
            <v>1.1000000000000227</v>
          </cell>
          <cell r="U624">
            <v>2020</v>
          </cell>
        </row>
        <row r="625">
          <cell r="J625">
            <v>0.59999999999990905</v>
          </cell>
          <cell r="U625">
            <v>2020</v>
          </cell>
        </row>
        <row r="626">
          <cell r="J626">
            <v>0.80000000000006821</v>
          </cell>
          <cell r="U626">
            <v>2020</v>
          </cell>
        </row>
        <row r="627">
          <cell r="J627">
            <v>0.79999999999995453</v>
          </cell>
          <cell r="U627">
            <v>2020</v>
          </cell>
        </row>
        <row r="628">
          <cell r="J628">
            <v>0.39999999999997726</v>
          </cell>
          <cell r="U628">
            <v>2020</v>
          </cell>
        </row>
        <row r="629">
          <cell r="J629">
            <v>1</v>
          </cell>
          <cell r="U629">
            <v>2020</v>
          </cell>
        </row>
        <row r="630">
          <cell r="J630">
            <v>1</v>
          </cell>
          <cell r="U630">
            <v>2020</v>
          </cell>
        </row>
        <row r="631">
          <cell r="J631">
            <v>1.5</v>
          </cell>
          <cell r="U631">
            <v>2020</v>
          </cell>
        </row>
        <row r="632">
          <cell r="J632">
            <v>1.8999999999999773</v>
          </cell>
          <cell r="U632">
            <v>2020</v>
          </cell>
        </row>
        <row r="633">
          <cell r="J633">
            <v>2.3000000000000682</v>
          </cell>
          <cell r="U633">
            <v>2020</v>
          </cell>
        </row>
        <row r="634">
          <cell r="J634">
            <v>0.79999999999995453</v>
          </cell>
          <cell r="U634">
            <v>2020</v>
          </cell>
        </row>
        <row r="635">
          <cell r="J635">
            <v>1.6000000000000227</v>
          </cell>
          <cell r="U635">
            <v>2020</v>
          </cell>
        </row>
        <row r="636">
          <cell r="J636">
            <v>0.60000000000002274</v>
          </cell>
          <cell r="U636">
            <v>2020</v>
          </cell>
        </row>
        <row r="637">
          <cell r="J637">
            <v>2.5</v>
          </cell>
          <cell r="U637">
            <v>2020</v>
          </cell>
        </row>
        <row r="638">
          <cell r="J638">
            <v>2.2000000000000455</v>
          </cell>
          <cell r="U638">
            <v>2020</v>
          </cell>
        </row>
        <row r="639">
          <cell r="J639">
            <v>1.5999999999999091</v>
          </cell>
          <cell r="U639">
            <v>2020</v>
          </cell>
        </row>
        <row r="640">
          <cell r="J640">
            <v>2.1000000000000227</v>
          </cell>
          <cell r="U640">
            <v>2020</v>
          </cell>
        </row>
        <row r="641">
          <cell r="J641">
            <v>1.6000000000000227</v>
          </cell>
          <cell r="U641">
            <v>2020</v>
          </cell>
        </row>
        <row r="642">
          <cell r="J642">
            <v>1.7999999999999545</v>
          </cell>
          <cell r="U642">
            <v>2020</v>
          </cell>
        </row>
        <row r="643">
          <cell r="J643">
            <v>2.6000000000000227</v>
          </cell>
          <cell r="U643">
            <v>2020</v>
          </cell>
        </row>
        <row r="644">
          <cell r="J644">
            <v>4</v>
          </cell>
          <cell r="U644">
            <v>2020</v>
          </cell>
        </row>
        <row r="645">
          <cell r="J645">
            <v>3.1000000000000227</v>
          </cell>
          <cell r="U645">
            <v>2020</v>
          </cell>
        </row>
        <row r="646">
          <cell r="J646">
            <v>0.79999999999995453</v>
          </cell>
          <cell r="U646">
            <v>2020</v>
          </cell>
        </row>
        <row r="647">
          <cell r="J647">
            <v>1.7000000000000455</v>
          </cell>
          <cell r="U647">
            <v>2020</v>
          </cell>
        </row>
        <row r="648">
          <cell r="J648">
            <v>1.7000000000000455</v>
          </cell>
          <cell r="U648">
            <v>2021</v>
          </cell>
        </row>
        <row r="649">
          <cell r="J649">
            <v>1.3999999999999773</v>
          </cell>
          <cell r="U649">
            <v>2021</v>
          </cell>
        </row>
        <row r="650">
          <cell r="J650">
            <v>2</v>
          </cell>
          <cell r="U650">
            <v>2021</v>
          </cell>
        </row>
        <row r="651">
          <cell r="J651">
            <v>1.2999999999999545</v>
          </cell>
          <cell r="U651">
            <v>2021</v>
          </cell>
        </row>
        <row r="652">
          <cell r="J652">
            <v>2.7000000000000455</v>
          </cell>
          <cell r="U652">
            <v>2021</v>
          </cell>
        </row>
        <row r="653">
          <cell r="J653">
            <v>2</v>
          </cell>
          <cell r="U653">
            <v>2021</v>
          </cell>
        </row>
        <row r="654">
          <cell r="J654">
            <v>2.5</v>
          </cell>
          <cell r="U654">
            <v>2021</v>
          </cell>
        </row>
        <row r="655">
          <cell r="J655">
            <v>0.79999999999995453</v>
          </cell>
          <cell r="U655">
            <v>2021</v>
          </cell>
        </row>
        <row r="656">
          <cell r="J656">
            <v>2.5</v>
          </cell>
          <cell r="U656">
            <v>2021</v>
          </cell>
        </row>
        <row r="657">
          <cell r="J657">
            <v>1.6000000000000227</v>
          </cell>
          <cell r="U657">
            <v>2021</v>
          </cell>
        </row>
        <row r="658">
          <cell r="J658">
            <v>1.2999999999999545</v>
          </cell>
          <cell r="U658">
            <v>2021</v>
          </cell>
        </row>
        <row r="659">
          <cell r="J659">
            <v>1.9000000000000909</v>
          </cell>
          <cell r="U659">
            <v>2021</v>
          </cell>
        </row>
        <row r="660">
          <cell r="J660">
            <v>1.5999999999999091</v>
          </cell>
          <cell r="U660">
            <v>2021</v>
          </cell>
        </row>
        <row r="661">
          <cell r="J661">
            <v>1.2999999999999545</v>
          </cell>
          <cell r="U661">
            <v>2021</v>
          </cell>
        </row>
        <row r="662">
          <cell r="J662">
            <v>0.70000000000004547</v>
          </cell>
          <cell r="U662">
            <v>2021</v>
          </cell>
        </row>
        <row r="663">
          <cell r="J663">
            <v>1.4000000000000909</v>
          </cell>
          <cell r="U663">
            <v>2021</v>
          </cell>
        </row>
        <row r="664">
          <cell r="J664">
            <v>0.59999999999990905</v>
          </cell>
          <cell r="U664">
            <v>2021</v>
          </cell>
        </row>
        <row r="665">
          <cell r="J665">
            <v>0.20000000000004547</v>
          </cell>
          <cell r="U665">
            <v>2021</v>
          </cell>
        </row>
        <row r="666">
          <cell r="J666">
            <v>0.90000000000009095</v>
          </cell>
          <cell r="U666">
            <v>2021</v>
          </cell>
        </row>
        <row r="667">
          <cell r="J667">
            <v>0.89999999999986358</v>
          </cell>
          <cell r="U667">
            <v>2021</v>
          </cell>
        </row>
        <row r="668">
          <cell r="J668">
            <v>1.6000000000001364</v>
          </cell>
          <cell r="U668">
            <v>2021</v>
          </cell>
        </row>
        <row r="669">
          <cell r="J669">
            <v>1</v>
          </cell>
          <cell r="U669">
            <v>2021</v>
          </cell>
        </row>
        <row r="670">
          <cell r="J670">
            <v>4.5999999999999091</v>
          </cell>
          <cell r="U670">
            <v>2021</v>
          </cell>
        </row>
        <row r="671">
          <cell r="J671">
            <v>2.4000000000000909</v>
          </cell>
          <cell r="U671">
            <v>2021</v>
          </cell>
        </row>
        <row r="672">
          <cell r="J672">
            <v>2.6999999999998181</v>
          </cell>
          <cell r="U672">
            <v>2021</v>
          </cell>
        </row>
        <row r="673">
          <cell r="J673">
            <v>1.2000000000000455</v>
          </cell>
          <cell r="U673">
            <v>2021</v>
          </cell>
        </row>
        <row r="674">
          <cell r="J674">
            <v>1.6000000000001364</v>
          </cell>
          <cell r="U674">
            <v>2021</v>
          </cell>
        </row>
        <row r="675">
          <cell r="J675">
            <v>2</v>
          </cell>
          <cell r="U675">
            <v>2021</v>
          </cell>
        </row>
        <row r="676">
          <cell r="J676">
            <v>0.89999999999986358</v>
          </cell>
          <cell r="U676">
            <v>2021</v>
          </cell>
        </row>
        <row r="677">
          <cell r="J677">
            <v>3</v>
          </cell>
          <cell r="U677">
            <v>2021</v>
          </cell>
        </row>
        <row r="678">
          <cell r="J678">
            <v>0.79999999999995453</v>
          </cell>
          <cell r="U678">
            <v>2021</v>
          </cell>
        </row>
        <row r="679">
          <cell r="J679">
            <v>2</v>
          </cell>
          <cell r="U679">
            <v>2021</v>
          </cell>
        </row>
        <row r="680">
          <cell r="J680">
            <v>1.6000000000001364</v>
          </cell>
          <cell r="U680">
            <v>2021</v>
          </cell>
        </row>
        <row r="681">
          <cell r="J681">
            <v>1</v>
          </cell>
          <cell r="U681">
            <v>2021</v>
          </cell>
        </row>
        <row r="682">
          <cell r="J682">
            <v>1.2000000000000455</v>
          </cell>
          <cell r="U682">
            <v>2021</v>
          </cell>
        </row>
        <row r="683">
          <cell r="J683">
            <v>1.0999999999999091</v>
          </cell>
          <cell r="U683">
            <v>2021</v>
          </cell>
        </row>
        <row r="684">
          <cell r="J684">
            <v>1</v>
          </cell>
          <cell r="U684">
            <v>2021</v>
          </cell>
        </row>
        <row r="685">
          <cell r="J685">
            <v>2.5</v>
          </cell>
          <cell r="U685">
            <v>2021</v>
          </cell>
        </row>
        <row r="686">
          <cell r="J686">
            <v>1.5999999999999091</v>
          </cell>
          <cell r="U686">
            <v>2021</v>
          </cell>
        </row>
        <row r="687">
          <cell r="J687">
            <v>1</v>
          </cell>
          <cell r="U687">
            <v>2021</v>
          </cell>
        </row>
        <row r="688">
          <cell r="J688">
            <v>2.5</v>
          </cell>
          <cell r="U688">
            <v>2021</v>
          </cell>
        </row>
        <row r="689">
          <cell r="J689">
            <v>2.5</v>
          </cell>
          <cell r="U689">
            <v>2021</v>
          </cell>
        </row>
        <row r="690">
          <cell r="J690">
            <v>1.2000000000000455</v>
          </cell>
          <cell r="U690">
            <v>2021</v>
          </cell>
        </row>
        <row r="691">
          <cell r="J691">
            <v>1.1000000000001364</v>
          </cell>
          <cell r="U691">
            <v>2021</v>
          </cell>
        </row>
        <row r="692">
          <cell r="J692">
            <v>3.2999999999999545</v>
          </cell>
          <cell r="U692">
            <v>2021</v>
          </cell>
        </row>
        <row r="693">
          <cell r="J693">
            <v>0.7</v>
          </cell>
          <cell r="U693">
            <v>2021</v>
          </cell>
        </row>
        <row r="694">
          <cell r="J694">
            <v>1.7</v>
          </cell>
          <cell r="U694">
            <v>2021</v>
          </cell>
        </row>
        <row r="695">
          <cell r="J695">
            <v>1.6</v>
          </cell>
          <cell r="U695">
            <v>2021</v>
          </cell>
        </row>
        <row r="696">
          <cell r="J696">
            <v>1.5</v>
          </cell>
          <cell r="U696">
            <v>2021</v>
          </cell>
        </row>
        <row r="697">
          <cell r="J697">
            <v>7</v>
          </cell>
          <cell r="U697">
            <v>2021</v>
          </cell>
        </row>
        <row r="698">
          <cell r="J698">
            <v>1.8999999999998636</v>
          </cell>
          <cell r="U698">
            <v>2021</v>
          </cell>
        </row>
        <row r="699">
          <cell r="J699">
            <v>1.2999999999999545</v>
          </cell>
          <cell r="U699">
            <v>2021</v>
          </cell>
        </row>
        <row r="700">
          <cell r="J700">
            <v>0.60000000000013642</v>
          </cell>
          <cell r="U700">
            <v>2021</v>
          </cell>
        </row>
        <row r="701">
          <cell r="J701">
            <v>0.5</v>
          </cell>
          <cell r="U701">
            <v>2021</v>
          </cell>
        </row>
        <row r="702">
          <cell r="J702">
            <v>1.2999999999999545</v>
          </cell>
          <cell r="U702">
            <v>2021</v>
          </cell>
        </row>
        <row r="703">
          <cell r="J703">
            <v>0.6</v>
          </cell>
          <cell r="U703">
            <v>2021</v>
          </cell>
        </row>
        <row r="704">
          <cell r="J704">
            <v>3</v>
          </cell>
          <cell r="U704">
            <v>2021</v>
          </cell>
        </row>
        <row r="705">
          <cell r="J705">
            <v>1.7999999999999545</v>
          </cell>
          <cell r="U705">
            <v>2021</v>
          </cell>
        </row>
        <row r="706">
          <cell r="J706">
            <v>1.1000000000001364</v>
          </cell>
          <cell r="U706">
            <v>2021</v>
          </cell>
        </row>
        <row r="707">
          <cell r="J707">
            <v>0.59999999999990905</v>
          </cell>
          <cell r="U707">
            <v>2021</v>
          </cell>
        </row>
        <row r="708">
          <cell r="J708">
            <v>1</v>
          </cell>
          <cell r="U708">
            <v>2021</v>
          </cell>
        </row>
        <row r="709">
          <cell r="J709">
            <v>0.70000000000004547</v>
          </cell>
          <cell r="U709">
            <v>2021</v>
          </cell>
        </row>
        <row r="710">
          <cell r="J710">
            <v>2.2000000000000455</v>
          </cell>
          <cell r="U710">
            <v>2021</v>
          </cell>
        </row>
        <row r="711">
          <cell r="J711">
            <v>1.5</v>
          </cell>
          <cell r="U711">
            <v>2021</v>
          </cell>
        </row>
        <row r="712">
          <cell r="J712">
            <v>1.7999999999999545</v>
          </cell>
          <cell r="U712">
            <v>2021</v>
          </cell>
        </row>
        <row r="713">
          <cell r="J713">
            <v>2.5</v>
          </cell>
          <cell r="U713">
            <v>2021</v>
          </cell>
        </row>
        <row r="714">
          <cell r="J714">
            <v>0.79999999999995453</v>
          </cell>
          <cell r="U714">
            <v>2021</v>
          </cell>
        </row>
        <row r="715">
          <cell r="J715">
            <v>1.2999999999999545</v>
          </cell>
          <cell r="U715">
            <v>2021</v>
          </cell>
        </row>
        <row r="716">
          <cell r="J716">
            <v>1.1000000000001364</v>
          </cell>
          <cell r="U716">
            <v>2021</v>
          </cell>
        </row>
        <row r="717">
          <cell r="J717">
            <v>1.7999999999999545</v>
          </cell>
          <cell r="U717">
            <v>2021</v>
          </cell>
        </row>
        <row r="718">
          <cell r="J718">
            <v>1.0999999999999091</v>
          </cell>
          <cell r="U718">
            <v>2021</v>
          </cell>
        </row>
        <row r="719">
          <cell r="J719">
            <v>0.70000000000004547</v>
          </cell>
          <cell r="U719">
            <v>2021</v>
          </cell>
        </row>
        <row r="720">
          <cell r="J720">
            <v>2.2999999999999545</v>
          </cell>
          <cell r="U720">
            <v>2021</v>
          </cell>
        </row>
        <row r="721">
          <cell r="J721">
            <v>1.9000000000000909</v>
          </cell>
          <cell r="U721">
            <v>2021</v>
          </cell>
        </row>
        <row r="722">
          <cell r="J722">
            <v>1.0999999999999091</v>
          </cell>
          <cell r="U722">
            <v>2021</v>
          </cell>
        </row>
        <row r="723">
          <cell r="J723">
            <v>1.2000000000000455</v>
          </cell>
          <cell r="U723">
            <v>2021</v>
          </cell>
        </row>
        <row r="724">
          <cell r="J724">
            <v>2.4000000000000909</v>
          </cell>
          <cell r="U724">
            <v>2021</v>
          </cell>
        </row>
        <row r="725">
          <cell r="J725">
            <v>0.39999999999986358</v>
          </cell>
          <cell r="U725">
            <v>2021</v>
          </cell>
        </row>
        <row r="726">
          <cell r="J726">
            <v>1.2000000000000455</v>
          </cell>
          <cell r="U726">
            <v>2021</v>
          </cell>
        </row>
        <row r="727">
          <cell r="J727">
            <v>1.2000000000000455</v>
          </cell>
          <cell r="U727">
            <v>2021</v>
          </cell>
        </row>
        <row r="728">
          <cell r="J728">
            <v>2.2999999999999545</v>
          </cell>
          <cell r="U728">
            <v>2021</v>
          </cell>
        </row>
        <row r="729">
          <cell r="J729">
            <v>2.5</v>
          </cell>
          <cell r="U729">
            <v>2021</v>
          </cell>
        </row>
        <row r="730">
          <cell r="J730">
            <v>3.1000000000001364</v>
          </cell>
          <cell r="U730">
            <v>2021</v>
          </cell>
        </row>
        <row r="731">
          <cell r="J731">
            <v>1.3999999999998636</v>
          </cell>
          <cell r="U731">
            <v>2021</v>
          </cell>
        </row>
        <row r="732">
          <cell r="J732">
            <v>2.6000000000001364</v>
          </cell>
          <cell r="U732">
            <v>2021</v>
          </cell>
        </row>
        <row r="733">
          <cell r="J733">
            <v>3.2999999999999545</v>
          </cell>
          <cell r="U733">
            <v>2021</v>
          </cell>
        </row>
        <row r="734">
          <cell r="J734">
            <v>1.8999999999998636</v>
          </cell>
          <cell r="U734">
            <v>2021</v>
          </cell>
        </row>
        <row r="735">
          <cell r="J735">
            <v>1.5</v>
          </cell>
          <cell r="U735">
            <v>2021</v>
          </cell>
        </row>
        <row r="736">
          <cell r="J736">
            <v>1.6000000000001364</v>
          </cell>
          <cell r="U736">
            <v>2021</v>
          </cell>
        </row>
        <row r="737">
          <cell r="J737">
            <v>1.5</v>
          </cell>
          <cell r="U737">
            <v>2021</v>
          </cell>
        </row>
        <row r="738">
          <cell r="J738">
            <v>3.2000000000000455</v>
          </cell>
          <cell r="U738">
            <v>2021</v>
          </cell>
        </row>
        <row r="739">
          <cell r="J739">
            <v>2.5999999999999091</v>
          </cell>
          <cell r="U739">
            <v>2021</v>
          </cell>
        </row>
        <row r="740">
          <cell r="J740">
            <v>0.59999999999990905</v>
          </cell>
          <cell r="U740">
            <v>2021</v>
          </cell>
        </row>
        <row r="741">
          <cell r="J741">
            <v>0.20000000000004547</v>
          </cell>
          <cell r="U741">
            <v>2021</v>
          </cell>
        </row>
        <row r="742">
          <cell r="J742">
            <v>0.79999999999995453</v>
          </cell>
          <cell r="U742">
            <v>2021</v>
          </cell>
        </row>
        <row r="743">
          <cell r="J743">
            <v>1.3000000000001819</v>
          </cell>
          <cell r="U743">
            <v>2021</v>
          </cell>
        </row>
        <row r="744">
          <cell r="J744">
            <v>1.0999999999999091</v>
          </cell>
          <cell r="U744">
            <v>2021</v>
          </cell>
        </row>
        <row r="745">
          <cell r="J745">
            <v>0.70000000000004547</v>
          </cell>
          <cell r="U745">
            <v>2021</v>
          </cell>
        </row>
        <row r="746">
          <cell r="J746">
            <v>4.5999999999999091</v>
          </cell>
          <cell r="U746">
            <v>2021</v>
          </cell>
        </row>
        <row r="747">
          <cell r="J747">
            <v>2.7000000000000455</v>
          </cell>
          <cell r="U747">
            <v>2021</v>
          </cell>
        </row>
        <row r="748">
          <cell r="J748">
            <v>3.5</v>
          </cell>
          <cell r="U748">
            <v>2021</v>
          </cell>
        </row>
        <row r="749">
          <cell r="J749">
            <v>2.0999999999999091</v>
          </cell>
          <cell r="U749">
            <v>2021</v>
          </cell>
        </row>
        <row r="750">
          <cell r="J750">
            <v>3.7000000000000455</v>
          </cell>
          <cell r="U750">
            <v>2021</v>
          </cell>
        </row>
        <row r="751">
          <cell r="J751">
            <v>1.2000000000000455</v>
          </cell>
          <cell r="U751">
            <v>2021</v>
          </cell>
        </row>
        <row r="752">
          <cell r="J752">
            <v>4.5999999999999091</v>
          </cell>
          <cell r="U752">
            <v>2021</v>
          </cell>
        </row>
        <row r="753">
          <cell r="J753">
            <v>3</v>
          </cell>
          <cell r="U753">
            <v>2021</v>
          </cell>
        </row>
        <row r="754">
          <cell r="J754">
            <v>1.6000000000001364</v>
          </cell>
          <cell r="U754">
            <v>2021</v>
          </cell>
        </row>
        <row r="755">
          <cell r="J755">
            <v>1.5999999999999091</v>
          </cell>
          <cell r="U755">
            <v>2021</v>
          </cell>
        </row>
        <row r="756">
          <cell r="J756">
            <v>4.1000000000001364</v>
          </cell>
          <cell r="U756">
            <v>2021</v>
          </cell>
        </row>
        <row r="757">
          <cell r="J757">
            <v>1.2999999999999545</v>
          </cell>
          <cell r="U757">
            <v>2021</v>
          </cell>
        </row>
        <row r="758">
          <cell r="J758">
            <v>2.5999999999999091</v>
          </cell>
          <cell r="U758">
            <v>2021</v>
          </cell>
        </row>
        <row r="759">
          <cell r="J759">
            <v>2.7999999999999545</v>
          </cell>
          <cell r="U759">
            <v>2021</v>
          </cell>
        </row>
        <row r="760">
          <cell r="J760">
            <v>1.2000000000000455</v>
          </cell>
          <cell r="U760">
            <v>2021</v>
          </cell>
        </row>
        <row r="761">
          <cell r="J761">
            <v>0.90000000000009095</v>
          </cell>
          <cell r="U761">
            <v>2021</v>
          </cell>
        </row>
        <row r="762">
          <cell r="J762">
            <v>1.3999999999998636</v>
          </cell>
          <cell r="U762">
            <v>2021</v>
          </cell>
        </row>
        <row r="763">
          <cell r="J763">
            <v>1.4000000000000909</v>
          </cell>
          <cell r="U763">
            <v>2021</v>
          </cell>
        </row>
        <row r="764">
          <cell r="J764">
            <v>1.2999999999999545</v>
          </cell>
          <cell r="U764">
            <v>2021</v>
          </cell>
        </row>
        <row r="765">
          <cell r="J765">
            <v>1.2000000000000455</v>
          </cell>
          <cell r="U765">
            <v>2021</v>
          </cell>
        </row>
        <row r="766">
          <cell r="J766">
            <v>1.4000000000000909</v>
          </cell>
          <cell r="U766">
            <v>2021</v>
          </cell>
        </row>
        <row r="767">
          <cell r="J767">
            <v>1.3999999999998636</v>
          </cell>
          <cell r="U767">
            <v>2021</v>
          </cell>
        </row>
        <row r="768">
          <cell r="J768">
            <v>1.9000000000000909</v>
          </cell>
          <cell r="U768">
            <v>2021</v>
          </cell>
        </row>
        <row r="769">
          <cell r="J769">
            <v>3.0999999999999091</v>
          </cell>
          <cell r="U769">
            <v>2021</v>
          </cell>
        </row>
        <row r="770">
          <cell r="J770">
            <v>1</v>
          </cell>
          <cell r="U770">
            <v>2021</v>
          </cell>
        </row>
        <row r="771">
          <cell r="J771">
            <v>1.7000000000000455</v>
          </cell>
          <cell r="U771">
            <v>2021</v>
          </cell>
        </row>
        <row r="772">
          <cell r="J772">
            <v>6.9000000000000909</v>
          </cell>
          <cell r="U772">
            <v>2021</v>
          </cell>
        </row>
        <row r="773">
          <cell r="J773">
            <v>4.6999999999998181</v>
          </cell>
          <cell r="U773">
            <v>2021</v>
          </cell>
        </row>
        <row r="774">
          <cell r="J774">
            <v>1.1000000000001364</v>
          </cell>
          <cell r="U774">
            <v>2021</v>
          </cell>
        </row>
        <row r="775">
          <cell r="J775">
            <v>1.2999999999999545</v>
          </cell>
          <cell r="U775">
            <v>2021</v>
          </cell>
        </row>
        <row r="776">
          <cell r="J776">
            <v>1.7999999999999545</v>
          </cell>
          <cell r="U776">
            <v>2021</v>
          </cell>
        </row>
        <row r="777">
          <cell r="J777">
            <v>1.2999999999999545</v>
          </cell>
          <cell r="U777">
            <v>2021</v>
          </cell>
        </row>
        <row r="778">
          <cell r="J778">
            <v>0.90000000000009095</v>
          </cell>
          <cell r="U778">
            <v>2021</v>
          </cell>
        </row>
        <row r="779">
          <cell r="J779">
            <v>1</v>
          </cell>
          <cell r="U779">
            <v>2021</v>
          </cell>
        </row>
        <row r="780">
          <cell r="J780">
            <v>0.5</v>
          </cell>
          <cell r="U780">
            <v>2021</v>
          </cell>
        </row>
        <row r="781">
          <cell r="J781">
            <v>5.7000000000000455</v>
          </cell>
          <cell r="U781">
            <v>2021</v>
          </cell>
        </row>
        <row r="782">
          <cell r="J782">
            <v>3</v>
          </cell>
          <cell r="U782">
            <v>2021</v>
          </cell>
        </row>
        <row r="783">
          <cell r="J783">
            <v>6.8999999999998636</v>
          </cell>
          <cell r="U783">
            <v>2022</v>
          </cell>
        </row>
        <row r="784">
          <cell r="J784">
            <v>6.2000000000000455</v>
          </cell>
          <cell r="U784">
            <v>2022</v>
          </cell>
        </row>
        <row r="785">
          <cell r="J785">
            <v>4.9000000000000909</v>
          </cell>
          <cell r="U785">
            <v>2022</v>
          </cell>
        </row>
        <row r="786">
          <cell r="J786">
            <v>1</v>
          </cell>
          <cell r="U786">
            <v>2022</v>
          </cell>
        </row>
        <row r="787">
          <cell r="J787">
            <v>1.5</v>
          </cell>
          <cell r="U787">
            <v>2022</v>
          </cell>
        </row>
        <row r="788">
          <cell r="J788">
            <v>7.2999999999999545</v>
          </cell>
          <cell r="U788">
            <v>2022</v>
          </cell>
        </row>
        <row r="789">
          <cell r="J789">
            <v>1.2999999999999545</v>
          </cell>
          <cell r="U789">
            <v>2022</v>
          </cell>
        </row>
        <row r="790">
          <cell r="J790">
            <v>3.2000000000000455</v>
          </cell>
          <cell r="U790">
            <v>2022</v>
          </cell>
        </row>
        <row r="791">
          <cell r="J791">
            <v>1.4000000000000909</v>
          </cell>
          <cell r="U791">
            <v>2022</v>
          </cell>
        </row>
        <row r="792">
          <cell r="J792">
            <v>5</v>
          </cell>
          <cell r="U792">
            <v>2022</v>
          </cell>
        </row>
        <row r="793">
          <cell r="J793">
            <v>1.3999999999998636</v>
          </cell>
          <cell r="U793">
            <v>2022</v>
          </cell>
        </row>
        <row r="794">
          <cell r="J794">
            <v>2.7000000000000455</v>
          </cell>
          <cell r="U794">
            <v>2022</v>
          </cell>
        </row>
        <row r="795">
          <cell r="J795">
            <v>3</v>
          </cell>
          <cell r="U795">
            <v>2022</v>
          </cell>
        </row>
        <row r="796">
          <cell r="J796">
            <v>2.2000000000000455</v>
          </cell>
          <cell r="U796">
            <v>2022</v>
          </cell>
        </row>
        <row r="797">
          <cell r="J797">
            <v>1.7999999999999545</v>
          </cell>
          <cell r="U797">
            <v>2022</v>
          </cell>
        </row>
        <row r="798">
          <cell r="J798">
            <v>0.59999999999990905</v>
          </cell>
          <cell r="U798">
            <v>2022</v>
          </cell>
        </row>
        <row r="799">
          <cell r="J799">
            <v>1.9000000000000909</v>
          </cell>
          <cell r="U799">
            <v>2022</v>
          </cell>
        </row>
        <row r="800">
          <cell r="J800">
            <v>3.0999999999999091</v>
          </cell>
          <cell r="U800">
            <v>2022</v>
          </cell>
        </row>
        <row r="801">
          <cell r="J801">
            <v>2.1000000000001364</v>
          </cell>
          <cell r="U801">
            <v>2022</v>
          </cell>
        </row>
        <row r="802">
          <cell r="J802">
            <v>0.89999999999986358</v>
          </cell>
          <cell r="U802">
            <v>2022</v>
          </cell>
        </row>
        <row r="803">
          <cell r="J803">
            <v>2.1000000000001364</v>
          </cell>
          <cell r="U803">
            <v>2022</v>
          </cell>
        </row>
        <row r="804">
          <cell r="J804">
            <v>1.5</v>
          </cell>
          <cell r="U804">
            <v>2022</v>
          </cell>
        </row>
        <row r="805">
          <cell r="J805">
            <v>1.7000000000000455</v>
          </cell>
          <cell r="U805">
            <v>2022</v>
          </cell>
        </row>
        <row r="806">
          <cell r="J806">
            <v>1.6999999999998181</v>
          </cell>
          <cell r="U806">
            <v>2022</v>
          </cell>
        </row>
        <row r="807">
          <cell r="J807">
            <v>0.40000000000009095</v>
          </cell>
          <cell r="U807">
            <v>2022</v>
          </cell>
        </row>
        <row r="808">
          <cell r="J808">
            <v>0.40000000000009095</v>
          </cell>
          <cell r="U808">
            <v>2022</v>
          </cell>
        </row>
        <row r="809">
          <cell r="J809">
            <v>2.7999999999999545</v>
          </cell>
          <cell r="U809">
            <v>2022</v>
          </cell>
        </row>
        <row r="810">
          <cell r="J810">
            <v>1.5</v>
          </cell>
          <cell r="U810">
            <v>2022</v>
          </cell>
        </row>
        <row r="811">
          <cell r="J811">
            <v>1.5999999999999091</v>
          </cell>
          <cell r="U811">
            <v>2022</v>
          </cell>
        </row>
        <row r="812">
          <cell r="J812">
            <v>2.5</v>
          </cell>
          <cell r="U812">
            <v>2022</v>
          </cell>
        </row>
        <row r="813">
          <cell r="J813">
            <v>2.2000000000000455</v>
          </cell>
          <cell r="U813">
            <v>2022</v>
          </cell>
        </row>
        <row r="814">
          <cell r="J814">
            <v>1.7000000000000455</v>
          </cell>
          <cell r="U814">
            <v>2022</v>
          </cell>
        </row>
        <row r="815">
          <cell r="J815">
            <v>1.5999999999999091</v>
          </cell>
          <cell r="U815">
            <v>2022</v>
          </cell>
        </row>
        <row r="816">
          <cell r="J816">
            <v>6.1000000000001364</v>
          </cell>
          <cell r="U816">
            <v>2022</v>
          </cell>
        </row>
        <row r="817">
          <cell r="J817">
            <v>3.0999999999999091</v>
          </cell>
          <cell r="U817">
            <v>2022</v>
          </cell>
        </row>
        <row r="818">
          <cell r="J818">
            <v>6.4000000000000909</v>
          </cell>
          <cell r="U818">
            <v>2022</v>
          </cell>
        </row>
        <row r="819">
          <cell r="J819">
            <v>0.29999999999995453</v>
          </cell>
          <cell r="U819">
            <v>2022</v>
          </cell>
        </row>
        <row r="820">
          <cell r="J820">
            <v>2</v>
          </cell>
          <cell r="U820">
            <v>2022</v>
          </cell>
        </row>
        <row r="821">
          <cell r="J821">
            <v>1.5</v>
          </cell>
          <cell r="U821">
            <v>2022</v>
          </cell>
        </row>
        <row r="822">
          <cell r="J822">
            <v>2.3999999999998636</v>
          </cell>
          <cell r="U822">
            <v>2022</v>
          </cell>
        </row>
        <row r="823">
          <cell r="J823">
            <v>1.5</v>
          </cell>
          <cell r="U823">
            <v>2022</v>
          </cell>
        </row>
        <row r="824">
          <cell r="J824">
            <v>2.7000000000000455</v>
          </cell>
          <cell r="U824">
            <v>2022</v>
          </cell>
        </row>
        <row r="825">
          <cell r="J825">
            <v>0.79999999999995453</v>
          </cell>
          <cell r="U825">
            <v>2022</v>
          </cell>
        </row>
        <row r="826">
          <cell r="J826">
            <v>1.1000000000001364</v>
          </cell>
          <cell r="U826">
            <v>2022</v>
          </cell>
        </row>
        <row r="827">
          <cell r="J827">
            <v>2.5999999999999091</v>
          </cell>
          <cell r="U827">
            <v>2022</v>
          </cell>
        </row>
        <row r="828">
          <cell r="J828">
            <v>0.90000000000009095</v>
          </cell>
          <cell r="U828">
            <v>2022</v>
          </cell>
        </row>
        <row r="829">
          <cell r="J829">
            <v>1.5999999999999091</v>
          </cell>
          <cell r="U829">
            <v>2022</v>
          </cell>
        </row>
        <row r="830">
          <cell r="J830">
            <v>0.60000000000013642</v>
          </cell>
          <cell r="U830">
            <v>2022</v>
          </cell>
        </row>
        <row r="831">
          <cell r="J831">
            <v>1.9</v>
          </cell>
          <cell r="U831">
            <v>2022</v>
          </cell>
        </row>
        <row r="832">
          <cell r="J832">
            <v>3.6999999999998181</v>
          </cell>
          <cell r="U832">
            <v>2022</v>
          </cell>
        </row>
        <row r="833">
          <cell r="J833">
            <v>0.5</v>
          </cell>
          <cell r="U833">
            <v>2022</v>
          </cell>
        </row>
        <row r="834">
          <cell r="J834">
            <v>0.90000000000009095</v>
          </cell>
          <cell r="U834">
            <v>2022</v>
          </cell>
        </row>
        <row r="835">
          <cell r="J835">
            <v>2.9000000000000909</v>
          </cell>
          <cell r="U835">
            <v>2022</v>
          </cell>
        </row>
        <row r="836">
          <cell r="J836">
            <v>2.8999999999998636</v>
          </cell>
          <cell r="U836">
            <v>2022</v>
          </cell>
        </row>
        <row r="837">
          <cell r="J837">
            <v>1.2999999999999545</v>
          </cell>
          <cell r="U837">
            <v>2022</v>
          </cell>
        </row>
        <row r="838">
          <cell r="J838">
            <v>0.90000000000009095</v>
          </cell>
          <cell r="U838">
            <v>2022</v>
          </cell>
        </row>
        <row r="839">
          <cell r="J839">
            <v>0.70000000000004547</v>
          </cell>
          <cell r="U839">
            <v>2022</v>
          </cell>
        </row>
        <row r="840">
          <cell r="J840">
            <v>0.70000000000004547</v>
          </cell>
          <cell r="U840">
            <v>2022</v>
          </cell>
        </row>
        <row r="841">
          <cell r="J841">
            <v>9.9999999999909051E-2</v>
          </cell>
          <cell r="U841">
            <v>2022</v>
          </cell>
        </row>
        <row r="842">
          <cell r="J842">
            <v>2.5999999999999543</v>
          </cell>
          <cell r="U842">
            <v>2022</v>
          </cell>
        </row>
        <row r="843">
          <cell r="J843">
            <v>0.80000000000013638</v>
          </cell>
          <cell r="U843">
            <v>2022</v>
          </cell>
        </row>
        <row r="844">
          <cell r="J844">
            <v>1.0999999999999091</v>
          </cell>
          <cell r="U844">
            <v>2022</v>
          </cell>
        </row>
        <row r="845">
          <cell r="J845">
            <v>1.0999999999999091</v>
          </cell>
          <cell r="U845">
            <v>2022</v>
          </cell>
        </row>
        <row r="846">
          <cell r="J846">
            <v>2.1</v>
          </cell>
          <cell r="U846">
            <v>2022</v>
          </cell>
        </row>
        <row r="847">
          <cell r="J847">
            <v>1.3</v>
          </cell>
          <cell r="U847">
            <v>2022</v>
          </cell>
        </row>
        <row r="848">
          <cell r="J848">
            <v>1.6</v>
          </cell>
          <cell r="U848">
            <v>2022</v>
          </cell>
        </row>
        <row r="849">
          <cell r="J849">
            <v>3.3</v>
          </cell>
          <cell r="U849">
            <v>2022</v>
          </cell>
        </row>
        <row r="850">
          <cell r="J850">
            <v>1.7</v>
          </cell>
          <cell r="U850">
            <v>2022</v>
          </cell>
        </row>
        <row r="851">
          <cell r="J851">
            <v>0.7</v>
          </cell>
          <cell r="U851">
            <v>2022</v>
          </cell>
        </row>
        <row r="852">
          <cell r="J852">
            <v>0.5</v>
          </cell>
          <cell r="U852">
            <v>2022</v>
          </cell>
        </row>
        <row r="853">
          <cell r="J853">
            <v>0.89999999999986358</v>
          </cell>
          <cell r="U853">
            <v>2022</v>
          </cell>
        </row>
        <row r="854">
          <cell r="J854">
            <v>0.70000000000004547</v>
          </cell>
          <cell r="U854">
            <v>2022</v>
          </cell>
        </row>
        <row r="855">
          <cell r="J855">
            <v>1</v>
          </cell>
          <cell r="U855">
            <v>2022</v>
          </cell>
        </row>
        <row r="856">
          <cell r="J856">
            <v>0.70000000000004547</v>
          </cell>
          <cell r="U856">
            <v>2022</v>
          </cell>
        </row>
        <row r="857">
          <cell r="J857">
            <v>0.59999999999990905</v>
          </cell>
          <cell r="U857">
            <v>2022</v>
          </cell>
        </row>
        <row r="858">
          <cell r="J858">
            <v>0.5</v>
          </cell>
          <cell r="U858">
            <v>2022</v>
          </cell>
        </row>
        <row r="859">
          <cell r="J859">
            <v>1.1000000000001364</v>
          </cell>
          <cell r="U859">
            <v>2022</v>
          </cell>
        </row>
        <row r="860">
          <cell r="J860">
            <v>0.79999999999995453</v>
          </cell>
          <cell r="U860">
            <v>2022</v>
          </cell>
        </row>
        <row r="861">
          <cell r="J861">
            <v>1.4000000000000909</v>
          </cell>
          <cell r="U861">
            <v>2022</v>
          </cell>
        </row>
        <row r="862">
          <cell r="J862">
            <v>5.3999999999998636</v>
          </cell>
          <cell r="U862">
            <v>2022</v>
          </cell>
        </row>
        <row r="863">
          <cell r="J863">
            <v>2.1000000000001364</v>
          </cell>
          <cell r="U863">
            <v>2022</v>
          </cell>
        </row>
        <row r="864">
          <cell r="J864">
            <v>1.2999999999999545</v>
          </cell>
          <cell r="U864">
            <v>2022</v>
          </cell>
        </row>
        <row r="865">
          <cell r="J865">
            <v>2.5999999999999091</v>
          </cell>
          <cell r="U865">
            <v>2022</v>
          </cell>
        </row>
        <row r="866">
          <cell r="J866">
            <v>2.4000000000000909</v>
          </cell>
          <cell r="U866">
            <v>2022</v>
          </cell>
        </row>
        <row r="867">
          <cell r="J867">
            <v>1.8999999999998636</v>
          </cell>
          <cell r="U867">
            <v>2022</v>
          </cell>
        </row>
        <row r="868">
          <cell r="J868">
            <v>2.3000000000001819</v>
          </cell>
          <cell r="U868">
            <v>2022</v>
          </cell>
        </row>
        <row r="869">
          <cell r="J869">
            <v>1.5</v>
          </cell>
          <cell r="U869">
            <v>2022</v>
          </cell>
        </row>
        <row r="870">
          <cell r="J870">
            <v>2.7999999999999545</v>
          </cell>
          <cell r="U870">
            <v>2022</v>
          </cell>
        </row>
        <row r="871">
          <cell r="J871">
            <v>2.3999999999998636</v>
          </cell>
          <cell r="U871">
            <v>2022</v>
          </cell>
        </row>
        <row r="872">
          <cell r="J872">
            <v>0.40000000000009095</v>
          </cell>
          <cell r="U872">
            <v>2022</v>
          </cell>
        </row>
        <row r="873">
          <cell r="J873">
            <v>0.20000000000004547</v>
          </cell>
          <cell r="U873">
            <v>2022</v>
          </cell>
        </row>
        <row r="874">
          <cell r="J874">
            <v>1.5</v>
          </cell>
          <cell r="U874">
            <v>2022</v>
          </cell>
        </row>
        <row r="875">
          <cell r="J875">
            <v>0.79999999999995453</v>
          </cell>
          <cell r="U875">
            <v>2022</v>
          </cell>
        </row>
        <row r="876">
          <cell r="J876">
            <v>3.2000000000000455</v>
          </cell>
          <cell r="U876">
            <v>2022</v>
          </cell>
        </row>
        <row r="877">
          <cell r="J877">
            <v>2.2000000000000455</v>
          </cell>
          <cell r="U877">
            <v>2022</v>
          </cell>
        </row>
        <row r="878">
          <cell r="J878">
            <v>2.3999999999998636</v>
          </cell>
          <cell r="U878">
            <v>2022</v>
          </cell>
        </row>
        <row r="879">
          <cell r="J879">
            <v>2.2999999999999545</v>
          </cell>
          <cell r="U879">
            <v>2022</v>
          </cell>
        </row>
        <row r="880">
          <cell r="J880">
            <v>2.4000000000000909</v>
          </cell>
          <cell r="U880">
            <v>2022</v>
          </cell>
        </row>
        <row r="881">
          <cell r="J881">
            <v>2.5</v>
          </cell>
          <cell r="U881">
            <v>2022</v>
          </cell>
        </row>
        <row r="882">
          <cell r="J882">
            <v>1.7000000000000455</v>
          </cell>
          <cell r="U882">
            <v>2022</v>
          </cell>
        </row>
        <row r="883">
          <cell r="J883">
            <v>1.2999999999999545</v>
          </cell>
          <cell r="U883">
            <v>2023</v>
          </cell>
          <cell r="AF883">
            <v>329.20870739650883</v>
          </cell>
        </row>
        <row r="884">
          <cell r="J884">
            <v>0.90000000000009095</v>
          </cell>
          <cell r="U884">
            <v>2023</v>
          </cell>
          <cell r="AF884">
            <v>227.91372050530637</v>
          </cell>
        </row>
        <row r="885">
          <cell r="J885">
            <v>0.59999999999990905</v>
          </cell>
          <cell r="U885">
            <v>2023</v>
          </cell>
          <cell r="AF885">
            <v>134.06689441485221</v>
          </cell>
        </row>
        <row r="886">
          <cell r="J886">
            <v>0.59999999999990905</v>
          </cell>
          <cell r="U886">
            <v>2023</v>
          </cell>
          <cell r="AF886">
            <v>134.06689441485221</v>
          </cell>
        </row>
        <row r="887">
          <cell r="J887">
            <v>0.90000000000009095</v>
          </cell>
          <cell r="U887">
            <v>2023</v>
          </cell>
          <cell r="AF887">
            <v>201.10034162232913</v>
          </cell>
        </row>
        <row r="888">
          <cell r="J888">
            <v>0.5</v>
          </cell>
          <cell r="U888">
            <v>2023</v>
          </cell>
          <cell r="AF888">
            <v>111.72241201239379</v>
          </cell>
        </row>
        <row r="889">
          <cell r="J889">
            <v>2.2000000000000455</v>
          </cell>
          <cell r="U889">
            <v>2023</v>
          </cell>
          <cell r="AF889">
            <v>458.8067053309066</v>
          </cell>
        </row>
        <row r="890">
          <cell r="J890">
            <v>2</v>
          </cell>
          <cell r="U890">
            <v>2023</v>
          </cell>
          <cell r="AF890">
            <v>417.09700484627012</v>
          </cell>
        </row>
        <row r="891">
          <cell r="J891">
            <v>0.70000000000004547</v>
          </cell>
          <cell r="U891">
            <v>2023</v>
          </cell>
          <cell r="AF891">
            <v>177.26622705967634</v>
          </cell>
        </row>
        <row r="892">
          <cell r="J892">
            <v>1.2999999999999545</v>
          </cell>
          <cell r="U892">
            <v>2023</v>
          </cell>
          <cell r="AF892">
            <v>290.47827123221367</v>
          </cell>
        </row>
        <row r="893">
          <cell r="J893">
            <v>1.5</v>
          </cell>
          <cell r="U893">
            <v>2023</v>
          </cell>
          <cell r="AF893">
            <v>335.1672360371814</v>
          </cell>
        </row>
        <row r="894">
          <cell r="J894">
            <v>0.70000000000004547</v>
          </cell>
          <cell r="U894">
            <v>2023</v>
          </cell>
          <cell r="AF894">
            <v>0</v>
          </cell>
        </row>
        <row r="895">
          <cell r="J895">
            <v>2.2999999999999545</v>
          </cell>
          <cell r="U895">
            <v>2023</v>
          </cell>
          <cell r="AF895">
            <v>479.66155557320121</v>
          </cell>
        </row>
        <row r="896">
          <cell r="J896">
            <v>1.3999999999998636</v>
          </cell>
          <cell r="U896">
            <v>2023</v>
          </cell>
          <cell r="AF896">
            <v>281.5404782712049</v>
          </cell>
        </row>
        <row r="897">
          <cell r="J897">
            <v>1</v>
          </cell>
          <cell r="U897">
            <v>2023</v>
          </cell>
          <cell r="AF897">
            <v>201.1003416223088</v>
          </cell>
        </row>
        <row r="898">
          <cell r="J898">
            <v>1.4000000000000909</v>
          </cell>
          <cell r="U898">
            <v>2023</v>
          </cell>
          <cell r="AF898">
            <v>312.82275363472291</v>
          </cell>
        </row>
        <row r="899">
          <cell r="J899">
            <v>3.5</v>
          </cell>
          <cell r="U899">
            <v>2023</v>
          </cell>
          <cell r="AF899">
            <v>860.26257249543221</v>
          </cell>
        </row>
        <row r="900">
          <cell r="J900">
            <v>1.7999999999999545</v>
          </cell>
          <cell r="U900">
            <v>2023</v>
          </cell>
          <cell r="AF900">
            <v>442.42075156906816</v>
          </cell>
        </row>
        <row r="901">
          <cell r="J901">
            <v>2.2999999999999545</v>
          </cell>
          <cell r="U901">
            <v>2023</v>
          </cell>
          <cell r="AF901">
            <v>479.66155557320121</v>
          </cell>
        </row>
        <row r="902">
          <cell r="J902">
            <v>1.3000000000001819</v>
          </cell>
          <cell r="U902">
            <v>2023</v>
          </cell>
          <cell r="AF902">
            <v>393.62617581637369</v>
          </cell>
        </row>
        <row r="903">
          <cell r="J903">
            <v>2.3999999999998636</v>
          </cell>
          <cell r="U903">
            <v>2023</v>
          </cell>
          <cell r="AF903">
            <v>500.51640581549572</v>
          </cell>
        </row>
        <row r="904">
          <cell r="J904">
            <v>1</v>
          </cell>
          <cell r="U904">
            <v>2023</v>
          </cell>
          <cell r="AF904">
            <v>245.78930642726633</v>
          </cell>
        </row>
        <row r="905">
          <cell r="J905">
            <v>1</v>
          </cell>
          <cell r="U905">
            <v>2023</v>
          </cell>
          <cell r="AF905">
            <v>238.34114562644007</v>
          </cell>
        </row>
        <row r="906">
          <cell r="J906">
            <v>1.9000000000000909</v>
          </cell>
          <cell r="U906">
            <v>2023</v>
          </cell>
          <cell r="AF906">
            <v>575.64342228095256</v>
          </cell>
        </row>
        <row r="907">
          <cell r="J907">
            <v>1.8999999999998636</v>
          </cell>
          <cell r="U907">
            <v>2023</v>
          </cell>
          <cell r="AF907">
            <v>575.6717818979489</v>
          </cell>
        </row>
        <row r="908">
          <cell r="J908">
            <v>1.5</v>
          </cell>
          <cell r="U908">
            <v>2023</v>
          </cell>
          <cell r="AF908">
            <v>312.82275363470262</v>
          </cell>
        </row>
        <row r="909">
          <cell r="J909">
            <v>3.3000000000001819</v>
          </cell>
          <cell r="U909">
            <v>2023</v>
          </cell>
          <cell r="AF909">
            <v>663.63112735365576</v>
          </cell>
        </row>
        <row r="910">
          <cell r="J910">
            <v>2</v>
          </cell>
          <cell r="U910">
            <v>2023</v>
          </cell>
          <cell r="AF910">
            <v>552.88868475411164</v>
          </cell>
        </row>
        <row r="911">
          <cell r="J911">
            <v>3.5999999999999091</v>
          </cell>
          <cell r="U911">
            <v>2023</v>
          </cell>
          <cell r="AF911">
            <v>804.40136648921487</v>
          </cell>
        </row>
        <row r="912">
          <cell r="J912">
            <v>2.4000000000000909</v>
          </cell>
          <cell r="U912">
            <v>2023</v>
          </cell>
          <cell r="AF912">
            <v>536.26757765951049</v>
          </cell>
        </row>
        <row r="913">
          <cell r="J913">
            <v>1.3999999999998636</v>
          </cell>
          <cell r="U913">
            <v>2023</v>
          </cell>
          <cell r="AF913">
            <v>312.8227536346721</v>
          </cell>
        </row>
        <row r="914">
          <cell r="J914">
            <v>2</v>
          </cell>
          <cell r="U914">
            <v>2023</v>
          </cell>
          <cell r="AF914">
            <v>605.86255164058184</v>
          </cell>
        </row>
        <row r="915">
          <cell r="J915">
            <v>1</v>
          </cell>
          <cell r="U915">
            <v>2023</v>
          </cell>
          <cell r="AF915">
            <v>223.44482402478758</v>
          </cell>
        </row>
        <row r="916">
          <cell r="J916">
            <v>3.2000000000000455</v>
          </cell>
          <cell r="U916">
            <v>2023</v>
          </cell>
          <cell r="AF916">
            <v>643.52109319139731</v>
          </cell>
        </row>
        <row r="917">
          <cell r="J917">
            <v>1.5999999999999091</v>
          </cell>
          <cell r="U917">
            <v>2023</v>
          </cell>
          <cell r="AF917">
            <v>357.51171843963982</v>
          </cell>
        </row>
        <row r="918">
          <cell r="J918">
            <v>2</v>
          </cell>
          <cell r="U918">
            <v>2023</v>
          </cell>
          <cell r="AF918">
            <v>606.17474874870925</v>
          </cell>
        </row>
        <row r="919">
          <cell r="J919">
            <v>0.70000000000004547</v>
          </cell>
          <cell r="U919">
            <v>2023</v>
          </cell>
          <cell r="AF919">
            <v>140.7702391356253</v>
          </cell>
        </row>
        <row r="920">
          <cell r="J920">
            <v>2.9000000000000909</v>
          </cell>
          <cell r="U920">
            <v>2023</v>
          </cell>
          <cell r="AF920">
            <v>583.19099070471384</v>
          </cell>
        </row>
        <row r="921">
          <cell r="J921">
            <v>2</v>
          </cell>
          <cell r="U921">
            <v>2023</v>
          </cell>
          <cell r="AF921">
            <v>606.81496285850506</v>
          </cell>
        </row>
        <row r="922">
          <cell r="J922">
            <v>0.5</v>
          </cell>
          <cell r="U922">
            <v>2023</v>
          </cell>
          <cell r="AF922">
            <v>111.72241201239379</v>
          </cell>
        </row>
        <row r="923">
          <cell r="J923">
            <v>0.89999999999986358</v>
          </cell>
          <cell r="U923">
            <v>2023</v>
          </cell>
          <cell r="AF923">
            <v>227.91372050524876</v>
          </cell>
        </row>
        <row r="924">
          <cell r="J924">
            <v>0.8000000000001819</v>
          </cell>
          <cell r="U924">
            <v>2023</v>
          </cell>
          <cell r="AF924">
            <v>0</v>
          </cell>
        </row>
        <row r="925">
          <cell r="J925">
            <v>0.5</v>
          </cell>
          <cell r="U925">
            <v>2023</v>
          </cell>
          <cell r="AF925">
            <v>0</v>
          </cell>
        </row>
        <row r="926">
          <cell r="J926">
            <v>1</v>
          </cell>
          <cell r="U926">
            <v>2023</v>
          </cell>
          <cell r="AF926">
            <v>0</v>
          </cell>
        </row>
        <row r="927">
          <cell r="J927">
            <v>1.0999999999999091</v>
          </cell>
          <cell r="U927">
            <v>2023</v>
          </cell>
          <cell r="AF927">
            <v>245.789306427246</v>
          </cell>
        </row>
        <row r="928">
          <cell r="J928">
            <v>1.2999999999999545</v>
          </cell>
          <cell r="U928">
            <v>2023</v>
          </cell>
          <cell r="AF928">
            <v>329.20870739650883</v>
          </cell>
        </row>
        <row r="929">
          <cell r="J929">
            <v>0.90000000000009095</v>
          </cell>
          <cell r="U929">
            <v>2023</v>
          </cell>
          <cell r="AF929">
            <v>201.10034162232913</v>
          </cell>
        </row>
        <row r="930">
          <cell r="J930">
            <v>0.70000000000004547</v>
          </cell>
          <cell r="U930">
            <v>2023</v>
          </cell>
          <cell r="AF930">
            <v>177.26622705967634</v>
          </cell>
        </row>
        <row r="931">
          <cell r="J931">
            <v>2</v>
          </cell>
          <cell r="U931">
            <v>2023</v>
          </cell>
          <cell r="AF931">
            <v>607.62150929530492</v>
          </cell>
        </row>
        <row r="932">
          <cell r="J932">
            <v>1.1999999999998181</v>
          </cell>
          <cell r="U932">
            <v>2023</v>
          </cell>
          <cell r="AF932">
            <v>303.88496067366503</v>
          </cell>
        </row>
        <row r="933">
          <cell r="J933">
            <v>0.20000000000004547</v>
          </cell>
          <cell r="U933">
            <v>2023</v>
          </cell>
          <cell r="AF933">
            <v>44.688964804967675</v>
          </cell>
        </row>
        <row r="934">
          <cell r="J934">
            <v>0.70000000000004547</v>
          </cell>
          <cell r="U934">
            <v>2023</v>
          </cell>
          <cell r="AF934">
            <v>156.41137681736146</v>
          </cell>
        </row>
        <row r="935">
          <cell r="J935">
            <v>1.2000000000000455</v>
          </cell>
          <cell r="U935">
            <v>2023</v>
          </cell>
          <cell r="AF935">
            <v>303.88496067372256</v>
          </cell>
        </row>
        <row r="936">
          <cell r="J936">
            <v>1.5</v>
          </cell>
          <cell r="U936">
            <v>2023</v>
          </cell>
          <cell r="AF936">
            <v>455.7977116767301</v>
          </cell>
        </row>
        <row r="937">
          <cell r="J937">
            <v>1.8999999999998636</v>
          </cell>
          <cell r="U937">
            <v>2023</v>
          </cell>
          <cell r="AF937">
            <v>577.41759652812266</v>
          </cell>
        </row>
        <row r="938">
          <cell r="J938">
            <v>1.2000000000000455</v>
          </cell>
          <cell r="U938">
            <v>2023</v>
          </cell>
          <cell r="AF938">
            <v>364.69412886312671</v>
          </cell>
        </row>
        <row r="939">
          <cell r="J939">
            <v>0.90000000000009095</v>
          </cell>
          <cell r="U939">
            <v>2023</v>
          </cell>
          <cell r="AF939">
            <v>230.06844363234239</v>
          </cell>
        </row>
        <row r="940">
          <cell r="J940">
            <v>0.59999999999990905</v>
          </cell>
          <cell r="U940">
            <v>2023</v>
          </cell>
          <cell r="AF940">
            <v>134.06689441485221</v>
          </cell>
        </row>
        <row r="941">
          <cell r="J941">
            <v>0.70000000000004547</v>
          </cell>
          <cell r="U941">
            <v>2023</v>
          </cell>
          <cell r="AF941">
            <v>177.26622705967634</v>
          </cell>
        </row>
        <row r="942">
          <cell r="J942">
            <v>1.7000000000000455</v>
          </cell>
          <cell r="U942">
            <v>2023</v>
          </cell>
          <cell r="AF942">
            <v>516.72936784977958</v>
          </cell>
        </row>
        <row r="943">
          <cell r="J943">
            <v>0.70000000000004547</v>
          </cell>
          <cell r="U943">
            <v>2023</v>
          </cell>
          <cell r="AF943">
            <v>212.79270427823744</v>
          </cell>
        </row>
        <row r="944">
          <cell r="J944">
            <v>0.89999999999986358</v>
          </cell>
          <cell r="U944">
            <v>2023</v>
          </cell>
          <cell r="AF944">
            <v>230.09645288786541</v>
          </cell>
        </row>
        <row r="945">
          <cell r="J945">
            <v>2.9000000000000909</v>
          </cell>
          <cell r="U945">
            <v>2023</v>
          </cell>
          <cell r="AF945">
            <v>734.38865496149151</v>
          </cell>
        </row>
        <row r="946">
          <cell r="J946">
            <v>0.79999999999995453</v>
          </cell>
          <cell r="U946">
            <v>2023</v>
          </cell>
          <cell r="AF946">
            <v>243.19788273614265</v>
          </cell>
        </row>
        <row r="947">
          <cell r="J947">
            <v>0.70000000000004547</v>
          </cell>
          <cell r="U947">
            <v>2023</v>
          </cell>
          <cell r="AF947">
            <v>178.96608504807713</v>
          </cell>
        </row>
        <row r="948">
          <cell r="J948">
            <v>1.5</v>
          </cell>
          <cell r="U948">
            <v>2023</v>
          </cell>
          <cell r="AF948">
            <v>335.1672360371814</v>
          </cell>
        </row>
        <row r="949">
          <cell r="J949">
            <v>1.3999999999998636</v>
          </cell>
          <cell r="U949">
            <v>2023</v>
          </cell>
          <cell r="AF949">
            <v>354.53245411929504</v>
          </cell>
        </row>
        <row r="950">
          <cell r="J950">
            <v>0.70000000000004547</v>
          </cell>
          <cell r="U950">
            <v>2023</v>
          </cell>
          <cell r="AF950">
            <v>212.82558194964443</v>
          </cell>
        </row>
        <row r="951">
          <cell r="J951">
            <v>1.1000000000001364</v>
          </cell>
          <cell r="U951">
            <v>2023</v>
          </cell>
          <cell r="AF951">
            <v>281.24966393901957</v>
          </cell>
        </row>
        <row r="952">
          <cell r="J952">
            <v>0.5</v>
          </cell>
          <cell r="U952">
            <v>2023</v>
          </cell>
          <cell r="AF952">
            <v>152.02096533129426</v>
          </cell>
        </row>
        <row r="953">
          <cell r="J953">
            <v>1.3999999999998636</v>
          </cell>
          <cell r="U953">
            <v>2023</v>
          </cell>
          <cell r="AF953">
            <v>357.95713335183621</v>
          </cell>
        </row>
        <row r="954">
          <cell r="J954">
            <v>0.6</v>
          </cell>
          <cell r="U954">
            <v>2023</v>
          </cell>
          <cell r="AF954">
            <v>120.66020497338528</v>
          </cell>
        </row>
        <row r="955">
          <cell r="J955">
            <v>1.7</v>
          </cell>
          <cell r="U955">
            <v>2023</v>
          </cell>
          <cell r="AF955">
            <v>379.85620084213889</v>
          </cell>
        </row>
        <row r="956">
          <cell r="J956">
            <v>3.3</v>
          </cell>
          <cell r="U956">
            <v>2023</v>
          </cell>
          <cell r="AF956">
            <v>1003.5244828493688</v>
          </cell>
        </row>
        <row r="957">
          <cell r="J957">
            <v>0.59999999999990905</v>
          </cell>
          <cell r="U957">
            <v>2023</v>
          </cell>
          <cell r="AF957">
            <v>134.06689441485221</v>
          </cell>
        </row>
        <row r="958">
          <cell r="J958">
            <v>2.4</v>
          </cell>
          <cell r="U958">
            <v>2023</v>
          </cell>
          <cell r="AF958">
            <v>536.26757765949014</v>
          </cell>
        </row>
        <row r="959">
          <cell r="J959">
            <v>1.7999999999999545</v>
          </cell>
          <cell r="U959">
            <v>2023</v>
          </cell>
          <cell r="AF959">
            <v>506.39028759830313</v>
          </cell>
        </row>
        <row r="960">
          <cell r="J960">
            <v>1.0999999999999091</v>
          </cell>
          <cell r="U960">
            <v>2023</v>
          </cell>
          <cell r="AF960">
            <v>245.789306427246</v>
          </cell>
        </row>
        <row r="961">
          <cell r="J961">
            <v>0.90000000000009095</v>
          </cell>
          <cell r="U961">
            <v>2023</v>
          </cell>
          <cell r="AF961">
            <v>180.9903074600962</v>
          </cell>
        </row>
        <row r="962">
          <cell r="J962">
            <v>1.5999999999999091</v>
          </cell>
          <cell r="U962">
            <v>2023</v>
          </cell>
          <cell r="AF962">
            <v>321.76054659567581</v>
          </cell>
        </row>
        <row r="963">
          <cell r="J963">
            <v>3.1000000000001364</v>
          </cell>
          <cell r="U963">
            <v>2023</v>
          </cell>
          <cell r="AF963">
            <v>623.4110590291848</v>
          </cell>
        </row>
        <row r="964">
          <cell r="J964">
            <v>2</v>
          </cell>
          <cell r="U964">
            <v>2023</v>
          </cell>
          <cell r="AF964">
            <v>446.88964804957516</v>
          </cell>
        </row>
        <row r="965">
          <cell r="J965">
            <v>0.39999999999986358</v>
          </cell>
          <cell r="U965">
            <v>2023</v>
          </cell>
          <cell r="AF965">
            <v>101.29498689120248</v>
          </cell>
        </row>
        <row r="966">
          <cell r="J966">
            <v>1.4000000000000909</v>
          </cell>
          <cell r="U966">
            <v>2023</v>
          </cell>
          <cell r="AF966">
            <v>425.6287970724041</v>
          </cell>
        </row>
        <row r="967">
          <cell r="J967">
            <v>0.70000000000004547</v>
          </cell>
          <cell r="U967">
            <v>2023</v>
          </cell>
          <cell r="AF967">
            <v>156.41137681736146</v>
          </cell>
        </row>
        <row r="968">
          <cell r="J968">
            <v>3.2999999999999545</v>
          </cell>
          <cell r="U968">
            <v>2023</v>
          </cell>
          <cell r="AF968">
            <v>688.21005799633622</v>
          </cell>
        </row>
        <row r="969">
          <cell r="J969">
            <v>1.7000000000000455</v>
          </cell>
          <cell r="U969">
            <v>2023</v>
          </cell>
          <cell r="AF969">
            <v>379.85620084214901</v>
          </cell>
        </row>
        <row r="970">
          <cell r="J970">
            <v>2.5</v>
          </cell>
          <cell r="U970">
            <v>2023</v>
          </cell>
          <cell r="AF970">
            <v>558.61206006196892</v>
          </cell>
        </row>
        <row r="971">
          <cell r="J971">
            <v>1.5</v>
          </cell>
          <cell r="U971">
            <v>2023</v>
          </cell>
          <cell r="AF971">
            <v>335.1672360371814</v>
          </cell>
        </row>
        <row r="972">
          <cell r="J972">
            <v>1.5</v>
          </cell>
          <cell r="U972">
            <v>2023</v>
          </cell>
          <cell r="AF972">
            <v>335.1672360371814</v>
          </cell>
        </row>
        <row r="973">
          <cell r="J973">
            <v>1.7999999999999545</v>
          </cell>
          <cell r="U973">
            <v>2023</v>
          </cell>
          <cell r="AF973">
            <v>442.42075156906816</v>
          </cell>
        </row>
        <row r="974">
          <cell r="J974">
            <v>0.79999999999995453</v>
          </cell>
          <cell r="U974">
            <v>2023</v>
          </cell>
          <cell r="AF974">
            <v>0</v>
          </cell>
        </row>
        <row r="975">
          <cell r="J975">
            <v>0.20000000000004547</v>
          </cell>
          <cell r="U975">
            <v>2023</v>
          </cell>
          <cell r="AF975">
            <v>0</v>
          </cell>
        </row>
        <row r="976">
          <cell r="J976">
            <v>1.8000000000001819</v>
          </cell>
          <cell r="U976">
            <v>2023</v>
          </cell>
          <cell r="AF976">
            <v>402.20068324465825</v>
          </cell>
        </row>
        <row r="977">
          <cell r="J977">
            <v>1.7999999999999545</v>
          </cell>
          <cell r="U977">
            <v>2023</v>
          </cell>
          <cell r="AF977">
            <v>402.20068324460743</v>
          </cell>
        </row>
        <row r="978">
          <cell r="J978">
            <v>1.0999999999999091</v>
          </cell>
          <cell r="U978">
            <v>2023</v>
          </cell>
          <cell r="AF978">
            <v>245.789306427246</v>
          </cell>
        </row>
        <row r="979">
          <cell r="J979">
            <v>1.9000000000000909</v>
          </cell>
          <cell r="U979">
            <v>2023</v>
          </cell>
          <cell r="AF979">
            <v>382.09064908240504</v>
          </cell>
        </row>
        <row r="980">
          <cell r="J980">
            <v>1.7999999999999545</v>
          </cell>
          <cell r="U980">
            <v>2023</v>
          </cell>
          <cell r="AF980">
            <v>402.20068324460743</v>
          </cell>
        </row>
        <row r="981">
          <cell r="J981">
            <v>0.59999999999990905</v>
          </cell>
          <cell r="U981">
            <v>2023</v>
          </cell>
          <cell r="AF981">
            <v>134.06689441485221</v>
          </cell>
        </row>
        <row r="982">
          <cell r="J982">
            <v>0.5</v>
          </cell>
          <cell r="U982">
            <v>2023</v>
          </cell>
          <cell r="AF982">
            <v>111.72241201239379</v>
          </cell>
        </row>
        <row r="983">
          <cell r="J983">
            <v>0.40000000000009095</v>
          </cell>
          <cell r="U983">
            <v>2023</v>
          </cell>
          <cell r="AF983">
            <v>89.37792960993535</v>
          </cell>
        </row>
        <row r="984">
          <cell r="J984">
            <v>0.40000000000009095</v>
          </cell>
          <cell r="U984">
            <v>2023</v>
          </cell>
          <cell r="AF984">
            <v>89.37792960993535</v>
          </cell>
        </row>
        <row r="985">
          <cell r="J985">
            <v>0.6999999999998181</v>
          </cell>
          <cell r="U985">
            <v>2023</v>
          </cell>
          <cell r="AF985">
            <v>156.41137681731064</v>
          </cell>
        </row>
        <row r="986">
          <cell r="J986">
            <v>0.90000000000009095</v>
          </cell>
          <cell r="U986">
            <v>2023</v>
          </cell>
          <cell r="AF986">
            <v>273.89126479704055</v>
          </cell>
        </row>
        <row r="987">
          <cell r="J987">
            <v>0.5</v>
          </cell>
          <cell r="U987">
            <v>2023</v>
          </cell>
          <cell r="AF987">
            <v>126.61873361404629</v>
          </cell>
        </row>
        <row r="988">
          <cell r="J988">
            <v>0.5</v>
          </cell>
          <cell r="U988">
            <v>2023</v>
          </cell>
          <cell r="AF988">
            <v>111.72241201239379</v>
          </cell>
        </row>
        <row r="989">
          <cell r="J989">
            <v>2.2999999999999545</v>
          </cell>
          <cell r="U989">
            <v>2023</v>
          </cell>
          <cell r="AF989">
            <v>513.92309525700125</v>
          </cell>
        </row>
        <row r="990">
          <cell r="J990">
            <v>2.2999999999999545</v>
          </cell>
          <cell r="U990">
            <v>2023</v>
          </cell>
          <cell r="AF990">
            <v>513.92309525700125</v>
          </cell>
        </row>
        <row r="991">
          <cell r="J991">
            <v>1.1000000000001364</v>
          </cell>
          <cell r="U991">
            <v>2023</v>
          </cell>
          <cell r="AF991">
            <v>311.09734890169136</v>
          </cell>
        </row>
        <row r="992">
          <cell r="J992">
            <v>0.89999999999986358</v>
          </cell>
          <cell r="U992">
            <v>2023</v>
          </cell>
          <cell r="AF992">
            <v>225.23238261694806</v>
          </cell>
        </row>
        <row r="993">
          <cell r="J993">
            <v>2</v>
          </cell>
          <cell r="U993">
            <v>2023</v>
          </cell>
          <cell r="AF993">
            <v>446.88964804957516</v>
          </cell>
        </row>
        <row r="994">
          <cell r="J994">
            <v>2.6000000000001364</v>
          </cell>
          <cell r="U994">
            <v>2023</v>
          </cell>
          <cell r="AF994">
            <v>580.95654246447816</v>
          </cell>
        </row>
        <row r="995">
          <cell r="J995">
            <v>0.59999999999990905</v>
          </cell>
          <cell r="U995">
            <v>2023</v>
          </cell>
          <cell r="AF995">
            <v>0</v>
          </cell>
        </row>
        <row r="996">
          <cell r="J996">
            <v>2.4000000000000909</v>
          </cell>
          <cell r="U996">
            <v>2023</v>
          </cell>
          <cell r="AF996">
            <v>589.89433542546158</v>
          </cell>
        </row>
        <row r="997">
          <cell r="J997">
            <v>1.5999999999999091</v>
          </cell>
          <cell r="U997">
            <v>2023</v>
          </cell>
          <cell r="AF997">
            <v>405.1799475649251</v>
          </cell>
        </row>
        <row r="998">
          <cell r="J998">
            <v>2.9000000000000909</v>
          </cell>
          <cell r="U998">
            <v>2023</v>
          </cell>
          <cell r="AF998">
            <v>742.0097602685546</v>
          </cell>
        </row>
        <row r="999">
          <cell r="J999">
            <v>2.7000000000000455</v>
          </cell>
          <cell r="U999">
            <v>2023</v>
          </cell>
          <cell r="AF999">
            <v>603.30102486693659</v>
          </cell>
        </row>
        <row r="1000">
          <cell r="J1000">
            <v>1.1999999999998181</v>
          </cell>
          <cell r="U1000">
            <v>2023</v>
          </cell>
          <cell r="AF1000">
            <v>268.13378882970443</v>
          </cell>
        </row>
        <row r="1001">
          <cell r="J1001">
            <v>1.5</v>
          </cell>
          <cell r="U1001">
            <v>2023</v>
          </cell>
          <cell r="AF1001">
            <v>301.65051243346323</v>
          </cell>
        </row>
        <row r="1002">
          <cell r="J1002">
            <v>0.5</v>
          </cell>
          <cell r="U1002">
            <v>2023</v>
          </cell>
          <cell r="AF1002">
            <v>111.72241201239379</v>
          </cell>
        </row>
        <row r="1003">
          <cell r="J1003">
            <v>1.3000000000001819</v>
          </cell>
          <cell r="U1003">
            <v>2023</v>
          </cell>
          <cell r="AF1003">
            <v>271.1130531501135</v>
          </cell>
        </row>
        <row r="1004">
          <cell r="J1004">
            <v>2.2999999999999545</v>
          </cell>
          <cell r="U1004">
            <v>2023</v>
          </cell>
          <cell r="AF1004">
            <v>479.66155557320121</v>
          </cell>
        </row>
        <row r="1005">
          <cell r="J1005">
            <v>2</v>
          </cell>
          <cell r="U1005">
            <v>2023</v>
          </cell>
          <cell r="AF1005">
            <v>417.09700484627012</v>
          </cell>
        </row>
        <row r="1006">
          <cell r="J1006">
            <v>3.5999999999999091</v>
          </cell>
          <cell r="U1006">
            <v>2023</v>
          </cell>
          <cell r="AF1006">
            <v>921.58926034795513</v>
          </cell>
        </row>
        <row r="1007">
          <cell r="J1007">
            <v>0.70000000000004547</v>
          </cell>
          <cell r="U1007">
            <v>2023</v>
          </cell>
          <cell r="AF1007">
            <v>177.26622705967634</v>
          </cell>
        </row>
        <row r="1008">
          <cell r="J1008">
            <v>2.5</v>
          </cell>
          <cell r="U1008">
            <v>2023</v>
          </cell>
          <cell r="AF1008">
            <v>521.37125605783763</v>
          </cell>
        </row>
        <row r="1009">
          <cell r="J1009">
            <v>1.9000000000000909</v>
          </cell>
          <cell r="U1009">
            <v>2023</v>
          </cell>
          <cell r="AF1009">
            <v>396.24215460397562</v>
          </cell>
        </row>
        <row r="1010">
          <cell r="J1010">
            <v>1.1999999999998181</v>
          </cell>
          <cell r="U1010">
            <v>2023</v>
          </cell>
          <cell r="AF1010">
            <v>294.94716771267485</v>
          </cell>
        </row>
        <row r="1011">
          <cell r="J1011">
            <v>1.5</v>
          </cell>
          <cell r="U1011">
            <v>2023</v>
          </cell>
          <cell r="AF1011">
            <v>335.1672360371814</v>
          </cell>
        </row>
        <row r="1012">
          <cell r="J1012">
            <v>2.2000000000000455</v>
          </cell>
          <cell r="U1012">
            <v>2023</v>
          </cell>
          <cell r="AF1012">
            <v>671.05588156432646</v>
          </cell>
        </row>
        <row r="1013">
          <cell r="J1013">
            <v>0.79999999999995453</v>
          </cell>
          <cell r="U1013">
            <v>2023</v>
          </cell>
          <cell r="AF1013">
            <v>204.86859378722923</v>
          </cell>
        </row>
        <row r="1014">
          <cell r="J1014">
            <v>2.1000000000001364</v>
          </cell>
          <cell r="U1014">
            <v>2023</v>
          </cell>
          <cell r="AF1014">
            <v>422.31071740687594</v>
          </cell>
        </row>
        <row r="1015">
          <cell r="J1015">
            <v>1.0999999999999091</v>
          </cell>
          <cell r="U1015">
            <v>2023</v>
          </cell>
          <cell r="AF1015">
            <v>221.2103757845214</v>
          </cell>
        </row>
        <row r="1016">
          <cell r="J1016">
            <v>1</v>
          </cell>
          <cell r="U1016">
            <v>2023</v>
          </cell>
          <cell r="AF1016">
            <v>223.44482402478758</v>
          </cell>
        </row>
        <row r="1017">
          <cell r="J1017">
            <v>1.2000000000000455</v>
          </cell>
          <cell r="U1017">
            <v>2023</v>
          </cell>
          <cell r="AF1017">
            <v>0</v>
          </cell>
        </row>
        <row r="1018">
          <cell r="J1018">
            <v>0.59999999999990905</v>
          </cell>
          <cell r="U1018">
            <v>2024</v>
          </cell>
          <cell r="AF1018">
            <v>151.94248033683252</v>
          </cell>
        </row>
        <row r="1019">
          <cell r="J1019">
            <v>1.5</v>
          </cell>
          <cell r="U1019">
            <v>2024</v>
          </cell>
          <cell r="AF1019">
            <v>335.1672360371814</v>
          </cell>
        </row>
        <row r="1020">
          <cell r="J1020">
            <v>1.7000000000000455</v>
          </cell>
          <cell r="U1020">
            <v>2024</v>
          </cell>
          <cell r="AF1020">
            <v>341.87058075793414</v>
          </cell>
        </row>
        <row r="1021">
          <cell r="J1021">
            <v>2.9000000000000909</v>
          </cell>
          <cell r="U1021">
            <v>2024</v>
          </cell>
          <cell r="AF1021">
            <v>647.98998967190425</v>
          </cell>
        </row>
        <row r="1022">
          <cell r="J1022">
            <v>1</v>
          </cell>
          <cell r="U1022">
            <v>2024</v>
          </cell>
          <cell r="AF1022">
            <v>278.34965639151517</v>
          </cell>
        </row>
        <row r="1023">
          <cell r="J1023">
            <v>1.5</v>
          </cell>
          <cell r="U1023">
            <v>2024</v>
          </cell>
          <cell r="AF1023">
            <v>391.02844204337828</v>
          </cell>
        </row>
        <row r="1024">
          <cell r="J1024">
            <v>1.5999999999999091</v>
          </cell>
          <cell r="U1024">
            <v>2024</v>
          </cell>
          <cell r="AF1024">
            <v>445.27426710095204</v>
          </cell>
        </row>
        <row r="1025">
          <cell r="J1025">
            <v>3.2000000000000455</v>
          </cell>
          <cell r="U1025">
            <v>2024</v>
          </cell>
          <cell r="AF1025">
            <v>834.19400969255207</v>
          </cell>
        </row>
        <row r="1026">
          <cell r="J1026">
            <v>1.2999999999999545</v>
          </cell>
          <cell r="U1026">
            <v>2024</v>
          </cell>
          <cell r="AF1026">
            <v>290.47827123221367</v>
          </cell>
        </row>
        <row r="1027">
          <cell r="J1027">
            <v>1.6000000000001364</v>
          </cell>
          <cell r="U1027">
            <v>2024</v>
          </cell>
          <cell r="AF1027">
            <v>405.17994756498263</v>
          </cell>
        </row>
        <row r="1028">
          <cell r="J1028">
            <v>1.6999999999998181</v>
          </cell>
          <cell r="U1028">
            <v>2024</v>
          </cell>
          <cell r="AF1028">
            <v>472.99841006589065</v>
          </cell>
        </row>
        <row r="1029">
          <cell r="J1029">
            <v>2.9000000000000909</v>
          </cell>
          <cell r="U1029">
            <v>2024</v>
          </cell>
          <cell r="AF1029">
            <v>755.98832128388835</v>
          </cell>
        </row>
        <row r="1030">
          <cell r="J1030">
            <v>2.7000000000000455</v>
          </cell>
          <cell r="U1030">
            <v>2024</v>
          </cell>
          <cell r="AF1030">
            <v>683.74116151586145</v>
          </cell>
        </row>
        <row r="1031">
          <cell r="J1031">
            <v>3.3999999999998636</v>
          </cell>
          <cell r="U1031">
            <v>2024</v>
          </cell>
          <cell r="AF1031">
            <v>658.41741479301436</v>
          </cell>
        </row>
        <row r="1032">
          <cell r="J1032">
            <v>3.2000000000000455</v>
          </cell>
          <cell r="U1032">
            <v>2024</v>
          </cell>
          <cell r="AF1032">
            <v>619.68697862875285</v>
          </cell>
        </row>
        <row r="1033">
          <cell r="J1033">
            <v>1.1000000000001364</v>
          </cell>
          <cell r="U1033">
            <v>2024</v>
          </cell>
          <cell r="AF1033">
            <v>262.17526018911656</v>
          </cell>
        </row>
        <row r="1034">
          <cell r="J1034">
            <v>0.5</v>
          </cell>
          <cell r="U1034">
            <v>2024</v>
          </cell>
          <cell r="AF1034">
            <v>111.72241201239379</v>
          </cell>
        </row>
        <row r="1035">
          <cell r="J1035">
            <v>0.79999999999995453</v>
          </cell>
          <cell r="U1035">
            <v>2024</v>
          </cell>
          <cell r="AF1035">
            <v>222.50925160879021</v>
          </cell>
        </row>
        <row r="1036">
          <cell r="J1036">
            <v>0.5</v>
          </cell>
          <cell r="U1036">
            <v>2024</v>
          </cell>
          <cell r="AF1036">
            <v>111.72241201239379</v>
          </cell>
        </row>
        <row r="1037">
          <cell r="J1037">
            <v>0.59999999999990905</v>
          </cell>
          <cell r="U1037">
            <v>2024</v>
          </cell>
          <cell r="AF1037">
            <v>134.06689441485221</v>
          </cell>
        </row>
        <row r="1038">
          <cell r="J1038">
            <v>0.5</v>
          </cell>
          <cell r="U1038">
            <v>2024</v>
          </cell>
          <cell r="AF1038">
            <v>111.72241201239379</v>
          </cell>
        </row>
        <row r="1039">
          <cell r="J1039">
            <v>1</v>
          </cell>
          <cell r="U1039">
            <v>2024</v>
          </cell>
          <cell r="AF1039">
            <v>223.44482402478758</v>
          </cell>
        </row>
        <row r="1040">
          <cell r="J1040">
            <v>1.1000000000001364</v>
          </cell>
          <cell r="U1040">
            <v>2024</v>
          </cell>
          <cell r="AF1040">
            <v>245.78930642729679</v>
          </cell>
        </row>
        <row r="1041">
          <cell r="J1041">
            <v>2.2999999999999545</v>
          </cell>
          <cell r="U1041">
            <v>2024</v>
          </cell>
          <cell r="AF1041">
            <v>462.53078573130114</v>
          </cell>
        </row>
        <row r="1042">
          <cell r="J1042">
            <v>2</v>
          </cell>
          <cell r="U1042">
            <v>2024</v>
          </cell>
          <cell r="AF1042">
            <v>402.20068324461761</v>
          </cell>
        </row>
        <row r="1043">
          <cell r="J1043">
            <v>1.2999999999999545</v>
          </cell>
          <cell r="U1043">
            <v>2024</v>
          </cell>
          <cell r="AF1043">
            <v>290.47827123221367</v>
          </cell>
        </row>
        <row r="1044">
          <cell r="J1044">
            <v>1.2999999999999545</v>
          </cell>
          <cell r="U1044">
            <v>2024</v>
          </cell>
          <cell r="AF1044">
            <v>261.43044410899228</v>
          </cell>
        </row>
        <row r="1045">
          <cell r="J1045">
            <v>1.5</v>
          </cell>
          <cell r="U1045">
            <v>2024</v>
          </cell>
          <cell r="AF1045">
            <v>301.65051243346323</v>
          </cell>
        </row>
        <row r="1046">
          <cell r="J1046">
            <v>0.79999999999995453</v>
          </cell>
          <cell r="U1046">
            <v>2024</v>
          </cell>
          <cell r="AF1046">
            <v>166.83880193849856</v>
          </cell>
        </row>
        <row r="1047">
          <cell r="J1047">
            <v>2.3000000000001819</v>
          </cell>
          <cell r="U1047">
            <v>2024</v>
          </cell>
          <cell r="AF1047">
            <v>599.5769444665608</v>
          </cell>
        </row>
        <row r="1048">
          <cell r="J1048">
            <v>1.1999999999998181</v>
          </cell>
          <cell r="U1048">
            <v>2024</v>
          </cell>
          <cell r="AF1048">
            <v>303.88496067366503</v>
          </cell>
        </row>
        <row r="1049">
          <cell r="J1049">
            <v>1.5</v>
          </cell>
          <cell r="U1049">
            <v>2024</v>
          </cell>
          <cell r="AF1049">
            <v>335.1672360371814</v>
          </cell>
        </row>
        <row r="1050">
          <cell r="J1050">
            <v>1.2000000000000455</v>
          </cell>
          <cell r="U1050">
            <v>2024</v>
          </cell>
          <cell r="AF1050">
            <v>250.25820290777156</v>
          </cell>
        </row>
        <row r="1051">
          <cell r="J1051">
            <v>1.2999999999999545</v>
          </cell>
          <cell r="U1051">
            <v>2024</v>
          </cell>
          <cell r="AF1051">
            <v>290.47827123221367</v>
          </cell>
        </row>
        <row r="1052">
          <cell r="J1052">
            <v>1.2000000000000455</v>
          </cell>
          <cell r="U1052">
            <v>2024</v>
          </cell>
          <cell r="AF1052">
            <v>215.99666322397147</v>
          </cell>
        </row>
        <row r="1053">
          <cell r="J1053">
            <v>1.1000000000001364</v>
          </cell>
          <cell r="U1053">
            <v>2024</v>
          </cell>
          <cell r="AF1053">
            <v>245.78930642729679</v>
          </cell>
        </row>
        <row r="1054">
          <cell r="J1054">
            <v>0.59999999999990905</v>
          </cell>
          <cell r="U1054">
            <v>2024</v>
          </cell>
          <cell r="AF1054">
            <v>134.06689441485221</v>
          </cell>
        </row>
        <row r="1055">
          <cell r="J1055">
            <v>1</v>
          </cell>
          <cell r="U1055">
            <v>2024</v>
          </cell>
          <cell r="AF1055">
            <v>0</v>
          </cell>
        </row>
        <row r="1056">
          <cell r="J1056">
            <v>1.5999999999999091</v>
          </cell>
          <cell r="U1056">
            <v>2024</v>
          </cell>
          <cell r="AF1056">
            <v>357.51171843963982</v>
          </cell>
        </row>
        <row r="1057">
          <cell r="J1057">
            <v>1</v>
          </cell>
          <cell r="U1057">
            <v>2024</v>
          </cell>
          <cell r="AF1057">
            <v>253.23746722809258</v>
          </cell>
        </row>
        <row r="1058">
          <cell r="J1058">
            <v>0.10000000000013642</v>
          </cell>
          <cell r="U1058">
            <v>2024</v>
          </cell>
          <cell r="AF1058">
            <v>22.344482402509239</v>
          </cell>
        </row>
        <row r="1059">
          <cell r="J1059">
            <v>1.8999999999998636</v>
          </cell>
          <cell r="U1059">
            <v>2024</v>
          </cell>
          <cell r="AF1059">
            <v>424.54516564706591</v>
          </cell>
        </row>
        <row r="1060">
          <cell r="J1060">
            <v>1.5</v>
          </cell>
          <cell r="U1060">
            <v>2024</v>
          </cell>
          <cell r="AF1060">
            <v>379.85620084213889</v>
          </cell>
        </row>
        <row r="1061">
          <cell r="J1061">
            <v>1.8000000000001819</v>
          </cell>
          <cell r="U1061">
            <v>2024</v>
          </cell>
          <cell r="AF1061">
            <v>361.98061492019241</v>
          </cell>
        </row>
        <row r="1062">
          <cell r="J1062">
            <v>2.5</v>
          </cell>
          <cell r="U1062">
            <v>2024</v>
          </cell>
          <cell r="AF1062">
            <v>558.61206006196892</v>
          </cell>
        </row>
        <row r="1063">
          <cell r="J1063">
            <v>0.79999999999995453</v>
          </cell>
          <cell r="U1063">
            <v>2024</v>
          </cell>
          <cell r="AF1063">
            <v>178.75585921981991</v>
          </cell>
        </row>
        <row r="1064">
          <cell r="J1064">
            <v>3.3999999999998636</v>
          </cell>
          <cell r="U1064">
            <v>2024</v>
          </cell>
          <cell r="AF1064">
            <v>759.71240168424731</v>
          </cell>
        </row>
        <row r="1065">
          <cell r="J1065">
            <v>5.8000000000001819</v>
          </cell>
          <cell r="U1065">
            <v>2024</v>
          </cell>
          <cell r="AF1065">
            <v>1295.9799793438085</v>
          </cell>
        </row>
        <row r="1066">
          <cell r="J1066">
            <v>1</v>
          </cell>
          <cell r="U1066">
            <v>2024</v>
          </cell>
          <cell r="AF1066">
            <v>253.23746722809258</v>
          </cell>
        </row>
        <row r="1067">
          <cell r="J1067">
            <v>0.79999999999995453</v>
          </cell>
          <cell r="U1067">
            <v>2024</v>
          </cell>
          <cell r="AF1067">
            <v>178.75585921981991</v>
          </cell>
        </row>
        <row r="1068">
          <cell r="J1068">
            <v>0.5</v>
          </cell>
          <cell r="U1068">
            <v>2024</v>
          </cell>
          <cell r="AF1068">
            <v>111.72241201239379</v>
          </cell>
        </row>
        <row r="1069">
          <cell r="J1069">
            <v>0.29999999999995453</v>
          </cell>
          <cell r="U1069">
            <v>2024</v>
          </cell>
          <cell r="AF1069">
            <v>0</v>
          </cell>
        </row>
        <row r="1070">
          <cell r="J1070">
            <v>0.5</v>
          </cell>
          <cell r="U1070">
            <v>2024</v>
          </cell>
          <cell r="AF1070">
            <v>111.72241201239379</v>
          </cell>
        </row>
        <row r="1071">
          <cell r="J1071">
            <v>0.90000000000009095</v>
          </cell>
          <cell r="U1071">
            <v>2024</v>
          </cell>
          <cell r="AF1071">
            <v>0</v>
          </cell>
        </row>
        <row r="1072">
          <cell r="J1072">
            <v>1.8999999999998636</v>
          </cell>
          <cell r="U1072">
            <v>2024</v>
          </cell>
          <cell r="AF1072">
            <v>495.30269325491014</v>
          </cell>
        </row>
        <row r="1073">
          <cell r="J1073">
            <v>0.71666666666666667</v>
          </cell>
          <cell r="U1073">
            <v>2024</v>
          </cell>
          <cell r="AF1073">
            <v>160.13545721776441</v>
          </cell>
        </row>
        <row r="1074">
          <cell r="J1074">
            <v>0.71666666666666667</v>
          </cell>
          <cell r="U1074">
            <v>2024</v>
          </cell>
          <cell r="AF1074">
            <v>0</v>
          </cell>
        </row>
        <row r="1075">
          <cell r="J1075">
            <v>1.3</v>
          </cell>
          <cell r="U1075">
            <v>2024</v>
          </cell>
          <cell r="AF1075">
            <v>290.47827123222385</v>
          </cell>
        </row>
        <row r="1076">
          <cell r="J1076">
            <v>1.3</v>
          </cell>
          <cell r="U1076">
            <v>2024</v>
          </cell>
          <cell r="AF1076">
            <v>377.62175260189099</v>
          </cell>
        </row>
        <row r="1077">
          <cell r="J1077">
            <v>2.5</v>
          </cell>
          <cell r="U1077">
            <v>2024</v>
          </cell>
          <cell r="AF1077">
            <v>633.09366807023139</v>
          </cell>
        </row>
        <row r="1078">
          <cell r="J1078">
            <v>1.3</v>
          </cell>
          <cell r="U1078">
            <v>2024</v>
          </cell>
          <cell r="AF1078">
            <v>290.47827123222385</v>
          </cell>
        </row>
        <row r="1079">
          <cell r="J1079">
            <v>0.83333333333333337</v>
          </cell>
          <cell r="U1079">
            <v>2024</v>
          </cell>
          <cell r="AF1079">
            <v>248.27202669420842</v>
          </cell>
        </row>
        <row r="1080">
          <cell r="J1080">
            <v>1</v>
          </cell>
          <cell r="U1080">
            <v>2024</v>
          </cell>
          <cell r="AF1080">
            <v>253.23746722809258</v>
          </cell>
        </row>
        <row r="1081">
          <cell r="J1081">
            <v>2.2000000000000455</v>
          </cell>
          <cell r="U1081">
            <v>2024</v>
          </cell>
          <cell r="AF1081">
            <v>491.57861285454277</v>
          </cell>
        </row>
        <row r="1082">
          <cell r="J1082">
            <v>0.59999999999990905</v>
          </cell>
          <cell r="U1082">
            <v>2024</v>
          </cell>
          <cell r="AF1082">
            <v>151.94248033683252</v>
          </cell>
        </row>
        <row r="1083">
          <cell r="J1083">
            <v>2</v>
          </cell>
          <cell r="U1083">
            <v>2024</v>
          </cell>
          <cell r="AF1083">
            <v>506.47493445618517</v>
          </cell>
        </row>
        <row r="1084">
          <cell r="J1084">
            <v>0.20000000000004547</v>
          </cell>
          <cell r="U1084">
            <v>2024</v>
          </cell>
          <cell r="AF1084">
            <v>44.688964804967675</v>
          </cell>
        </row>
        <row r="1085">
          <cell r="J1085">
            <v>1.5</v>
          </cell>
          <cell r="U1085">
            <v>2024</v>
          </cell>
          <cell r="AF1085">
            <v>335.1672360371814</v>
          </cell>
        </row>
        <row r="1086">
          <cell r="J1086">
            <v>2.8000000000003182</v>
          </cell>
          <cell r="U1086">
            <v>2024</v>
          </cell>
          <cell r="AF1086">
            <v>625.64550726947641</v>
          </cell>
        </row>
        <row r="1087">
          <cell r="J1087">
            <v>2.0999999999999091</v>
          </cell>
          <cell r="U1087">
            <v>2024</v>
          </cell>
          <cell r="AF1087">
            <v>500.51640581550248</v>
          </cell>
        </row>
        <row r="1088">
          <cell r="J1088">
            <v>2.0999999999999091</v>
          </cell>
          <cell r="U1088">
            <v>2024</v>
          </cell>
          <cell r="AF1088">
            <v>500.51640581550248</v>
          </cell>
        </row>
        <row r="1089">
          <cell r="J1089">
            <v>1.2999999999999545</v>
          </cell>
          <cell r="U1089">
            <v>2024</v>
          </cell>
          <cell r="AF1089">
            <v>387.30436164295156</v>
          </cell>
        </row>
        <row r="1090">
          <cell r="J1090">
            <v>1.0999999999999091</v>
          </cell>
          <cell r="U1090">
            <v>2024</v>
          </cell>
          <cell r="AF1090">
            <v>311.33312147451159</v>
          </cell>
        </row>
        <row r="1091">
          <cell r="J1091">
            <v>1.9000000000000909</v>
          </cell>
          <cell r="U1091">
            <v>2024</v>
          </cell>
          <cell r="AF1091">
            <v>452.84817669025784</v>
          </cell>
        </row>
        <row r="1092">
          <cell r="J1092">
            <v>1.0999999999999091</v>
          </cell>
          <cell r="U1092">
            <v>2024</v>
          </cell>
          <cell r="AF1092">
            <v>303.1401445936034</v>
          </cell>
        </row>
        <row r="1093">
          <cell r="J1093">
            <v>1.4</v>
          </cell>
          <cell r="U1093">
            <v>2024</v>
          </cell>
          <cell r="AF1093">
            <v>417.09700484627012</v>
          </cell>
        </row>
        <row r="1094">
          <cell r="J1094">
            <v>1.4000000000000909</v>
          </cell>
          <cell r="U1094">
            <v>2024</v>
          </cell>
          <cell r="AF1094">
            <v>354.53245411935262</v>
          </cell>
        </row>
        <row r="1095">
          <cell r="J1095">
            <v>0.89999999999986358</v>
          </cell>
          <cell r="U1095">
            <v>2024</v>
          </cell>
          <cell r="AF1095">
            <v>227.91372050524876</v>
          </cell>
        </row>
        <row r="1096">
          <cell r="J1096">
            <v>1.4000000000000909</v>
          </cell>
          <cell r="U1096">
            <v>2024</v>
          </cell>
          <cell r="AF1096">
            <v>385.81472948282487</v>
          </cell>
        </row>
        <row r="1097">
          <cell r="J1097">
            <v>1.3999999999998636</v>
          </cell>
          <cell r="U1097">
            <v>2024</v>
          </cell>
          <cell r="AF1097">
            <v>396.24215460391798</v>
          </cell>
        </row>
        <row r="1098">
          <cell r="J1098">
            <v>0.8000000000001819</v>
          </cell>
          <cell r="U1098">
            <v>2024</v>
          </cell>
          <cell r="AF1098">
            <v>238.34114562649427</v>
          </cell>
        </row>
        <row r="1099">
          <cell r="J1099">
            <v>1.3999999999998636</v>
          </cell>
          <cell r="U1099">
            <v>2024</v>
          </cell>
          <cell r="AF1099">
            <v>385.81472948276223</v>
          </cell>
        </row>
        <row r="1100">
          <cell r="J1100">
            <v>0.60000000000013642</v>
          </cell>
          <cell r="U1100">
            <v>2024</v>
          </cell>
          <cell r="AF1100">
            <v>134.06689441490303</v>
          </cell>
        </row>
        <row r="1101">
          <cell r="J1101">
            <v>0.5</v>
          </cell>
          <cell r="U1101">
            <v>2024</v>
          </cell>
          <cell r="AF1101">
            <v>126.61873361404629</v>
          </cell>
        </row>
        <row r="1102">
          <cell r="J1102">
            <v>0.5</v>
          </cell>
          <cell r="U1102">
            <v>2024</v>
          </cell>
          <cell r="AF1102">
            <v>126.61873361404629</v>
          </cell>
        </row>
        <row r="1103">
          <cell r="J1103">
            <v>0.39999999999986358</v>
          </cell>
          <cell r="U1103">
            <v>2024</v>
          </cell>
          <cell r="AF1103">
            <v>101.29498689120248</v>
          </cell>
        </row>
        <row r="1104">
          <cell r="J1104">
            <v>1.2000000000000455</v>
          </cell>
          <cell r="U1104">
            <v>2024</v>
          </cell>
          <cell r="AF1104">
            <v>151.94248033686131</v>
          </cell>
        </row>
        <row r="1105">
          <cell r="J1105">
            <v>0.40000000000009095</v>
          </cell>
          <cell r="U1105">
            <v>2024</v>
          </cell>
          <cell r="AF1105">
            <v>0</v>
          </cell>
        </row>
        <row r="1106">
          <cell r="J1106">
            <v>0.6999999999998181</v>
          </cell>
          <cell r="U1106">
            <v>2024</v>
          </cell>
          <cell r="AF1106">
            <v>0</v>
          </cell>
        </row>
        <row r="1107">
          <cell r="J1107">
            <v>1.8000000000001819</v>
          </cell>
          <cell r="U1107">
            <v>2024</v>
          </cell>
          <cell r="AF1107">
            <v>429.01406212763544</v>
          </cell>
        </row>
        <row r="1108">
          <cell r="J1108">
            <v>1.3999999999998636</v>
          </cell>
          <cell r="U1108">
            <v>2024</v>
          </cell>
          <cell r="AF1108">
            <v>312.8227536346721</v>
          </cell>
        </row>
        <row r="1109">
          <cell r="J1109">
            <v>1.4000000000000909</v>
          </cell>
          <cell r="U1109">
            <v>2024</v>
          </cell>
          <cell r="AF1109">
            <v>354.53245411935268</v>
          </cell>
        </row>
        <row r="1110">
          <cell r="J1110">
            <v>2.3999999999998636</v>
          </cell>
          <cell r="U1110">
            <v>2024</v>
          </cell>
          <cell r="AF1110">
            <v>697.14785095729758</v>
          </cell>
        </row>
        <row r="1111">
          <cell r="J1111">
            <v>1.9000000000000909</v>
          </cell>
          <cell r="U1111">
            <v>2024</v>
          </cell>
          <cell r="AF1111">
            <v>523.6057042981106</v>
          </cell>
        </row>
        <row r="1112">
          <cell r="J1112">
            <v>1.4000000000000909</v>
          </cell>
          <cell r="U1112">
            <v>2024</v>
          </cell>
          <cell r="AF1112">
            <v>354.53245411935262</v>
          </cell>
        </row>
        <row r="1113">
          <cell r="J1113">
            <v>1.2999999999999545</v>
          </cell>
          <cell r="U1113">
            <v>2024</v>
          </cell>
          <cell r="AF1113">
            <v>329.20870739650883</v>
          </cell>
        </row>
        <row r="1114">
          <cell r="J1114">
            <v>0.5</v>
          </cell>
          <cell r="U1114">
            <v>2024</v>
          </cell>
          <cell r="AF1114">
            <v>148.96321601652505</v>
          </cell>
        </row>
        <row r="1115">
          <cell r="J1115">
            <v>7</v>
          </cell>
          <cell r="U1115">
            <v>2024</v>
          </cell>
          <cell r="AF1115">
            <v>1564.1137681735131</v>
          </cell>
        </row>
        <row r="1116">
          <cell r="J1116">
            <v>0.79999999999995453</v>
          </cell>
          <cell r="U1116">
            <v>2024</v>
          </cell>
          <cell r="AF1116">
            <v>178.75585921981991</v>
          </cell>
        </row>
        <row r="1117">
          <cell r="J1117">
            <v>3.7000000000000455</v>
          </cell>
          <cell r="U1117">
            <v>2024</v>
          </cell>
          <cell r="AF1117">
            <v>826.74584889172422</v>
          </cell>
        </row>
        <row r="1118">
          <cell r="J1118">
            <v>3.0999999999999091</v>
          </cell>
          <cell r="U1118">
            <v>2024</v>
          </cell>
          <cell r="AF1118">
            <v>692.6789544768211</v>
          </cell>
        </row>
        <row r="1119">
          <cell r="J1119">
            <v>3.9000000000000909</v>
          </cell>
          <cell r="U1119">
            <v>2024</v>
          </cell>
          <cell r="AF1119">
            <v>871.43481369669178</v>
          </cell>
        </row>
        <row r="1120">
          <cell r="J1120">
            <v>2.2000000000000455</v>
          </cell>
          <cell r="U1120">
            <v>2024</v>
          </cell>
          <cell r="AF1120">
            <v>639.0521967109056</v>
          </cell>
        </row>
        <row r="1121">
          <cell r="J1121">
            <v>3.8999999999998636</v>
          </cell>
          <cell r="U1121">
            <v>2024</v>
          </cell>
          <cell r="AF1121">
            <v>871.43481369664107</v>
          </cell>
        </row>
        <row r="1122">
          <cell r="J1122">
            <v>1.2000000000000455</v>
          </cell>
          <cell r="U1122">
            <v>2024</v>
          </cell>
          <cell r="AF1122">
            <v>268.13378882975525</v>
          </cell>
        </row>
        <row r="1123">
          <cell r="J1123">
            <v>2.4000000000000909</v>
          </cell>
          <cell r="U1123">
            <v>2024</v>
          </cell>
          <cell r="AF1123">
            <v>607.76992134744523</v>
          </cell>
        </row>
        <row r="1124">
          <cell r="J1124">
            <v>2.3999999999998636</v>
          </cell>
          <cell r="U1124">
            <v>2024</v>
          </cell>
          <cell r="AF1124">
            <v>607.76992134738759</v>
          </cell>
        </row>
        <row r="1125">
          <cell r="J1125">
            <v>0.60000000000013642</v>
          </cell>
          <cell r="U1125">
            <v>2024</v>
          </cell>
          <cell r="AF1125">
            <v>151.9424803368901</v>
          </cell>
        </row>
        <row r="1126">
          <cell r="J1126">
            <v>0.6999999999998181</v>
          </cell>
          <cell r="U1126">
            <v>2024</v>
          </cell>
          <cell r="AF1126">
            <v>156.41137681731064</v>
          </cell>
        </row>
        <row r="1127">
          <cell r="J1127">
            <v>2.2000000000000455</v>
          </cell>
          <cell r="U1127">
            <v>2024</v>
          </cell>
          <cell r="AF1127">
            <v>524.350520378179</v>
          </cell>
        </row>
        <row r="1128">
          <cell r="J1128">
            <v>2.7000000000000455</v>
          </cell>
          <cell r="U1128">
            <v>2024</v>
          </cell>
          <cell r="AF1128">
            <v>683.74116151586145</v>
          </cell>
        </row>
        <row r="1129">
          <cell r="J1129">
            <v>1.7999999999999545</v>
          </cell>
          <cell r="U1129">
            <v>2024</v>
          </cell>
          <cell r="AF1129">
            <v>455.82744101055511</v>
          </cell>
        </row>
        <row r="1130">
          <cell r="J1130">
            <v>2.2000000000000455</v>
          </cell>
          <cell r="U1130">
            <v>2024</v>
          </cell>
          <cell r="AF1130">
            <v>557.12242790181517</v>
          </cell>
        </row>
        <row r="1131">
          <cell r="J1131">
            <v>1.9000000000000909</v>
          </cell>
          <cell r="U1131">
            <v>2024</v>
          </cell>
          <cell r="AF1131">
            <v>551.90871534125176</v>
          </cell>
        </row>
        <row r="1132">
          <cell r="J1132">
            <v>2.2999999999999545</v>
          </cell>
          <cell r="U1132">
            <v>2024</v>
          </cell>
          <cell r="AF1132">
            <v>702.36156351790169</v>
          </cell>
        </row>
        <row r="1133">
          <cell r="J1133">
            <v>1.2000000000000455</v>
          </cell>
          <cell r="U1133">
            <v>2024</v>
          </cell>
          <cell r="AF1133">
            <v>330.69833955669816</v>
          </cell>
        </row>
        <row r="1134">
          <cell r="J1134">
            <v>0.6999999999998181</v>
          </cell>
          <cell r="U1134">
            <v>2024</v>
          </cell>
          <cell r="AF1134">
            <v>177.26622705961873</v>
          </cell>
        </row>
        <row r="1135">
          <cell r="J1135">
            <v>0.10000000000013642</v>
          </cell>
          <cell r="U1135">
            <v>2024</v>
          </cell>
          <cell r="AF1135">
            <v>0</v>
          </cell>
        </row>
        <row r="1136">
          <cell r="J1136">
            <v>0.89999999999986358</v>
          </cell>
          <cell r="U1136">
            <v>2024</v>
          </cell>
          <cell r="AF1136">
            <v>227.91372050524876</v>
          </cell>
        </row>
        <row r="1137">
          <cell r="J1137">
            <v>1.9000000000000909</v>
          </cell>
          <cell r="U1137">
            <v>2024</v>
          </cell>
          <cell r="AF1137">
            <v>481.15118773339896</v>
          </cell>
        </row>
        <row r="1138">
          <cell r="J1138">
            <v>2</v>
          </cell>
          <cell r="U1138">
            <v>2024</v>
          </cell>
          <cell r="AF1138">
            <v>521.37125605783763</v>
          </cell>
        </row>
        <row r="1139">
          <cell r="J1139">
            <v>1.5</v>
          </cell>
          <cell r="U1139">
            <v>2024</v>
          </cell>
          <cell r="AF1139">
            <v>456.31505347779478</v>
          </cell>
        </row>
        <row r="1140">
          <cell r="J1140">
            <v>2.4000000000000909</v>
          </cell>
          <cell r="U1140">
            <v>2024</v>
          </cell>
          <cell r="AF1140">
            <v>607.76992134744523</v>
          </cell>
        </row>
        <row r="1141">
          <cell r="J1141">
            <v>2.2999999999999545</v>
          </cell>
          <cell r="U1141">
            <v>2024</v>
          </cell>
          <cell r="AF1141">
            <v>582.44617462460144</v>
          </cell>
        </row>
        <row r="1142">
          <cell r="J1142">
            <v>1.0999999999999091</v>
          </cell>
          <cell r="U1142">
            <v>2024</v>
          </cell>
          <cell r="AF1142">
            <v>278.56121395087877</v>
          </cell>
        </row>
        <row r="1143">
          <cell r="J1143">
            <v>3</v>
          </cell>
          <cell r="U1143">
            <v>2024</v>
          </cell>
          <cell r="AF1143">
            <v>759.71240168427778</v>
          </cell>
        </row>
        <row r="1144">
          <cell r="J1144">
            <v>1.2999999999999545</v>
          </cell>
          <cell r="U1144">
            <v>2024</v>
          </cell>
          <cell r="AF1144">
            <v>358.25653451973017</v>
          </cell>
        </row>
        <row r="1145">
          <cell r="J1145">
            <v>1.3000000000001819</v>
          </cell>
          <cell r="U1145">
            <v>2024</v>
          </cell>
          <cell r="AF1145">
            <v>395.62708116514648</v>
          </cell>
        </row>
        <row r="1146">
          <cell r="J1146">
            <v>2.0999999999999091</v>
          </cell>
          <cell r="U1146">
            <v>2024</v>
          </cell>
          <cell r="AF1146">
            <v>531.79868117897138</v>
          </cell>
        </row>
        <row r="1147">
          <cell r="J1147">
            <v>2.0999999999999091</v>
          </cell>
          <cell r="U1147">
            <v>2024</v>
          </cell>
          <cell r="AF1147">
            <v>531.79868117897138</v>
          </cell>
        </row>
        <row r="1148">
          <cell r="J1148">
            <v>1</v>
          </cell>
          <cell r="U1148">
            <v>2024</v>
          </cell>
          <cell r="AF1148">
            <v>253.23746722809258</v>
          </cell>
        </row>
        <row r="1149">
          <cell r="J1149">
            <v>2.1000000000001364</v>
          </cell>
          <cell r="U1149">
            <v>2024</v>
          </cell>
          <cell r="AF1149">
            <v>531.7986811790289</v>
          </cell>
        </row>
        <row r="1150">
          <cell r="J1150">
            <v>1.5999999999999091</v>
          </cell>
          <cell r="U1150">
            <v>2024</v>
          </cell>
          <cell r="AF1150">
            <v>405.1799475649251</v>
          </cell>
        </row>
        <row r="1151">
          <cell r="J1151">
            <v>0.90000000000009095</v>
          </cell>
          <cell r="U1151">
            <v>2024</v>
          </cell>
          <cell r="AF1151">
            <v>227.91372050530634</v>
          </cell>
        </row>
        <row r="1152">
          <cell r="J1152">
            <v>0.5</v>
          </cell>
          <cell r="U1152">
            <v>2024</v>
          </cell>
          <cell r="AF1152">
            <v>126.61873361404629</v>
          </cell>
        </row>
        <row r="1153">
          <cell r="J1153">
            <v>1.2000000000000455</v>
          </cell>
          <cell r="U1153">
            <v>2024</v>
          </cell>
          <cell r="AF1153">
            <v>268.13378882975525</v>
          </cell>
        </row>
        <row r="1154">
          <cell r="J1154">
            <v>1.5</v>
          </cell>
          <cell r="U1154">
            <v>2024</v>
          </cell>
          <cell r="AF1154">
            <v>379.85620084213889</v>
          </cell>
        </row>
        <row r="1155">
          <cell r="J1155">
            <v>1.2999999999999545</v>
          </cell>
          <cell r="U1155">
            <v>2024</v>
          </cell>
          <cell r="AF1155">
            <v>290.47827123221367</v>
          </cell>
        </row>
        <row r="1156">
          <cell r="J1156">
            <v>2</v>
          </cell>
          <cell r="U1156">
            <v>2024</v>
          </cell>
          <cell r="AF1156">
            <v>506.47493445618517</v>
          </cell>
        </row>
        <row r="1157">
          <cell r="J1157">
            <v>2.8999999999998636</v>
          </cell>
          <cell r="U1157">
            <v>2024</v>
          </cell>
          <cell r="AF1157">
            <v>734.38865496143399</v>
          </cell>
        </row>
        <row r="1158">
          <cell r="J1158">
            <v>1.4000000000000909</v>
          </cell>
          <cell r="U1158">
            <v>2024</v>
          </cell>
          <cell r="AF1158">
            <v>417.09700484629712</v>
          </cell>
        </row>
        <row r="1159">
          <cell r="J1159">
            <v>1.0999999999999091</v>
          </cell>
          <cell r="U1159">
            <v>2024</v>
          </cell>
          <cell r="AF1159">
            <v>262.17526018906239</v>
          </cell>
        </row>
        <row r="1160">
          <cell r="J1160">
            <v>1.2000000000000455</v>
          </cell>
          <cell r="U1160">
            <v>2024</v>
          </cell>
          <cell r="AF1160">
            <v>303.88496067372262</v>
          </cell>
        </row>
        <row r="1161">
          <cell r="J1161">
            <v>0.79999999999995453</v>
          </cell>
          <cell r="U1161">
            <v>2024</v>
          </cell>
          <cell r="AF1161">
            <v>243.7038214030211</v>
          </cell>
        </row>
        <row r="1162">
          <cell r="J1162">
            <v>1.2000000000000455</v>
          </cell>
          <cell r="U1162">
            <v>2024</v>
          </cell>
          <cell r="AF1162">
            <v>393.09541570669654</v>
          </cell>
        </row>
        <row r="1163">
          <cell r="J1163">
            <v>0.90000000000009095</v>
          </cell>
          <cell r="U1163">
            <v>2024</v>
          </cell>
          <cell r="AF1163">
            <v>248.02375466753924</v>
          </cell>
        </row>
        <row r="1164">
          <cell r="J1164">
            <v>2.7000000000000455</v>
          </cell>
          <cell r="U1164">
            <v>2024</v>
          </cell>
          <cell r="AF1164">
            <v>683.74116151586145</v>
          </cell>
        </row>
        <row r="1165">
          <cell r="J1165">
            <v>0.79999999999995453</v>
          </cell>
          <cell r="U1165">
            <v>2024</v>
          </cell>
          <cell r="AF1165">
            <v>178.75585921981991</v>
          </cell>
        </row>
        <row r="1166">
          <cell r="J1166">
            <v>1.2000000000000455</v>
          </cell>
          <cell r="U1166">
            <v>2024</v>
          </cell>
          <cell r="AF1166">
            <v>393.11265849687697</v>
          </cell>
        </row>
        <row r="1167">
          <cell r="J1167">
            <v>2.2999999999999545</v>
          </cell>
          <cell r="U1167">
            <v>2024</v>
          </cell>
          <cell r="AF1167">
            <v>582.44617462460144</v>
          </cell>
        </row>
        <row r="1168">
          <cell r="J1168">
            <v>1.0999999999999091</v>
          </cell>
          <cell r="U1168">
            <v>2025</v>
          </cell>
          <cell r="AF1168">
            <v>368.61481747037561</v>
          </cell>
        </row>
        <row r="1169">
          <cell r="J1169">
            <v>5.7999999999999545</v>
          </cell>
          <cell r="U1169">
            <v>2025</v>
          </cell>
          <cell r="AF1169">
            <v>1468.7773099229255</v>
          </cell>
        </row>
        <row r="1170">
          <cell r="J1170">
            <v>5.5</v>
          </cell>
          <cell r="U1170">
            <v>2025</v>
          </cell>
          <cell r="AF1170">
            <v>1392.8060697545093</v>
          </cell>
        </row>
        <row r="1171">
          <cell r="J1171">
            <v>1.2000000000000455</v>
          </cell>
          <cell r="U1171">
            <v>2025</v>
          </cell>
          <cell r="AF1171">
            <v>402.14249821245681</v>
          </cell>
        </row>
        <row r="1172">
          <cell r="J1172">
            <v>0.40000000000009095</v>
          </cell>
          <cell r="U1172">
            <v>2025</v>
          </cell>
          <cell r="AF1172">
            <v>101.29498689126005</v>
          </cell>
        </row>
        <row r="1173">
          <cell r="J1173">
            <v>0.20000000000004547</v>
          </cell>
          <cell r="U1173">
            <v>2025</v>
          </cell>
          <cell r="AF1173">
            <v>0</v>
          </cell>
        </row>
        <row r="1174">
          <cell r="J1174">
            <v>1</v>
          </cell>
          <cell r="U1174">
            <v>2025</v>
          </cell>
          <cell r="AF1174">
            <v>253.23746722809258</v>
          </cell>
        </row>
        <row r="1175">
          <cell r="J1175">
            <v>1.0999999999999091</v>
          </cell>
          <cell r="U1175">
            <v>2025</v>
          </cell>
          <cell r="AF1175">
            <v>368.57775244296641</v>
          </cell>
        </row>
        <row r="1176">
          <cell r="J1176">
            <v>1.9000000000000909</v>
          </cell>
          <cell r="U1176">
            <v>2025</v>
          </cell>
          <cell r="AF1176">
            <v>438.69667116868726</v>
          </cell>
        </row>
        <row r="1177">
          <cell r="J1177">
            <v>2.2999999999999545</v>
          </cell>
          <cell r="U1177">
            <v>2025</v>
          </cell>
          <cell r="AF1177">
            <v>582.44617462460144</v>
          </cell>
        </row>
        <row r="1178">
          <cell r="J1178">
            <v>1.2000000000000455</v>
          </cell>
          <cell r="U1178">
            <v>2025</v>
          </cell>
          <cell r="AF1178">
            <v>402.05600540241466</v>
          </cell>
        </row>
        <row r="1179">
          <cell r="J1179">
            <v>0.79999999999995453</v>
          </cell>
          <cell r="U1179">
            <v>2025</v>
          </cell>
          <cell r="AF1179">
            <v>202.58997378246255</v>
          </cell>
        </row>
        <row r="1180">
          <cell r="J1180">
            <v>1.5999999999999091</v>
          </cell>
          <cell r="U1180">
            <v>2025</v>
          </cell>
          <cell r="AF1180">
            <v>536.03625327716054</v>
          </cell>
        </row>
        <row r="1181">
          <cell r="J1181">
            <v>1.6000000000001364</v>
          </cell>
          <cell r="U1181">
            <v>2025</v>
          </cell>
          <cell r="AF1181">
            <v>405.17994756498263</v>
          </cell>
        </row>
        <row r="1182">
          <cell r="J1182">
            <v>1.3999999999998636</v>
          </cell>
          <cell r="U1182">
            <v>2025</v>
          </cell>
          <cell r="AF1182">
            <v>354.53245411929504</v>
          </cell>
        </row>
        <row r="1183">
          <cell r="J1183">
            <v>0.60000000000013642</v>
          </cell>
          <cell r="U1183">
            <v>2025</v>
          </cell>
          <cell r="AF1183">
            <v>151.9424803368901</v>
          </cell>
        </row>
        <row r="1184">
          <cell r="J1184">
            <v>0.89999999999986358</v>
          </cell>
          <cell r="U1184">
            <v>2025</v>
          </cell>
          <cell r="AF1184">
            <v>227.91372050524876</v>
          </cell>
        </row>
        <row r="1185">
          <cell r="J1185">
            <v>0.79999999999995453</v>
          </cell>
          <cell r="U1185">
            <v>2025</v>
          </cell>
          <cell r="AF1185">
            <v>202.58997378246255</v>
          </cell>
        </row>
        <row r="1186">
          <cell r="J1186">
            <v>1</v>
          </cell>
          <cell r="U1186">
            <v>2025</v>
          </cell>
          <cell r="AF1186">
            <v>253.23746722809258</v>
          </cell>
        </row>
        <row r="1187">
          <cell r="J1187">
            <v>1.1000000000001364</v>
          </cell>
          <cell r="U1187">
            <v>2025</v>
          </cell>
          <cell r="AF1187">
            <v>368.53602233459736</v>
          </cell>
        </row>
        <row r="1188">
          <cell r="J1188">
            <v>1.0999999999999091</v>
          </cell>
          <cell r="U1188">
            <v>2025</v>
          </cell>
          <cell r="AF1188">
            <v>335.91205211723621</v>
          </cell>
        </row>
        <row r="1189">
          <cell r="J1189">
            <v>0.79999999999995453</v>
          </cell>
          <cell r="U1189">
            <v>2025</v>
          </cell>
          <cell r="AF1189">
            <v>268.04943632317548</v>
          </cell>
        </row>
        <row r="1190">
          <cell r="J1190">
            <v>1</v>
          </cell>
          <cell r="U1190">
            <v>2025</v>
          </cell>
          <cell r="AF1190">
            <v>317.89806447128001</v>
          </cell>
        </row>
        <row r="1191">
          <cell r="J1191">
            <v>1.3000000000001819</v>
          </cell>
          <cell r="U1191">
            <v>2025</v>
          </cell>
          <cell r="AF1191">
            <v>396.98697068409473</v>
          </cell>
        </row>
        <row r="1192">
          <cell r="J1192">
            <v>2.0999999999999091</v>
          </cell>
          <cell r="U1192">
            <v>2025</v>
          </cell>
          <cell r="AF1192">
            <v>531.79868117897138</v>
          </cell>
        </row>
        <row r="1193">
          <cell r="J1193">
            <v>1.5999999999999091</v>
          </cell>
          <cell r="U1193">
            <v>2025</v>
          </cell>
          <cell r="AF1193">
            <v>405.1799475649251</v>
          </cell>
        </row>
        <row r="1194">
          <cell r="J1194">
            <v>2.1000000000001364</v>
          </cell>
          <cell r="U1194">
            <v>2025</v>
          </cell>
          <cell r="AF1194">
            <v>531.7986811790289</v>
          </cell>
        </row>
        <row r="1195">
          <cell r="J1195">
            <v>3.2000000000000455</v>
          </cell>
          <cell r="U1195">
            <v>2025</v>
          </cell>
          <cell r="AF1195">
            <v>810.35989512990761</v>
          </cell>
        </row>
        <row r="1196">
          <cell r="J1196">
            <v>1.3999999999998636</v>
          </cell>
          <cell r="U1196">
            <v>2025</v>
          </cell>
          <cell r="AF1196">
            <v>469.37169738614659</v>
          </cell>
        </row>
        <row r="1197">
          <cell r="J1197">
            <v>0.79999999999995453</v>
          </cell>
          <cell r="U1197">
            <v>2025</v>
          </cell>
          <cell r="AF1197">
            <v>202.58997378246255</v>
          </cell>
        </row>
        <row r="1198">
          <cell r="J1198">
            <v>1</v>
          </cell>
          <cell r="U1198">
            <v>2025</v>
          </cell>
          <cell r="AF1198">
            <v>318.09959680622882</v>
          </cell>
        </row>
        <row r="1199">
          <cell r="J1199">
            <v>0.90000000000009095</v>
          </cell>
          <cell r="U1199">
            <v>2025</v>
          </cell>
          <cell r="AF1199">
            <v>227.91372050530634</v>
          </cell>
        </row>
        <row r="1200">
          <cell r="J1200">
            <v>1.0999999999999091</v>
          </cell>
          <cell r="U1200">
            <v>2025</v>
          </cell>
          <cell r="AF1200">
            <v>368.95247134937773</v>
          </cell>
        </row>
        <row r="1201">
          <cell r="J1201">
            <v>1.7000000000000455</v>
          </cell>
          <cell r="U1201">
            <v>2025</v>
          </cell>
          <cell r="AF1201">
            <v>519.13680781760365</v>
          </cell>
        </row>
        <row r="1202">
          <cell r="J1202">
            <v>1</v>
          </cell>
          <cell r="U1202">
            <v>2025</v>
          </cell>
          <cell r="AF1202">
            <v>253.23746722809258</v>
          </cell>
        </row>
        <row r="1203">
          <cell r="J1203">
            <v>1.6000000000001364</v>
          </cell>
          <cell r="U1203">
            <v>2025</v>
          </cell>
          <cell r="AF1203">
            <v>509.24696115043696</v>
          </cell>
        </row>
        <row r="1204">
          <cell r="J1204">
            <v>0.59999999999990905</v>
          </cell>
          <cell r="U1204">
            <v>2025</v>
          </cell>
          <cell r="AF1204">
            <v>201.35202540316334</v>
          </cell>
        </row>
        <row r="1205">
          <cell r="J1205">
            <v>1</v>
          </cell>
          <cell r="U1205">
            <v>2025</v>
          </cell>
          <cell r="AF1205">
            <v>318.30184416461441</v>
          </cell>
        </row>
        <row r="1206">
          <cell r="J1206">
            <v>3.4000000000000909</v>
          </cell>
          <cell r="U1206">
            <v>2025</v>
          </cell>
          <cell r="AF1206">
            <v>1141.1939160443624</v>
          </cell>
        </row>
        <row r="1207">
          <cell r="J1207">
            <v>2.3999999999998636</v>
          </cell>
          <cell r="U1207">
            <v>2025</v>
          </cell>
          <cell r="AF1207">
            <v>764.39244458564053</v>
          </cell>
        </row>
        <row r="1208">
          <cell r="J1208">
            <v>1.6000000000001364</v>
          </cell>
          <cell r="U1208">
            <v>2025</v>
          </cell>
          <cell r="AF1208">
            <v>405.17994756498263</v>
          </cell>
        </row>
        <row r="1209">
          <cell r="J1209">
            <v>2.5999999999999091</v>
          </cell>
          <cell r="U1209">
            <v>2025</v>
          </cell>
          <cell r="AF1209">
            <v>828.1111801858774</v>
          </cell>
        </row>
        <row r="1210">
          <cell r="J1210">
            <v>1.4000000000000909</v>
          </cell>
          <cell r="U1210">
            <v>2025</v>
          </cell>
          <cell r="AF1210">
            <v>406.66957972513973</v>
          </cell>
        </row>
        <row r="1211">
          <cell r="J1211">
            <v>1.2999999999999545</v>
          </cell>
          <cell r="U1211">
            <v>2025</v>
          </cell>
          <cell r="AF1211">
            <v>396.98697068402532</v>
          </cell>
        </row>
        <row r="1212">
          <cell r="J1212">
            <v>1.2999999999999545</v>
          </cell>
          <cell r="U1212">
            <v>2025</v>
          </cell>
          <cell r="AF1212">
            <v>329.20870739650883</v>
          </cell>
        </row>
        <row r="1213">
          <cell r="J1213">
            <v>0.79999999999995453</v>
          </cell>
          <cell r="U1213">
            <v>2025</v>
          </cell>
          <cell r="AF1213">
            <v>202.58997378246255</v>
          </cell>
        </row>
        <row r="1214">
          <cell r="J1214">
            <v>0.70000000000004547</v>
          </cell>
          <cell r="U1214">
            <v>2025</v>
          </cell>
          <cell r="AF1214">
            <v>177.26622705967631</v>
          </cell>
        </row>
        <row r="1215">
          <cell r="J1215">
            <v>1.2999999999999545</v>
          </cell>
          <cell r="U1215">
            <v>2025</v>
          </cell>
          <cell r="AF1215">
            <v>387.30436164295156</v>
          </cell>
        </row>
        <row r="1216">
          <cell r="J1216">
            <v>1.6000000000001364</v>
          </cell>
          <cell r="U1216">
            <v>2025</v>
          </cell>
          <cell r="AF1216">
            <v>537.54581075717647</v>
          </cell>
        </row>
        <row r="1217">
          <cell r="J1217">
            <v>0.6999999999998181</v>
          </cell>
          <cell r="U1217">
            <v>2025</v>
          </cell>
          <cell r="AF1217">
            <v>214.92517319451002</v>
          </cell>
        </row>
        <row r="1218">
          <cell r="J1218">
            <v>1.3000000000001819</v>
          </cell>
          <cell r="U1218">
            <v>2025</v>
          </cell>
          <cell r="AF1218">
            <v>329.20870739656641</v>
          </cell>
        </row>
        <row r="1219">
          <cell r="J1219">
            <v>1.1999999999998181</v>
          </cell>
          <cell r="U1219">
            <v>2025</v>
          </cell>
          <cell r="AF1219">
            <v>303.88496067366503</v>
          </cell>
        </row>
        <row r="1220">
          <cell r="J1220">
            <v>1</v>
          </cell>
          <cell r="U1220">
            <v>2025</v>
          </cell>
          <cell r="AF1220">
            <v>305.37459283387636</v>
          </cell>
        </row>
        <row r="1221">
          <cell r="J1221">
            <v>0.70000000000004547</v>
          </cell>
          <cell r="U1221">
            <v>2025</v>
          </cell>
          <cell r="AF1221">
            <v>177.26622705967631</v>
          </cell>
        </row>
        <row r="1222">
          <cell r="J1222">
            <v>0.5</v>
          </cell>
          <cell r="U1222">
            <v>2025</v>
          </cell>
          <cell r="AF1222">
            <v>0</v>
          </cell>
        </row>
        <row r="1223">
          <cell r="J1223">
            <v>0.70000000000004547</v>
          </cell>
          <cell r="U1223">
            <v>2025</v>
          </cell>
          <cell r="AF1223">
            <v>177.26622705967631</v>
          </cell>
        </row>
        <row r="1224">
          <cell r="J1224">
            <v>0.70000000000004547</v>
          </cell>
          <cell r="U1224">
            <v>2025</v>
          </cell>
          <cell r="AF1224">
            <v>213.76221498372732</v>
          </cell>
        </row>
        <row r="1225">
          <cell r="J1225">
            <v>1.2999999999999545</v>
          </cell>
          <cell r="U1225">
            <v>2025</v>
          </cell>
          <cell r="AF1225">
            <v>338.89131643758259</v>
          </cell>
        </row>
        <row r="1226">
          <cell r="J1226">
            <v>0.90000000000009095</v>
          </cell>
          <cell r="U1226">
            <v>2025</v>
          </cell>
          <cell r="AF1226">
            <v>234.61706522605064</v>
          </cell>
        </row>
        <row r="1227">
          <cell r="J1227">
            <v>0.6999999999998181</v>
          </cell>
          <cell r="U1227">
            <v>2025</v>
          </cell>
          <cell r="AF1227">
            <v>182.47993962019575</v>
          </cell>
        </row>
        <row r="1228">
          <cell r="J1228">
            <v>1.6000000000001364</v>
          </cell>
          <cell r="U1228">
            <v>2025</v>
          </cell>
          <cell r="AF1228">
            <v>417.09700484630571</v>
          </cell>
        </row>
        <row r="1229">
          <cell r="J1229">
            <v>2.0999999999999091</v>
          </cell>
          <cell r="U1229">
            <v>2025</v>
          </cell>
          <cell r="AF1229">
            <v>625.64550726937807</v>
          </cell>
        </row>
        <row r="1230">
          <cell r="J1230">
            <v>3.2000000000000455</v>
          </cell>
          <cell r="U1230">
            <v>2025</v>
          </cell>
          <cell r="AF1230">
            <v>977.77606896005227</v>
          </cell>
        </row>
        <row r="1231">
          <cell r="J1231">
            <v>1.4000000000000909</v>
          </cell>
          <cell r="U1231">
            <v>2025</v>
          </cell>
          <cell r="AF1231">
            <v>437.95185508861204</v>
          </cell>
        </row>
        <row r="1232">
          <cell r="J1232">
            <v>1.6999999999998181</v>
          </cell>
          <cell r="U1232">
            <v>2025</v>
          </cell>
          <cell r="AF1232">
            <v>519.1368078175343</v>
          </cell>
        </row>
        <row r="1233">
          <cell r="J1233">
            <v>0.8000000000001819</v>
          </cell>
          <cell r="U1233">
            <v>2025</v>
          </cell>
          <cell r="AF1233">
            <v>238.34114562649427</v>
          </cell>
        </row>
        <row r="1234">
          <cell r="J1234">
            <v>0.89999999999986358</v>
          </cell>
          <cell r="U1234">
            <v>2025</v>
          </cell>
          <cell r="AF1234">
            <v>261.43044410896181</v>
          </cell>
        </row>
        <row r="1235">
          <cell r="J1235">
            <v>1.9000000000000909</v>
          </cell>
          <cell r="U1235">
            <v>2025</v>
          </cell>
          <cell r="AF1235">
            <v>580.21172638439282</v>
          </cell>
        </row>
        <row r="1236">
          <cell r="J1236">
            <v>2</v>
          </cell>
          <cell r="U1236">
            <v>2025</v>
          </cell>
          <cell r="AF1236">
            <v>595.85286406610021</v>
          </cell>
        </row>
        <row r="1237">
          <cell r="J1237">
            <v>0.9</v>
          </cell>
          <cell r="U1237">
            <v>2025</v>
          </cell>
          <cell r="AF1237">
            <v>274.83713355048872</v>
          </cell>
        </row>
        <row r="1238">
          <cell r="J1238">
            <v>1.3</v>
          </cell>
          <cell r="U1238">
            <v>2025</v>
          </cell>
          <cell r="AF1238">
            <v>396.98697068403925</v>
          </cell>
        </row>
        <row r="1239">
          <cell r="J1239">
            <v>1.3</v>
          </cell>
          <cell r="U1239">
            <v>2025</v>
          </cell>
          <cell r="AF1239">
            <v>396.98697068403925</v>
          </cell>
        </row>
        <row r="1240">
          <cell r="J1240">
            <v>2.6</v>
          </cell>
          <cell r="U1240">
            <v>2025</v>
          </cell>
          <cell r="AF1240">
            <v>677.78263287518894</v>
          </cell>
        </row>
        <row r="1241">
          <cell r="J1241">
            <v>1</v>
          </cell>
          <cell r="U1241">
            <v>2025</v>
          </cell>
          <cell r="AF1241">
            <v>283.03011043139759</v>
          </cell>
        </row>
        <row r="1242">
          <cell r="J1242">
            <v>1.1000000000000001</v>
          </cell>
          <cell r="U1242">
            <v>2025</v>
          </cell>
          <cell r="AF1242">
            <v>344.10502899817288</v>
          </cell>
        </row>
        <row r="1243">
          <cell r="J1243">
            <v>1.2</v>
          </cell>
          <cell r="U1243">
            <v>2025</v>
          </cell>
          <cell r="AF1243">
            <v>366.4495114006516</v>
          </cell>
        </row>
        <row r="1244">
          <cell r="J1244">
            <v>1.1000000000001364</v>
          </cell>
          <cell r="U1244">
            <v>2025</v>
          </cell>
          <cell r="AF1244">
            <v>370.23453786649554</v>
          </cell>
        </row>
        <row r="1245">
          <cell r="J1245">
            <v>1.2999999999999545</v>
          </cell>
          <cell r="U1245">
            <v>2025</v>
          </cell>
          <cell r="AF1245">
            <v>377.6217526018778</v>
          </cell>
        </row>
        <row r="1246">
          <cell r="J1246">
            <v>1.5</v>
          </cell>
          <cell r="U1246">
            <v>2025</v>
          </cell>
          <cell r="AF1246">
            <v>391.02844204337828</v>
          </cell>
        </row>
        <row r="1247">
          <cell r="J1247">
            <v>1.5999999999999091</v>
          </cell>
          <cell r="U1247">
            <v>2025</v>
          </cell>
          <cell r="AF1247">
            <v>417.09700484624648</v>
          </cell>
        </row>
        <row r="1248">
          <cell r="J1248">
            <v>1.3000000000001819</v>
          </cell>
          <cell r="U1248">
            <v>2025</v>
          </cell>
          <cell r="AF1248">
            <v>338.89131643764188</v>
          </cell>
        </row>
        <row r="1249">
          <cell r="J1249">
            <v>2.5</v>
          </cell>
          <cell r="U1249">
            <v>2025</v>
          </cell>
          <cell r="AF1249">
            <v>651.71407007229709</v>
          </cell>
        </row>
        <row r="1250">
          <cell r="J1250">
            <v>2.0999999999999091</v>
          </cell>
          <cell r="U1250">
            <v>2025</v>
          </cell>
          <cell r="AF1250">
            <v>547.43981886070583</v>
          </cell>
        </row>
        <row r="1251">
          <cell r="J1251">
            <v>1.4000000000000909</v>
          </cell>
          <cell r="U1251">
            <v>2025</v>
          </cell>
          <cell r="AF1251">
            <v>364.95987924051002</v>
          </cell>
        </row>
        <row r="1252">
          <cell r="J1252">
            <v>2.0999999999999091</v>
          </cell>
          <cell r="U1252">
            <v>2025</v>
          </cell>
          <cell r="AF1252">
            <v>547.43981886070583</v>
          </cell>
        </row>
        <row r="1253">
          <cell r="J1253">
            <v>2.7999999999999545</v>
          </cell>
          <cell r="U1253">
            <v>2025</v>
          </cell>
          <cell r="AF1253">
            <v>729.91975848096092</v>
          </cell>
        </row>
        <row r="1254">
          <cell r="J1254">
            <v>1.4000000000000909</v>
          </cell>
          <cell r="U1254">
            <v>2025</v>
          </cell>
          <cell r="AF1254">
            <v>471.35423869868811</v>
          </cell>
        </row>
        <row r="1255">
          <cell r="J1255">
            <v>0.89999999999986358</v>
          </cell>
          <cell r="U1255">
            <v>2025</v>
          </cell>
          <cell r="AF1255">
            <v>303.01798805310426</v>
          </cell>
        </row>
        <row r="1256">
          <cell r="J1256">
            <v>2</v>
          </cell>
          <cell r="U1256">
            <v>2025</v>
          </cell>
          <cell r="AF1256">
            <v>521.37125605783763</v>
          </cell>
        </row>
        <row r="1257">
          <cell r="J1257">
            <v>2</v>
          </cell>
          <cell r="U1257">
            <v>2025</v>
          </cell>
          <cell r="AF1257">
            <v>521.37125605783763</v>
          </cell>
        </row>
        <row r="1258">
          <cell r="J1258">
            <v>0.60000000000013642</v>
          </cell>
          <cell r="U1258">
            <v>2025</v>
          </cell>
          <cell r="AF1258">
            <v>156.41137681738687</v>
          </cell>
        </row>
        <row r="1259">
          <cell r="J1259">
            <v>2.2000000000000455</v>
          </cell>
          <cell r="U1259">
            <v>2025</v>
          </cell>
          <cell r="AF1259">
            <v>573.50838166363326</v>
          </cell>
        </row>
        <row r="1260">
          <cell r="J1260">
            <v>1.3999999999998636</v>
          </cell>
          <cell r="U1260">
            <v>2025</v>
          </cell>
          <cell r="AF1260">
            <v>364.95987924045079</v>
          </cell>
        </row>
        <row r="1261">
          <cell r="J1261">
            <v>2</v>
          </cell>
          <cell r="U1261">
            <v>2025</v>
          </cell>
          <cell r="AF1261">
            <v>521.37125605783763</v>
          </cell>
        </row>
        <row r="1262">
          <cell r="J1262">
            <v>1.1000000000001364</v>
          </cell>
          <cell r="U1262">
            <v>2025</v>
          </cell>
          <cell r="AF1262">
            <v>286.75419083184624</v>
          </cell>
        </row>
        <row r="1263">
          <cell r="J1263">
            <v>2</v>
          </cell>
          <cell r="U1263">
            <v>2025</v>
          </cell>
          <cell r="AF1263">
            <v>521.37125605783763</v>
          </cell>
        </row>
        <row r="1264">
          <cell r="J1264">
            <v>2.8999999999998636</v>
          </cell>
          <cell r="U1264">
            <v>2025</v>
          </cell>
          <cell r="AF1264">
            <v>755.98832128382912</v>
          </cell>
        </row>
        <row r="1265">
          <cell r="J1265">
            <v>1.2000000000000455</v>
          </cell>
          <cell r="U1265">
            <v>2025</v>
          </cell>
          <cell r="AF1265">
            <v>312.82275363471445</v>
          </cell>
        </row>
        <row r="1266">
          <cell r="J1266">
            <v>1</v>
          </cell>
          <cell r="U1266">
            <v>2025</v>
          </cell>
          <cell r="AF1266">
            <v>156.41137681735131</v>
          </cell>
        </row>
        <row r="1267">
          <cell r="J1267">
            <v>0.79999999999995453</v>
          </cell>
          <cell r="U1267">
            <v>2025</v>
          </cell>
          <cell r="AF1267">
            <v>0</v>
          </cell>
        </row>
        <row r="1268">
          <cell r="J1268">
            <v>2.4000000000000909</v>
          </cell>
          <cell r="U1268">
            <v>2025</v>
          </cell>
          <cell r="AF1268">
            <v>765.75127512515837</v>
          </cell>
        </row>
        <row r="1269">
          <cell r="J1269">
            <v>0.39999999999986358</v>
          </cell>
          <cell r="U1269">
            <v>2025</v>
          </cell>
          <cell r="AF1269">
            <v>104.27425121153198</v>
          </cell>
        </row>
        <row r="1270">
          <cell r="J1270">
            <v>1.6</v>
          </cell>
          <cell r="U1270">
            <v>2025</v>
          </cell>
          <cell r="AF1270">
            <v>476.68229125288019</v>
          </cell>
        </row>
        <row r="1271">
          <cell r="J1271">
            <v>0.8</v>
          </cell>
          <cell r="U1271">
            <v>2025</v>
          </cell>
          <cell r="AF1271">
            <v>255.22628108365785</v>
          </cell>
        </row>
        <row r="1272">
          <cell r="J1272">
            <v>1.5599999999999852</v>
          </cell>
          <cell r="U1272">
            <v>2025</v>
          </cell>
          <cell r="AF1272">
            <v>406.66957972510943</v>
          </cell>
        </row>
        <row r="1273">
          <cell r="J1273">
            <v>3.3800000000000296</v>
          </cell>
          <cell r="U1273">
            <v>2025</v>
          </cell>
          <cell r="AF1273">
            <v>881.1174227377536</v>
          </cell>
        </row>
        <row r="1274">
          <cell r="J1274">
            <v>3.9000000000000004</v>
          </cell>
          <cell r="U1274">
            <v>2025</v>
          </cell>
          <cell r="AF1274">
            <v>1016.6739493127836</v>
          </cell>
        </row>
        <row r="1275">
          <cell r="J1275">
            <v>4.2</v>
          </cell>
          <cell r="U1275">
            <v>2025</v>
          </cell>
          <cell r="AF1275">
            <v>1094.8796377214592</v>
          </cell>
        </row>
        <row r="1276">
          <cell r="J1276">
            <v>2</v>
          </cell>
          <cell r="U1276">
            <v>2025</v>
          </cell>
          <cell r="AF1276">
            <v>521.37125605783763</v>
          </cell>
        </row>
        <row r="1277">
          <cell r="J1277">
            <v>0.90000000000009095</v>
          </cell>
          <cell r="U1277">
            <v>2025</v>
          </cell>
          <cell r="AF1277">
            <v>261.43044410902792</v>
          </cell>
        </row>
        <row r="1278">
          <cell r="J1278">
            <v>1.2</v>
          </cell>
          <cell r="U1278">
            <v>2025</v>
          </cell>
          <cell r="AF1278">
            <v>312.82275363470256</v>
          </cell>
        </row>
        <row r="1279">
          <cell r="J1279">
            <v>2.2999999999999998</v>
          </cell>
          <cell r="U1279">
            <v>2025</v>
          </cell>
          <cell r="AF1279">
            <v>599.57694446651328</v>
          </cell>
        </row>
        <row r="1280">
          <cell r="J1280">
            <v>2.2999999999999998</v>
          </cell>
          <cell r="U1280">
            <v>2025</v>
          </cell>
          <cell r="AF1280">
            <v>599.57694446651328</v>
          </cell>
        </row>
        <row r="1281">
          <cell r="J1281">
            <v>1.3</v>
          </cell>
          <cell r="U1281">
            <v>2025</v>
          </cell>
          <cell r="AF1281">
            <v>406.66957972511341</v>
          </cell>
        </row>
        <row r="1282">
          <cell r="J1282">
            <v>1.1000000000000001</v>
          </cell>
          <cell r="U1282">
            <v>2025</v>
          </cell>
          <cell r="AF1282">
            <v>344.10502899817288</v>
          </cell>
        </row>
        <row r="1283">
          <cell r="J1283">
            <v>1.2</v>
          </cell>
          <cell r="U1283">
            <v>2025</v>
          </cell>
          <cell r="AF1283">
            <v>375.38730436164309</v>
          </cell>
        </row>
        <row r="1284">
          <cell r="J1284">
            <v>1.5</v>
          </cell>
          <cell r="U1284">
            <v>2025</v>
          </cell>
          <cell r="AF1284">
            <v>446.88964804957516</v>
          </cell>
        </row>
        <row r="1285">
          <cell r="J1285">
            <v>2.5</v>
          </cell>
          <cell r="U1285">
            <v>2025</v>
          </cell>
          <cell r="AF1285">
            <v>651.71407007229709</v>
          </cell>
        </row>
        <row r="1286">
          <cell r="J1286">
            <v>0.9</v>
          </cell>
          <cell r="U1286">
            <v>2025</v>
          </cell>
          <cell r="AF1286">
            <v>281.54047827123236</v>
          </cell>
        </row>
        <row r="1287">
          <cell r="J1287">
            <v>0.9</v>
          </cell>
          <cell r="U1287">
            <v>2025</v>
          </cell>
          <cell r="AF1287">
            <v>281.54047827123236</v>
          </cell>
        </row>
        <row r="1288">
          <cell r="J1288">
            <v>1.5</v>
          </cell>
          <cell r="U1288">
            <v>2025</v>
          </cell>
          <cell r="AF1288">
            <v>469.23413045205393</v>
          </cell>
        </row>
        <row r="1289">
          <cell r="J1289">
            <v>0.6</v>
          </cell>
          <cell r="U1289">
            <v>2025</v>
          </cell>
          <cell r="AF1289">
            <v>187.69365218082154</v>
          </cell>
        </row>
        <row r="1290">
          <cell r="J1290">
            <v>0.8</v>
          </cell>
          <cell r="U1290">
            <v>2025</v>
          </cell>
          <cell r="AF1290">
            <v>208.54850242313509</v>
          </cell>
        </row>
        <row r="1291">
          <cell r="J1291">
            <v>1.5</v>
          </cell>
          <cell r="U1291">
            <v>2025</v>
          </cell>
          <cell r="AF1291">
            <v>391.02844204337828</v>
          </cell>
        </row>
        <row r="1292">
          <cell r="J1292">
            <v>2.2000000000000002</v>
          </cell>
          <cell r="U1292">
            <v>2025</v>
          </cell>
          <cell r="AF1292">
            <v>573.50838166362144</v>
          </cell>
        </row>
        <row r="1293">
          <cell r="J1293">
            <v>2.1</v>
          </cell>
          <cell r="U1293">
            <v>2025</v>
          </cell>
          <cell r="AF1293">
            <v>547.43981886072959</v>
          </cell>
        </row>
        <row r="1294">
          <cell r="J1294">
            <v>1.7000000000000455</v>
          </cell>
          <cell r="U1294">
            <v>2025</v>
          </cell>
          <cell r="AF1294">
            <v>481.15118773338884</v>
          </cell>
        </row>
        <row r="1295">
          <cell r="J1295">
            <v>1.6999999999998181</v>
          </cell>
          <cell r="U1295">
            <v>2025</v>
          </cell>
          <cell r="AF1295">
            <v>481.15118773332438</v>
          </cell>
        </row>
        <row r="1296">
          <cell r="J1296">
            <v>1.6000000000001364</v>
          </cell>
          <cell r="U1296">
            <v>2025</v>
          </cell>
          <cell r="AF1296">
            <v>417.09700484630571</v>
          </cell>
        </row>
        <row r="1297">
          <cell r="J1297">
            <v>1.1000000000000001</v>
          </cell>
          <cell r="U1297">
            <v>2025</v>
          </cell>
          <cell r="AF1297">
            <v>286.75419083181072</v>
          </cell>
        </row>
        <row r="1298">
          <cell r="J1298">
            <v>1</v>
          </cell>
          <cell r="U1298">
            <v>2025</v>
          </cell>
          <cell r="AF1298">
            <v>312.82275363470262</v>
          </cell>
        </row>
        <row r="1299">
          <cell r="J1299">
            <v>0.60000000000013642</v>
          </cell>
          <cell r="U1299">
            <v>2025</v>
          </cell>
          <cell r="AF1299">
            <v>156.41137681738687</v>
          </cell>
        </row>
        <row r="1300">
          <cell r="J1300">
            <v>0.70000000000004547</v>
          </cell>
          <cell r="U1300">
            <v>2025</v>
          </cell>
          <cell r="AF1300">
            <v>182.47993962025501</v>
          </cell>
        </row>
        <row r="1301">
          <cell r="J1301">
            <v>0.59999999999990905</v>
          </cell>
          <cell r="U1301">
            <v>2025</v>
          </cell>
          <cell r="AF1301">
            <v>187.69365218079312</v>
          </cell>
        </row>
        <row r="1302">
          <cell r="J1302">
            <v>0.79999999999995453</v>
          </cell>
          <cell r="U1302">
            <v>2025</v>
          </cell>
          <cell r="AF1302">
            <v>208.54850242312324</v>
          </cell>
        </row>
        <row r="1303">
          <cell r="J1303">
            <v>1.4000000000000909</v>
          </cell>
          <cell r="U1303">
            <v>2025</v>
          </cell>
          <cell r="AF1303">
            <v>472.01063051166983</v>
          </cell>
        </row>
        <row r="1304">
          <cell r="J1304">
            <v>1.7000000000000455</v>
          </cell>
          <cell r="U1304">
            <v>2025</v>
          </cell>
          <cell r="AF1304">
            <v>443.16556764917385</v>
          </cell>
        </row>
        <row r="1305">
          <cell r="J1305">
            <v>1.6999999999998181</v>
          </cell>
          <cell r="U1305">
            <v>2025</v>
          </cell>
          <cell r="AF1305">
            <v>443.16556764911456</v>
          </cell>
        </row>
        <row r="1306">
          <cell r="J1306">
            <v>1.5</v>
          </cell>
          <cell r="U1306">
            <v>2025</v>
          </cell>
          <cell r="AF1306">
            <v>391.02844204337828</v>
          </cell>
        </row>
        <row r="1307">
          <cell r="J1307">
            <v>0.6</v>
          </cell>
          <cell r="U1307">
            <v>2025</v>
          </cell>
          <cell r="AF1307">
            <v>156.41137681735128</v>
          </cell>
        </row>
        <row r="1308">
          <cell r="J1308">
            <v>0.79999999999995453</v>
          </cell>
          <cell r="U1308">
            <v>2025</v>
          </cell>
          <cell r="AF1308">
            <v>208.54850242312324</v>
          </cell>
        </row>
        <row r="1309">
          <cell r="J1309">
            <v>0.40000000000009095</v>
          </cell>
          <cell r="U1309">
            <v>2025</v>
          </cell>
          <cell r="AF1309">
            <v>0</v>
          </cell>
        </row>
        <row r="1310">
          <cell r="J1310">
            <v>0.59999999999990905</v>
          </cell>
          <cell r="U1310">
            <v>2025</v>
          </cell>
          <cell r="AF1310">
            <v>156.41137681732758</v>
          </cell>
        </row>
        <row r="1311">
          <cell r="J1311">
            <v>1.4000000000000909</v>
          </cell>
          <cell r="U1311">
            <v>2025</v>
          </cell>
          <cell r="AF1311">
            <v>437.95185508861204</v>
          </cell>
        </row>
        <row r="1312">
          <cell r="J1312">
            <v>1.3999999999998636</v>
          </cell>
          <cell r="U1312">
            <v>2025</v>
          </cell>
          <cell r="AF1312">
            <v>364.95987924045079</v>
          </cell>
        </row>
        <row r="1313">
          <cell r="J1313">
            <v>0.8000000000001819</v>
          </cell>
          <cell r="U1313">
            <v>2025</v>
          </cell>
          <cell r="AF1313">
            <v>244.29967426715666</v>
          </cell>
        </row>
        <row r="1314">
          <cell r="J1314">
            <v>2.5</v>
          </cell>
          <cell r="U1314">
            <v>2025</v>
          </cell>
          <cell r="AF1314">
            <v>651.71407007229709</v>
          </cell>
        </row>
        <row r="1315">
          <cell r="J1315">
            <v>2.6999999999998181</v>
          </cell>
          <cell r="U1315">
            <v>2025</v>
          </cell>
          <cell r="AF1315">
            <v>703.85119567803349</v>
          </cell>
        </row>
        <row r="1316">
          <cell r="J1316">
            <v>3</v>
          </cell>
          <cell r="U1316">
            <v>2025</v>
          </cell>
          <cell r="AF1316">
            <v>782.05688408675655</v>
          </cell>
        </row>
        <row r="1317">
          <cell r="J1317">
            <v>3.2000000000000455</v>
          </cell>
          <cell r="U1317">
            <v>2025</v>
          </cell>
          <cell r="AF1317">
            <v>834.19400969255207</v>
          </cell>
        </row>
        <row r="1318">
          <cell r="J1318">
            <v>1.9000000000000909</v>
          </cell>
          <cell r="U1318">
            <v>2025</v>
          </cell>
          <cell r="AF1318">
            <v>495.30269325496954</v>
          </cell>
        </row>
        <row r="1319">
          <cell r="J1319">
            <v>0.70000000000004547</v>
          </cell>
          <cell r="U1319">
            <v>2025</v>
          </cell>
          <cell r="AF1319">
            <v>203.33478986256989</v>
          </cell>
        </row>
        <row r="1320">
          <cell r="J1320">
            <v>0.39999999999986358</v>
          </cell>
          <cell r="U1320">
            <v>2025</v>
          </cell>
          <cell r="AF1320">
            <v>104.27425121153198</v>
          </cell>
        </row>
        <row r="1321">
          <cell r="J1321">
            <v>1.9000000000000909</v>
          </cell>
          <cell r="U1321">
            <v>2025</v>
          </cell>
          <cell r="AF1321">
            <v>580.21172638439282</v>
          </cell>
        </row>
        <row r="1322">
          <cell r="J1322">
            <v>0.70000000000004547</v>
          </cell>
          <cell r="U1322">
            <v>2025</v>
          </cell>
          <cell r="AF1322">
            <v>182.47993962025501</v>
          </cell>
        </row>
        <row r="1323">
          <cell r="J1323">
            <v>1.5</v>
          </cell>
          <cell r="U1323">
            <v>2025</v>
          </cell>
          <cell r="AF1323">
            <v>424.54516564709638</v>
          </cell>
        </row>
        <row r="1324">
          <cell r="J1324">
            <v>1</v>
          </cell>
          <cell r="U1324">
            <v>2025</v>
          </cell>
          <cell r="AF1324">
            <v>283.03011043139759</v>
          </cell>
        </row>
        <row r="1325">
          <cell r="J1325">
            <v>1.2999999999999545</v>
          </cell>
          <cell r="U1325">
            <v>2025</v>
          </cell>
          <cell r="AF1325">
            <v>338.89131643758259</v>
          </cell>
        </row>
        <row r="1326">
          <cell r="J1326">
            <v>0.5</v>
          </cell>
          <cell r="U1326">
            <v>2025</v>
          </cell>
          <cell r="AF1326">
            <v>145.23913561611192</v>
          </cell>
        </row>
        <row r="1327">
          <cell r="J1327">
            <v>1.8999999999998636</v>
          </cell>
          <cell r="U1327">
            <v>2025</v>
          </cell>
          <cell r="AF1327">
            <v>495.30269325491025</v>
          </cell>
        </row>
        <row r="1328">
          <cell r="J1328">
            <v>1.5999999999999091</v>
          </cell>
          <cell r="U1328">
            <v>2025</v>
          </cell>
        </row>
        <row r="1329">
          <cell r="J1329">
            <v>1.2000000000002728</v>
          </cell>
          <cell r="U1329">
            <v>2025</v>
          </cell>
        </row>
        <row r="1330">
          <cell r="J1330">
            <v>2.4000000000000909</v>
          </cell>
          <cell r="U1330">
            <v>2025</v>
          </cell>
        </row>
        <row r="1331">
          <cell r="J1331">
            <v>2.0999999999999091</v>
          </cell>
          <cell r="U1331">
            <v>2025</v>
          </cell>
        </row>
        <row r="1332">
          <cell r="J1332">
            <v>0.79999999999972715</v>
          </cell>
          <cell r="U1332">
            <v>2025</v>
          </cell>
        </row>
        <row r="1333">
          <cell r="J1333">
            <v>1.1000000000003638</v>
          </cell>
          <cell r="U1333">
            <v>2025</v>
          </cell>
        </row>
        <row r="1334">
          <cell r="J1334">
            <v>0.59999999999990905</v>
          </cell>
          <cell r="U1334">
            <v>2025</v>
          </cell>
        </row>
        <row r="1335">
          <cell r="J1335">
            <v>0.59999999999990905</v>
          </cell>
          <cell r="U1335">
            <v>2025</v>
          </cell>
        </row>
        <row r="1336">
          <cell r="J1336">
            <v>2.3000000000001819</v>
          </cell>
          <cell r="U1336">
            <v>2025</v>
          </cell>
        </row>
        <row r="1337">
          <cell r="J1337">
            <v>1.3999999999996362</v>
          </cell>
          <cell r="U1337">
            <v>2025</v>
          </cell>
        </row>
        <row r="1338">
          <cell r="J1338">
            <v>1.8000000000001819</v>
          </cell>
          <cell r="U1338">
            <v>2025</v>
          </cell>
        </row>
        <row r="1339">
          <cell r="J1339">
            <v>1.5</v>
          </cell>
          <cell r="U1339">
            <v>2025</v>
          </cell>
        </row>
        <row r="1340">
          <cell r="J1340" t="str">
            <v/>
          </cell>
          <cell r="U1340" t="str">
            <v/>
          </cell>
        </row>
        <row r="1341">
          <cell r="J1341" t="str">
            <v/>
          </cell>
          <cell r="U1341" t="str">
            <v/>
          </cell>
        </row>
        <row r="1342">
          <cell r="J1342" t="str">
            <v/>
          </cell>
          <cell r="U1342" t="str">
            <v/>
          </cell>
        </row>
        <row r="1343">
          <cell r="J1343" t="str">
            <v/>
          </cell>
          <cell r="U1343" t="str">
            <v/>
          </cell>
        </row>
        <row r="1344">
          <cell r="J1344" t="str">
            <v/>
          </cell>
          <cell r="U1344" t="str">
            <v/>
          </cell>
        </row>
        <row r="1345">
          <cell r="J1345" t="str">
            <v/>
          </cell>
          <cell r="U1345" t="str">
            <v/>
          </cell>
        </row>
        <row r="1346">
          <cell r="J1346" t="str">
            <v/>
          </cell>
          <cell r="U1346" t="str">
            <v/>
          </cell>
        </row>
        <row r="1347">
          <cell r="J1347" t="str">
            <v/>
          </cell>
          <cell r="U1347" t="str">
            <v/>
          </cell>
        </row>
        <row r="1348">
          <cell r="J1348" t="str">
            <v/>
          </cell>
          <cell r="U1348" t="str">
            <v/>
          </cell>
        </row>
        <row r="1349">
          <cell r="J1349" t="str">
            <v/>
          </cell>
          <cell r="U1349" t="str">
            <v/>
          </cell>
        </row>
        <row r="1350">
          <cell r="J1350" t="str">
            <v/>
          </cell>
          <cell r="U1350" t="str">
            <v/>
          </cell>
        </row>
        <row r="1351">
          <cell r="J1351" t="str">
            <v/>
          </cell>
          <cell r="U1351" t="str">
            <v/>
          </cell>
        </row>
        <row r="1352">
          <cell r="J1352" t="str">
            <v/>
          </cell>
          <cell r="U1352" t="str">
            <v/>
          </cell>
        </row>
        <row r="1353">
          <cell r="J1353" t="str">
            <v/>
          </cell>
          <cell r="U1353" t="str">
            <v/>
          </cell>
        </row>
        <row r="1354">
          <cell r="J1354" t="str">
            <v/>
          </cell>
          <cell r="U1354" t="str">
            <v/>
          </cell>
        </row>
        <row r="1355">
          <cell r="J1355" t="str">
            <v/>
          </cell>
          <cell r="U1355" t="str">
            <v/>
          </cell>
        </row>
        <row r="1356">
          <cell r="J1356" t="str">
            <v/>
          </cell>
          <cell r="U1356" t="str">
            <v/>
          </cell>
        </row>
        <row r="1357">
          <cell r="J1357" t="str">
            <v/>
          </cell>
          <cell r="U1357" t="str">
            <v/>
          </cell>
        </row>
        <row r="1358">
          <cell r="J1358" t="str">
            <v/>
          </cell>
          <cell r="U1358" t="str">
            <v/>
          </cell>
        </row>
        <row r="1359">
          <cell r="J1359" t="str">
            <v/>
          </cell>
          <cell r="U1359" t="str">
            <v/>
          </cell>
        </row>
        <row r="1360">
          <cell r="J1360" t="str">
            <v/>
          </cell>
          <cell r="U1360" t="str">
            <v/>
          </cell>
        </row>
        <row r="1361">
          <cell r="J1361" t="str">
            <v/>
          </cell>
          <cell r="U1361" t="str">
            <v/>
          </cell>
        </row>
        <row r="1362">
          <cell r="J1362" t="str">
            <v/>
          </cell>
          <cell r="U1362" t="str">
            <v/>
          </cell>
        </row>
        <row r="1363">
          <cell r="J1363" t="str">
            <v/>
          </cell>
          <cell r="U1363" t="str">
            <v/>
          </cell>
        </row>
        <row r="1364">
          <cell r="J1364" t="str">
            <v/>
          </cell>
          <cell r="U1364" t="str">
            <v/>
          </cell>
        </row>
        <row r="1365">
          <cell r="J1365" t="str">
            <v/>
          </cell>
          <cell r="U1365" t="str">
            <v/>
          </cell>
        </row>
        <row r="1366">
          <cell r="J1366" t="str">
            <v/>
          </cell>
          <cell r="U1366" t="str">
            <v/>
          </cell>
        </row>
        <row r="1367">
          <cell r="J1367" t="str">
            <v/>
          </cell>
          <cell r="U1367" t="str">
            <v/>
          </cell>
        </row>
        <row r="1368">
          <cell r="J1368" t="str">
            <v/>
          </cell>
          <cell r="U1368" t="str">
            <v/>
          </cell>
        </row>
        <row r="1369">
          <cell r="J1369" t="str">
            <v/>
          </cell>
          <cell r="U1369" t="str">
            <v/>
          </cell>
        </row>
        <row r="1370">
          <cell r="J1370" t="str">
            <v/>
          </cell>
          <cell r="U1370" t="str">
            <v/>
          </cell>
        </row>
        <row r="1371">
          <cell r="J1371" t="str">
            <v/>
          </cell>
          <cell r="U1371" t="str">
            <v/>
          </cell>
        </row>
        <row r="1372">
          <cell r="J1372" t="str">
            <v/>
          </cell>
          <cell r="U1372" t="str">
            <v/>
          </cell>
        </row>
        <row r="1373">
          <cell r="J1373" t="str">
            <v/>
          </cell>
          <cell r="U1373" t="str">
            <v/>
          </cell>
        </row>
        <row r="1374">
          <cell r="J1374" t="str">
            <v/>
          </cell>
          <cell r="U1374" t="str">
            <v/>
          </cell>
        </row>
        <row r="1375">
          <cell r="J1375" t="str">
            <v/>
          </cell>
          <cell r="U1375" t="str">
            <v/>
          </cell>
        </row>
        <row r="1376">
          <cell r="J1376" t="str">
            <v/>
          </cell>
          <cell r="U1376" t="str">
            <v/>
          </cell>
        </row>
        <row r="1377">
          <cell r="J1377" t="str">
            <v/>
          </cell>
          <cell r="U1377" t="str">
            <v/>
          </cell>
        </row>
        <row r="1378">
          <cell r="J1378" t="str">
            <v/>
          </cell>
          <cell r="U1378" t="str">
            <v/>
          </cell>
        </row>
        <row r="1379">
          <cell r="J1379" t="str">
            <v/>
          </cell>
          <cell r="U1379" t="str">
            <v/>
          </cell>
        </row>
        <row r="1380">
          <cell r="J1380" t="str">
            <v/>
          </cell>
          <cell r="U1380" t="str">
            <v/>
          </cell>
        </row>
        <row r="1381">
          <cell r="J1381" t="str">
            <v/>
          </cell>
          <cell r="U1381" t="str">
            <v/>
          </cell>
        </row>
        <row r="1382">
          <cell r="J1382" t="str">
            <v/>
          </cell>
          <cell r="U1382" t="str">
            <v/>
          </cell>
        </row>
        <row r="1383">
          <cell r="J1383" t="str">
            <v/>
          </cell>
          <cell r="U1383" t="str">
            <v/>
          </cell>
        </row>
        <row r="1384">
          <cell r="J1384" t="str">
            <v/>
          </cell>
          <cell r="U1384" t="str">
            <v/>
          </cell>
        </row>
        <row r="1385">
          <cell r="J1385" t="str">
            <v/>
          </cell>
          <cell r="U1385" t="str">
            <v/>
          </cell>
        </row>
        <row r="1386">
          <cell r="J1386" t="str">
            <v/>
          </cell>
          <cell r="U1386" t="str">
            <v/>
          </cell>
        </row>
        <row r="1387">
          <cell r="J1387" t="str">
            <v/>
          </cell>
          <cell r="U1387" t="str">
            <v/>
          </cell>
        </row>
        <row r="1388">
          <cell r="J1388" t="str">
            <v/>
          </cell>
          <cell r="U1388" t="str">
            <v/>
          </cell>
        </row>
        <row r="1389">
          <cell r="J1389" t="str">
            <v/>
          </cell>
          <cell r="U1389" t="str">
            <v/>
          </cell>
        </row>
        <row r="1390">
          <cell r="J1390" t="str">
            <v/>
          </cell>
          <cell r="U1390" t="str">
            <v/>
          </cell>
        </row>
        <row r="1391">
          <cell r="J1391" t="str">
            <v/>
          </cell>
          <cell r="U1391" t="str">
            <v/>
          </cell>
        </row>
        <row r="1392">
          <cell r="J1392" t="str">
            <v/>
          </cell>
          <cell r="U1392" t="str">
            <v/>
          </cell>
        </row>
        <row r="1393">
          <cell r="J1393" t="str">
            <v/>
          </cell>
          <cell r="U1393" t="str">
            <v/>
          </cell>
        </row>
        <row r="1394">
          <cell r="J1394" t="str">
            <v/>
          </cell>
          <cell r="U1394" t="str">
            <v/>
          </cell>
        </row>
        <row r="1395">
          <cell r="J1395" t="str">
            <v/>
          </cell>
          <cell r="U1395" t="str">
            <v/>
          </cell>
        </row>
        <row r="1396">
          <cell r="J1396" t="str">
            <v/>
          </cell>
          <cell r="U1396" t="str">
            <v/>
          </cell>
        </row>
        <row r="1397">
          <cell r="J1397" t="str">
            <v/>
          </cell>
          <cell r="U1397" t="str">
            <v/>
          </cell>
        </row>
        <row r="1398">
          <cell r="J1398" t="str">
            <v/>
          </cell>
          <cell r="U1398" t="str">
            <v/>
          </cell>
        </row>
        <row r="1399">
          <cell r="J1399" t="str">
            <v/>
          </cell>
          <cell r="U1399" t="str">
            <v/>
          </cell>
        </row>
        <row r="1400">
          <cell r="J1400" t="str">
            <v/>
          </cell>
          <cell r="U1400" t="str">
            <v/>
          </cell>
        </row>
        <row r="1401">
          <cell r="J1401" t="str">
            <v/>
          </cell>
          <cell r="U1401" t="str">
            <v/>
          </cell>
        </row>
        <row r="1402">
          <cell r="J1402" t="str">
            <v/>
          </cell>
          <cell r="U1402" t="str">
            <v/>
          </cell>
        </row>
        <row r="1403">
          <cell r="J1403" t="str">
            <v/>
          </cell>
          <cell r="U1403" t="str">
            <v/>
          </cell>
        </row>
        <row r="1404">
          <cell r="J1404" t="str">
            <v/>
          </cell>
          <cell r="U1404" t="str">
            <v/>
          </cell>
        </row>
        <row r="1405">
          <cell r="J1405" t="str">
            <v/>
          </cell>
          <cell r="U1405" t="str">
            <v/>
          </cell>
        </row>
        <row r="1406">
          <cell r="J1406" t="str">
            <v/>
          </cell>
          <cell r="U1406" t="str">
            <v/>
          </cell>
        </row>
        <row r="1407">
          <cell r="J1407" t="str">
            <v/>
          </cell>
          <cell r="U1407" t="str">
            <v/>
          </cell>
        </row>
        <row r="1408">
          <cell r="J1408" t="str">
            <v/>
          </cell>
          <cell r="U1408" t="str">
            <v/>
          </cell>
        </row>
        <row r="1409">
          <cell r="J1409" t="str">
            <v/>
          </cell>
          <cell r="U1409" t="str">
            <v/>
          </cell>
        </row>
        <row r="1410">
          <cell r="J1410" t="str">
            <v/>
          </cell>
          <cell r="U1410" t="str">
            <v/>
          </cell>
        </row>
        <row r="1411">
          <cell r="J1411" t="str">
            <v/>
          </cell>
          <cell r="U1411" t="str">
            <v/>
          </cell>
        </row>
        <row r="1412">
          <cell r="J1412" t="str">
            <v/>
          </cell>
          <cell r="U1412" t="str">
            <v/>
          </cell>
        </row>
        <row r="1413">
          <cell r="J1413" t="str">
            <v/>
          </cell>
          <cell r="U1413" t="str">
            <v/>
          </cell>
        </row>
        <row r="1414">
          <cell r="J1414" t="str">
            <v/>
          </cell>
          <cell r="U1414" t="str">
            <v/>
          </cell>
        </row>
        <row r="1415">
          <cell r="J1415" t="str">
            <v/>
          </cell>
          <cell r="U1415" t="str">
            <v/>
          </cell>
        </row>
        <row r="1416">
          <cell r="J1416" t="str">
            <v/>
          </cell>
          <cell r="U1416" t="str">
            <v/>
          </cell>
        </row>
        <row r="1417">
          <cell r="J1417" t="str">
            <v/>
          </cell>
          <cell r="U1417" t="str">
            <v/>
          </cell>
        </row>
        <row r="1418">
          <cell r="J1418" t="str">
            <v/>
          </cell>
          <cell r="U1418" t="str">
            <v/>
          </cell>
        </row>
        <row r="1419">
          <cell r="J1419" t="str">
            <v/>
          </cell>
          <cell r="U1419" t="str">
            <v/>
          </cell>
        </row>
        <row r="1420">
          <cell r="J1420" t="str">
            <v/>
          </cell>
          <cell r="U1420" t="str">
            <v/>
          </cell>
        </row>
        <row r="1421">
          <cell r="J1421" t="str">
            <v/>
          </cell>
          <cell r="U1421" t="str">
            <v/>
          </cell>
        </row>
        <row r="1422">
          <cell r="J1422" t="str">
            <v/>
          </cell>
          <cell r="U1422" t="str">
            <v/>
          </cell>
        </row>
        <row r="1423">
          <cell r="J1423" t="str">
            <v/>
          </cell>
          <cell r="U1423" t="str">
            <v/>
          </cell>
        </row>
        <row r="1424">
          <cell r="J1424" t="str">
            <v/>
          </cell>
          <cell r="U1424" t="str">
            <v/>
          </cell>
        </row>
        <row r="1425">
          <cell r="J1425" t="str">
            <v/>
          </cell>
          <cell r="U1425" t="str">
            <v/>
          </cell>
        </row>
        <row r="1426">
          <cell r="J1426" t="str">
            <v/>
          </cell>
          <cell r="U1426" t="str">
            <v/>
          </cell>
        </row>
        <row r="1427">
          <cell r="J1427" t="str">
            <v/>
          </cell>
          <cell r="U1427" t="str">
            <v/>
          </cell>
        </row>
        <row r="1428">
          <cell r="J1428" t="str">
            <v/>
          </cell>
          <cell r="U1428" t="str">
            <v/>
          </cell>
        </row>
        <row r="1429">
          <cell r="J1429" t="str">
            <v/>
          </cell>
          <cell r="U1429" t="str">
            <v/>
          </cell>
        </row>
        <row r="1430">
          <cell r="J1430" t="str">
            <v/>
          </cell>
          <cell r="U1430" t="str">
            <v/>
          </cell>
        </row>
        <row r="1431">
          <cell r="J1431" t="str">
            <v/>
          </cell>
          <cell r="U1431" t="str">
            <v/>
          </cell>
        </row>
        <row r="1432">
          <cell r="J1432" t="str">
            <v/>
          </cell>
          <cell r="U1432" t="str">
            <v/>
          </cell>
        </row>
        <row r="1433">
          <cell r="J1433" t="str">
            <v/>
          </cell>
          <cell r="U1433" t="str">
            <v/>
          </cell>
        </row>
        <row r="1434">
          <cell r="J1434" t="str">
            <v/>
          </cell>
          <cell r="U1434" t="str">
            <v/>
          </cell>
        </row>
        <row r="1435">
          <cell r="J1435" t="str">
            <v/>
          </cell>
          <cell r="U1435" t="str">
            <v/>
          </cell>
        </row>
        <row r="1436">
          <cell r="J1436" t="str">
            <v/>
          </cell>
          <cell r="U1436" t="str">
            <v/>
          </cell>
        </row>
        <row r="1437">
          <cell r="J1437" t="str">
            <v/>
          </cell>
          <cell r="U1437" t="str">
            <v/>
          </cell>
        </row>
        <row r="1438">
          <cell r="J1438" t="str">
            <v/>
          </cell>
          <cell r="U1438" t="str">
            <v/>
          </cell>
        </row>
        <row r="1439">
          <cell r="J1439" t="str">
            <v/>
          </cell>
          <cell r="U1439" t="str">
            <v/>
          </cell>
        </row>
        <row r="1440">
          <cell r="J1440" t="str">
            <v/>
          </cell>
          <cell r="U1440" t="str">
            <v/>
          </cell>
        </row>
        <row r="1441">
          <cell r="J1441" t="str">
            <v/>
          </cell>
          <cell r="U1441" t="str">
            <v/>
          </cell>
        </row>
        <row r="1442">
          <cell r="J1442" t="str">
            <v/>
          </cell>
          <cell r="U1442" t="str">
            <v/>
          </cell>
        </row>
        <row r="1443">
          <cell r="J1443" t="str">
            <v/>
          </cell>
          <cell r="U1443" t="str">
            <v/>
          </cell>
        </row>
        <row r="1444">
          <cell r="J1444" t="str">
            <v/>
          </cell>
          <cell r="U1444" t="str">
            <v/>
          </cell>
        </row>
        <row r="1445">
          <cell r="J1445" t="str">
            <v/>
          </cell>
          <cell r="U1445" t="str">
            <v/>
          </cell>
        </row>
        <row r="1446">
          <cell r="J1446" t="str">
            <v/>
          </cell>
          <cell r="U1446" t="str">
            <v/>
          </cell>
        </row>
        <row r="1447">
          <cell r="J1447" t="str">
            <v/>
          </cell>
          <cell r="U1447" t="str">
            <v/>
          </cell>
        </row>
        <row r="1448">
          <cell r="J1448" t="str">
            <v/>
          </cell>
          <cell r="U1448" t="str">
            <v/>
          </cell>
        </row>
        <row r="1449">
          <cell r="J1449" t="str">
            <v/>
          </cell>
          <cell r="U1449" t="str">
            <v/>
          </cell>
        </row>
        <row r="1450">
          <cell r="J1450" t="str">
            <v/>
          </cell>
          <cell r="U1450" t="str">
            <v/>
          </cell>
        </row>
        <row r="1451">
          <cell r="J1451" t="str">
            <v/>
          </cell>
          <cell r="U1451" t="str">
            <v/>
          </cell>
        </row>
        <row r="1452">
          <cell r="J1452" t="str">
            <v/>
          </cell>
          <cell r="U1452" t="str">
            <v/>
          </cell>
        </row>
        <row r="1453">
          <cell r="J1453" t="str">
            <v/>
          </cell>
          <cell r="U1453" t="str">
            <v/>
          </cell>
        </row>
        <row r="1454">
          <cell r="J1454" t="str">
            <v/>
          </cell>
          <cell r="U1454" t="str">
            <v/>
          </cell>
        </row>
        <row r="1455">
          <cell r="J1455" t="str">
            <v/>
          </cell>
          <cell r="U1455" t="str">
            <v/>
          </cell>
        </row>
        <row r="1456">
          <cell r="J1456" t="str">
            <v/>
          </cell>
          <cell r="U1456" t="str">
            <v/>
          </cell>
        </row>
        <row r="1457">
          <cell r="J1457" t="str">
            <v/>
          </cell>
          <cell r="U1457" t="str">
            <v/>
          </cell>
        </row>
        <row r="1458">
          <cell r="J1458" t="str">
            <v/>
          </cell>
          <cell r="U1458" t="str">
            <v/>
          </cell>
        </row>
        <row r="1459">
          <cell r="J1459" t="str">
            <v/>
          </cell>
          <cell r="U1459" t="str">
            <v/>
          </cell>
        </row>
        <row r="1460">
          <cell r="J1460" t="str">
            <v/>
          </cell>
          <cell r="U1460" t="str">
            <v/>
          </cell>
        </row>
        <row r="1461">
          <cell r="J1461" t="str">
            <v/>
          </cell>
          <cell r="U1461" t="str">
            <v/>
          </cell>
        </row>
        <row r="1462">
          <cell r="J1462" t="str">
            <v/>
          </cell>
          <cell r="U1462" t="str">
            <v/>
          </cell>
        </row>
        <row r="1463">
          <cell r="J1463" t="str">
            <v/>
          </cell>
          <cell r="U1463" t="str">
            <v/>
          </cell>
        </row>
        <row r="1464">
          <cell r="J1464" t="str">
            <v/>
          </cell>
          <cell r="U1464" t="str">
            <v/>
          </cell>
        </row>
        <row r="1465">
          <cell r="J1465" t="str">
            <v/>
          </cell>
          <cell r="U1465" t="str">
            <v/>
          </cell>
        </row>
        <row r="1466">
          <cell r="J1466" t="str">
            <v/>
          </cell>
          <cell r="U1466" t="str">
            <v/>
          </cell>
        </row>
        <row r="1467">
          <cell r="J1467" t="str">
            <v/>
          </cell>
          <cell r="U1467" t="str">
            <v/>
          </cell>
        </row>
        <row r="1468">
          <cell r="J1468" t="str">
            <v/>
          </cell>
          <cell r="U1468" t="str">
            <v/>
          </cell>
        </row>
        <row r="1469">
          <cell r="J1469" t="str">
            <v/>
          </cell>
          <cell r="U1469" t="str">
            <v/>
          </cell>
        </row>
        <row r="1470">
          <cell r="J1470" t="str">
            <v/>
          </cell>
          <cell r="U1470" t="str">
            <v/>
          </cell>
        </row>
        <row r="1471">
          <cell r="J1471" t="str">
            <v/>
          </cell>
          <cell r="U1471" t="str">
            <v/>
          </cell>
        </row>
        <row r="1472">
          <cell r="J1472" t="str">
            <v/>
          </cell>
          <cell r="U1472" t="str">
            <v/>
          </cell>
        </row>
        <row r="1473">
          <cell r="J1473" t="str">
            <v/>
          </cell>
          <cell r="U1473" t="str">
            <v/>
          </cell>
        </row>
        <row r="1474">
          <cell r="J1474" t="str">
            <v/>
          </cell>
          <cell r="U1474" t="str">
            <v/>
          </cell>
        </row>
        <row r="1475">
          <cell r="J1475" t="str">
            <v/>
          </cell>
          <cell r="U1475" t="str">
            <v/>
          </cell>
        </row>
        <row r="1476">
          <cell r="J1476" t="str">
            <v/>
          </cell>
          <cell r="U1476" t="str">
            <v/>
          </cell>
        </row>
        <row r="1477">
          <cell r="J1477" t="str">
            <v/>
          </cell>
          <cell r="U1477" t="str">
            <v/>
          </cell>
        </row>
        <row r="1478">
          <cell r="J1478" t="str">
            <v/>
          </cell>
          <cell r="U1478" t="str">
            <v/>
          </cell>
        </row>
        <row r="1479">
          <cell r="J1479" t="str">
            <v/>
          </cell>
          <cell r="U1479" t="str">
            <v/>
          </cell>
        </row>
        <row r="1480">
          <cell r="J1480" t="str">
            <v/>
          </cell>
          <cell r="U1480" t="str">
            <v/>
          </cell>
        </row>
        <row r="1481">
          <cell r="J1481" t="str">
            <v/>
          </cell>
          <cell r="U1481" t="str">
            <v/>
          </cell>
        </row>
        <row r="1482">
          <cell r="J1482" t="str">
            <v/>
          </cell>
          <cell r="U1482" t="str">
            <v/>
          </cell>
        </row>
        <row r="1483">
          <cell r="J1483" t="str">
            <v/>
          </cell>
          <cell r="U1483" t="str">
            <v/>
          </cell>
        </row>
        <row r="1484">
          <cell r="J1484" t="str">
            <v/>
          </cell>
          <cell r="U1484" t="str">
            <v/>
          </cell>
        </row>
        <row r="1485">
          <cell r="J1485" t="str">
            <v/>
          </cell>
          <cell r="U1485" t="str">
            <v/>
          </cell>
        </row>
        <row r="1486">
          <cell r="J1486" t="str">
            <v/>
          </cell>
          <cell r="U1486" t="str">
            <v/>
          </cell>
        </row>
        <row r="1487">
          <cell r="J1487" t="str">
            <v/>
          </cell>
          <cell r="U1487" t="str">
            <v/>
          </cell>
        </row>
        <row r="1488">
          <cell r="J1488" t="str">
            <v/>
          </cell>
          <cell r="U1488" t="str">
            <v/>
          </cell>
        </row>
        <row r="1489">
          <cell r="J1489" t="str">
            <v/>
          </cell>
          <cell r="U1489" t="str">
            <v/>
          </cell>
        </row>
        <row r="1490">
          <cell r="J1490" t="str">
            <v/>
          </cell>
          <cell r="U1490" t="str">
            <v/>
          </cell>
        </row>
        <row r="1491">
          <cell r="J1491" t="str">
            <v/>
          </cell>
          <cell r="U1491" t="str">
            <v/>
          </cell>
        </row>
        <row r="1492">
          <cell r="J1492" t="str">
            <v/>
          </cell>
          <cell r="U1492" t="str">
            <v/>
          </cell>
        </row>
        <row r="1493">
          <cell r="J1493" t="str">
            <v/>
          </cell>
          <cell r="U1493" t="str">
            <v/>
          </cell>
        </row>
        <row r="1494">
          <cell r="J1494" t="str">
            <v/>
          </cell>
          <cell r="U1494" t="str">
            <v/>
          </cell>
        </row>
        <row r="1495">
          <cell r="J1495" t="str">
            <v/>
          </cell>
          <cell r="U1495" t="str">
            <v/>
          </cell>
        </row>
        <row r="1496">
          <cell r="J1496" t="str">
            <v/>
          </cell>
          <cell r="U1496" t="str">
            <v/>
          </cell>
        </row>
        <row r="1497">
          <cell r="J1497" t="str">
            <v/>
          </cell>
          <cell r="U1497" t="str">
            <v/>
          </cell>
        </row>
        <row r="1498">
          <cell r="J1498" t="str">
            <v/>
          </cell>
          <cell r="U1498" t="str">
            <v/>
          </cell>
        </row>
        <row r="1499">
          <cell r="J1499" t="str">
            <v/>
          </cell>
          <cell r="U1499" t="str">
            <v/>
          </cell>
        </row>
        <row r="1500">
          <cell r="J1500" t="str">
            <v/>
          </cell>
          <cell r="U1500" t="str">
            <v/>
          </cell>
        </row>
        <row r="1501">
          <cell r="J1501" t="str">
            <v/>
          </cell>
          <cell r="U1501" t="str">
            <v/>
          </cell>
        </row>
        <row r="1502">
          <cell r="J1502" t="str">
            <v/>
          </cell>
          <cell r="U1502" t="str">
            <v/>
          </cell>
        </row>
        <row r="1503">
          <cell r="J1503" t="str">
            <v/>
          </cell>
          <cell r="U1503" t="str">
            <v/>
          </cell>
        </row>
        <row r="1504">
          <cell r="J1504" t="str">
            <v/>
          </cell>
          <cell r="U1504" t="str">
            <v/>
          </cell>
        </row>
        <row r="1505">
          <cell r="J1505" t="str">
            <v/>
          </cell>
          <cell r="U1505" t="str">
            <v/>
          </cell>
        </row>
        <row r="1506">
          <cell r="J1506" t="str">
            <v/>
          </cell>
          <cell r="U1506" t="str">
            <v/>
          </cell>
        </row>
        <row r="1507">
          <cell r="J1507" t="str">
            <v/>
          </cell>
          <cell r="U1507" t="str">
            <v/>
          </cell>
        </row>
        <row r="1508">
          <cell r="J1508" t="str">
            <v/>
          </cell>
          <cell r="U1508" t="str">
            <v/>
          </cell>
        </row>
        <row r="1509">
          <cell r="J1509" t="str">
            <v/>
          </cell>
          <cell r="U1509" t="str">
            <v/>
          </cell>
        </row>
        <row r="1510">
          <cell r="J1510" t="str">
            <v/>
          </cell>
          <cell r="U1510" t="str">
            <v/>
          </cell>
        </row>
        <row r="1511">
          <cell r="J1511" t="str">
            <v/>
          </cell>
          <cell r="U1511" t="str">
            <v/>
          </cell>
        </row>
        <row r="1512">
          <cell r="J1512" t="str">
            <v/>
          </cell>
          <cell r="U1512" t="str">
            <v/>
          </cell>
        </row>
        <row r="1513">
          <cell r="J1513" t="str">
            <v/>
          </cell>
          <cell r="U1513" t="str">
            <v/>
          </cell>
        </row>
        <row r="1514">
          <cell r="J1514" t="str">
            <v/>
          </cell>
          <cell r="U1514" t="str">
            <v/>
          </cell>
        </row>
        <row r="1515">
          <cell r="J1515" t="str">
            <v/>
          </cell>
          <cell r="U1515" t="str">
            <v/>
          </cell>
        </row>
        <row r="1516">
          <cell r="J1516" t="str">
            <v/>
          </cell>
          <cell r="U1516" t="str">
            <v/>
          </cell>
        </row>
        <row r="1517">
          <cell r="J1517" t="str">
            <v/>
          </cell>
          <cell r="U1517" t="str">
            <v/>
          </cell>
        </row>
        <row r="1518">
          <cell r="J1518" t="str">
            <v/>
          </cell>
          <cell r="U1518" t="str">
            <v/>
          </cell>
        </row>
        <row r="1519">
          <cell r="J1519" t="str">
            <v/>
          </cell>
          <cell r="U1519" t="str">
            <v/>
          </cell>
        </row>
        <row r="1520">
          <cell r="J1520" t="str">
            <v/>
          </cell>
          <cell r="U1520" t="str">
            <v/>
          </cell>
        </row>
        <row r="1521">
          <cell r="J1521" t="str">
            <v/>
          </cell>
          <cell r="U1521" t="str">
            <v/>
          </cell>
        </row>
        <row r="1522">
          <cell r="J1522" t="str">
            <v/>
          </cell>
          <cell r="U1522" t="str">
            <v/>
          </cell>
        </row>
        <row r="1523">
          <cell r="J1523" t="str">
            <v/>
          </cell>
          <cell r="U1523" t="str">
            <v/>
          </cell>
        </row>
        <row r="1524">
          <cell r="J1524" t="str">
            <v/>
          </cell>
          <cell r="U1524" t="str">
            <v/>
          </cell>
        </row>
        <row r="1525">
          <cell r="J1525" t="str">
            <v/>
          </cell>
          <cell r="U1525" t="str">
            <v/>
          </cell>
        </row>
        <row r="1526">
          <cell r="J1526" t="str">
            <v/>
          </cell>
          <cell r="U1526" t="str">
            <v/>
          </cell>
        </row>
        <row r="1527">
          <cell r="J1527" t="str">
            <v/>
          </cell>
          <cell r="U1527" t="str">
            <v/>
          </cell>
        </row>
        <row r="1528">
          <cell r="J1528" t="str">
            <v/>
          </cell>
          <cell r="U1528" t="str">
            <v/>
          </cell>
        </row>
        <row r="1529">
          <cell r="J1529" t="str">
            <v/>
          </cell>
          <cell r="U1529" t="str">
            <v/>
          </cell>
        </row>
        <row r="1530">
          <cell r="J1530" t="str">
            <v/>
          </cell>
          <cell r="U1530" t="str">
            <v/>
          </cell>
        </row>
        <row r="1531">
          <cell r="J1531" t="str">
            <v/>
          </cell>
          <cell r="U1531" t="str">
            <v/>
          </cell>
        </row>
        <row r="1532">
          <cell r="J1532" t="str">
            <v/>
          </cell>
          <cell r="U1532" t="str">
            <v/>
          </cell>
        </row>
        <row r="1533">
          <cell r="J1533" t="str">
            <v/>
          </cell>
          <cell r="U1533" t="str">
            <v/>
          </cell>
        </row>
        <row r="1534">
          <cell r="J1534" t="str">
            <v/>
          </cell>
          <cell r="U1534" t="str">
            <v/>
          </cell>
        </row>
        <row r="1535">
          <cell r="J1535" t="str">
            <v/>
          </cell>
          <cell r="U1535" t="str">
            <v/>
          </cell>
        </row>
        <row r="1536">
          <cell r="J1536" t="str">
            <v/>
          </cell>
          <cell r="U1536" t="str">
            <v/>
          </cell>
        </row>
        <row r="1537">
          <cell r="J1537" t="str">
            <v/>
          </cell>
          <cell r="U1537" t="str">
            <v/>
          </cell>
        </row>
        <row r="1538">
          <cell r="J1538" t="str">
            <v/>
          </cell>
          <cell r="U1538" t="str">
            <v/>
          </cell>
        </row>
        <row r="1539">
          <cell r="J1539" t="str">
            <v/>
          </cell>
          <cell r="U1539" t="str">
            <v/>
          </cell>
        </row>
        <row r="1540">
          <cell r="J1540" t="str">
            <v/>
          </cell>
          <cell r="U1540" t="str">
            <v/>
          </cell>
        </row>
        <row r="1541">
          <cell r="J1541" t="str">
            <v/>
          </cell>
          <cell r="U1541" t="str">
            <v/>
          </cell>
        </row>
        <row r="1542">
          <cell r="J1542" t="str">
            <v/>
          </cell>
          <cell r="U1542" t="str">
            <v/>
          </cell>
        </row>
        <row r="1543">
          <cell r="J1543" t="str">
            <v/>
          </cell>
          <cell r="U1543" t="str">
            <v/>
          </cell>
        </row>
        <row r="1544">
          <cell r="J1544" t="str">
            <v/>
          </cell>
          <cell r="U1544" t="str">
            <v/>
          </cell>
        </row>
        <row r="1545">
          <cell r="J1545" t="str">
            <v/>
          </cell>
          <cell r="U1545" t="str">
            <v/>
          </cell>
        </row>
        <row r="1546">
          <cell r="J1546" t="str">
            <v/>
          </cell>
          <cell r="U1546" t="str">
            <v/>
          </cell>
        </row>
        <row r="1547">
          <cell r="J1547" t="str">
            <v/>
          </cell>
          <cell r="U1547" t="str">
            <v/>
          </cell>
        </row>
        <row r="1548">
          <cell r="J1548" t="str">
            <v/>
          </cell>
          <cell r="U1548" t="str">
            <v/>
          </cell>
        </row>
        <row r="1549">
          <cell r="J1549" t="str">
            <v/>
          </cell>
          <cell r="U1549" t="str">
            <v/>
          </cell>
        </row>
        <row r="1550">
          <cell r="J1550" t="str">
            <v/>
          </cell>
          <cell r="U1550" t="str">
            <v/>
          </cell>
        </row>
        <row r="1551">
          <cell r="J1551" t="str">
            <v/>
          </cell>
          <cell r="U1551" t="str">
            <v/>
          </cell>
        </row>
        <row r="1552">
          <cell r="J1552" t="str">
            <v/>
          </cell>
          <cell r="U1552" t="str">
            <v/>
          </cell>
        </row>
        <row r="1553">
          <cell r="J1553" t="str">
            <v/>
          </cell>
          <cell r="U1553" t="str">
            <v/>
          </cell>
        </row>
        <row r="1554">
          <cell r="J1554" t="str">
            <v/>
          </cell>
          <cell r="U1554" t="str">
            <v/>
          </cell>
        </row>
        <row r="1555">
          <cell r="J1555" t="str">
            <v/>
          </cell>
          <cell r="U1555" t="str">
            <v/>
          </cell>
        </row>
        <row r="1556">
          <cell r="J1556" t="str">
            <v/>
          </cell>
          <cell r="U1556" t="str">
            <v/>
          </cell>
        </row>
        <row r="1557">
          <cell r="J1557" t="str">
            <v/>
          </cell>
          <cell r="U1557" t="str">
            <v/>
          </cell>
        </row>
        <row r="1558">
          <cell r="J1558" t="str">
            <v/>
          </cell>
          <cell r="U1558" t="str">
            <v/>
          </cell>
        </row>
        <row r="1559">
          <cell r="J1559" t="str">
            <v/>
          </cell>
          <cell r="U1559" t="str">
            <v/>
          </cell>
        </row>
        <row r="1560">
          <cell r="J1560" t="str">
            <v/>
          </cell>
          <cell r="U1560" t="str">
            <v/>
          </cell>
        </row>
        <row r="1561">
          <cell r="J1561" t="str">
            <v/>
          </cell>
          <cell r="U1561" t="str">
            <v/>
          </cell>
        </row>
        <row r="1562">
          <cell r="J1562" t="str">
            <v/>
          </cell>
          <cell r="U1562" t="str">
            <v/>
          </cell>
        </row>
        <row r="1563">
          <cell r="J1563" t="str">
            <v/>
          </cell>
          <cell r="U1563" t="str">
            <v/>
          </cell>
        </row>
        <row r="1564">
          <cell r="J1564" t="str">
            <v/>
          </cell>
          <cell r="U1564" t="str">
            <v/>
          </cell>
        </row>
        <row r="1565">
          <cell r="J1565" t="str">
            <v/>
          </cell>
          <cell r="U1565" t="str">
            <v/>
          </cell>
        </row>
        <row r="1566">
          <cell r="J1566" t="str">
            <v/>
          </cell>
          <cell r="U1566" t="str">
            <v/>
          </cell>
        </row>
        <row r="1567">
          <cell r="J1567" t="str">
            <v/>
          </cell>
          <cell r="U1567" t="str">
            <v/>
          </cell>
        </row>
        <row r="1568">
          <cell r="J1568" t="str">
            <v/>
          </cell>
          <cell r="U1568" t="str">
            <v/>
          </cell>
        </row>
        <row r="1569">
          <cell r="J1569" t="str">
            <v/>
          </cell>
          <cell r="U1569" t="str">
            <v/>
          </cell>
        </row>
        <row r="1570">
          <cell r="J1570" t="str">
            <v/>
          </cell>
          <cell r="U1570" t="str">
            <v/>
          </cell>
        </row>
        <row r="1571">
          <cell r="J1571" t="str">
            <v/>
          </cell>
          <cell r="U1571" t="str">
            <v/>
          </cell>
        </row>
        <row r="1572">
          <cell r="J1572" t="str">
            <v/>
          </cell>
          <cell r="U1572" t="str">
            <v/>
          </cell>
        </row>
        <row r="1573">
          <cell r="J1573" t="str">
            <v/>
          </cell>
          <cell r="U1573" t="str">
            <v/>
          </cell>
        </row>
        <row r="1574">
          <cell r="J1574" t="str">
            <v/>
          </cell>
          <cell r="U1574" t="str">
            <v/>
          </cell>
        </row>
        <row r="1575">
          <cell r="J1575" t="str">
            <v/>
          </cell>
          <cell r="U1575" t="str">
            <v/>
          </cell>
        </row>
        <row r="1576">
          <cell r="J1576" t="str">
            <v/>
          </cell>
          <cell r="U1576" t="str">
            <v/>
          </cell>
        </row>
        <row r="1577">
          <cell r="J1577" t="str">
            <v/>
          </cell>
          <cell r="U1577" t="str">
            <v/>
          </cell>
        </row>
        <row r="1578">
          <cell r="J1578" t="str">
            <v/>
          </cell>
          <cell r="U1578" t="str">
            <v/>
          </cell>
        </row>
        <row r="1579">
          <cell r="J1579" t="str">
            <v/>
          </cell>
          <cell r="U1579" t="str">
            <v/>
          </cell>
        </row>
        <row r="1580">
          <cell r="J1580" t="str">
            <v/>
          </cell>
          <cell r="U1580" t="str">
            <v/>
          </cell>
        </row>
        <row r="1581">
          <cell r="J1581" t="str">
            <v/>
          </cell>
          <cell r="U1581" t="str">
            <v/>
          </cell>
        </row>
        <row r="1582">
          <cell r="J1582" t="str">
            <v/>
          </cell>
          <cell r="U1582" t="str">
            <v/>
          </cell>
        </row>
        <row r="1583">
          <cell r="J1583" t="str">
            <v/>
          </cell>
          <cell r="U1583" t="str">
            <v/>
          </cell>
        </row>
        <row r="1584">
          <cell r="J1584" t="str">
            <v/>
          </cell>
          <cell r="U1584" t="str">
            <v/>
          </cell>
        </row>
        <row r="1585">
          <cell r="J1585" t="str">
            <v/>
          </cell>
          <cell r="U1585" t="str">
            <v/>
          </cell>
        </row>
        <row r="1586">
          <cell r="J1586" t="str">
            <v/>
          </cell>
          <cell r="U1586" t="str">
            <v/>
          </cell>
        </row>
        <row r="1587">
          <cell r="J1587" t="str">
            <v/>
          </cell>
          <cell r="U1587" t="str">
            <v/>
          </cell>
        </row>
        <row r="1588">
          <cell r="J1588" t="str">
            <v/>
          </cell>
          <cell r="U1588" t="str">
            <v/>
          </cell>
        </row>
        <row r="1589">
          <cell r="J1589" t="str">
            <v/>
          </cell>
          <cell r="U1589" t="str">
            <v/>
          </cell>
        </row>
        <row r="1590">
          <cell r="J1590" t="str">
            <v/>
          </cell>
          <cell r="U1590" t="str">
            <v/>
          </cell>
        </row>
        <row r="1591">
          <cell r="J1591" t="str">
            <v/>
          </cell>
          <cell r="U1591" t="str">
            <v/>
          </cell>
        </row>
        <row r="1592">
          <cell r="J1592" t="str">
            <v/>
          </cell>
          <cell r="U1592" t="str">
            <v/>
          </cell>
        </row>
        <row r="1593">
          <cell r="J1593" t="str">
            <v/>
          </cell>
          <cell r="U1593" t="str">
            <v/>
          </cell>
        </row>
        <row r="1594">
          <cell r="J1594" t="str">
            <v/>
          </cell>
          <cell r="U1594" t="str">
            <v/>
          </cell>
        </row>
        <row r="1595">
          <cell r="J1595" t="str">
            <v/>
          </cell>
          <cell r="U1595" t="str">
            <v/>
          </cell>
        </row>
        <row r="1596">
          <cell r="J1596" t="str">
            <v/>
          </cell>
          <cell r="U1596" t="str">
            <v/>
          </cell>
        </row>
        <row r="1597">
          <cell r="J1597" t="str">
            <v/>
          </cell>
          <cell r="U1597" t="str">
            <v/>
          </cell>
        </row>
        <row r="1598">
          <cell r="J1598" t="str">
            <v/>
          </cell>
          <cell r="U1598" t="str">
            <v/>
          </cell>
        </row>
        <row r="1599">
          <cell r="J1599" t="str">
            <v/>
          </cell>
          <cell r="U1599" t="str">
            <v/>
          </cell>
        </row>
        <row r="1600">
          <cell r="J1600" t="str">
            <v/>
          </cell>
          <cell r="U1600" t="str">
            <v/>
          </cell>
        </row>
        <row r="1601">
          <cell r="J1601" t="str">
            <v/>
          </cell>
          <cell r="U1601" t="str">
            <v/>
          </cell>
        </row>
        <row r="1602">
          <cell r="J1602" t="str">
            <v/>
          </cell>
          <cell r="U1602" t="str">
            <v/>
          </cell>
        </row>
        <row r="1603">
          <cell r="J1603" t="str">
            <v/>
          </cell>
          <cell r="U1603" t="str">
            <v/>
          </cell>
        </row>
        <row r="1604">
          <cell r="J1604" t="str">
            <v/>
          </cell>
          <cell r="U1604" t="str">
            <v/>
          </cell>
        </row>
        <row r="1605">
          <cell r="J1605" t="str">
            <v/>
          </cell>
          <cell r="U1605" t="str">
            <v/>
          </cell>
        </row>
        <row r="1606">
          <cell r="J1606" t="str">
            <v/>
          </cell>
          <cell r="U1606" t="str">
            <v/>
          </cell>
        </row>
        <row r="1607">
          <cell r="J1607" t="str">
            <v/>
          </cell>
          <cell r="U1607" t="str">
            <v/>
          </cell>
        </row>
        <row r="1608">
          <cell r="J1608" t="str">
            <v/>
          </cell>
          <cell r="U1608" t="str">
            <v/>
          </cell>
        </row>
        <row r="1609">
          <cell r="J1609" t="str">
            <v/>
          </cell>
          <cell r="U1609" t="str">
            <v/>
          </cell>
        </row>
        <row r="1610">
          <cell r="J1610" t="str">
            <v/>
          </cell>
          <cell r="U1610" t="str">
            <v/>
          </cell>
        </row>
        <row r="1611">
          <cell r="J1611" t="str">
            <v/>
          </cell>
          <cell r="U1611" t="str">
            <v/>
          </cell>
        </row>
        <row r="1612">
          <cell r="J1612" t="str">
            <v/>
          </cell>
          <cell r="U1612" t="str">
            <v/>
          </cell>
        </row>
        <row r="1613">
          <cell r="J1613" t="str">
            <v/>
          </cell>
          <cell r="U1613" t="str">
            <v/>
          </cell>
        </row>
        <row r="1614">
          <cell r="J1614" t="str">
            <v/>
          </cell>
          <cell r="U1614" t="str">
            <v/>
          </cell>
        </row>
        <row r="1615">
          <cell r="J1615" t="str">
            <v/>
          </cell>
          <cell r="U1615" t="str">
            <v/>
          </cell>
        </row>
        <row r="1616">
          <cell r="J1616" t="str">
            <v/>
          </cell>
          <cell r="U1616" t="str">
            <v/>
          </cell>
        </row>
        <row r="1617">
          <cell r="J1617" t="str">
            <v/>
          </cell>
          <cell r="U1617" t="str">
            <v/>
          </cell>
        </row>
        <row r="1618">
          <cell r="J1618" t="str">
            <v/>
          </cell>
          <cell r="U1618" t="str">
            <v/>
          </cell>
        </row>
        <row r="1619">
          <cell r="J1619" t="str">
            <v/>
          </cell>
          <cell r="U1619" t="str">
            <v/>
          </cell>
        </row>
        <row r="1620">
          <cell r="J1620" t="str">
            <v/>
          </cell>
          <cell r="U1620" t="str">
            <v/>
          </cell>
        </row>
        <row r="1621">
          <cell r="J1621" t="str">
            <v/>
          </cell>
          <cell r="U1621" t="str">
            <v/>
          </cell>
        </row>
        <row r="1622">
          <cell r="J1622" t="str">
            <v/>
          </cell>
          <cell r="U1622" t="str">
            <v/>
          </cell>
        </row>
        <row r="1623">
          <cell r="J1623" t="str">
            <v/>
          </cell>
          <cell r="U1623" t="str">
            <v/>
          </cell>
        </row>
        <row r="1624">
          <cell r="J1624" t="str">
            <v/>
          </cell>
          <cell r="U1624" t="str">
            <v/>
          </cell>
        </row>
        <row r="1625">
          <cell r="J1625" t="str">
            <v/>
          </cell>
          <cell r="U1625" t="str">
            <v/>
          </cell>
        </row>
        <row r="1626">
          <cell r="J1626" t="str">
            <v/>
          </cell>
          <cell r="U1626" t="str">
            <v/>
          </cell>
        </row>
        <row r="1627">
          <cell r="J1627" t="str">
            <v/>
          </cell>
          <cell r="U1627" t="str">
            <v/>
          </cell>
        </row>
        <row r="1628">
          <cell r="J1628" t="str">
            <v/>
          </cell>
          <cell r="U1628" t="str">
            <v/>
          </cell>
        </row>
        <row r="1629">
          <cell r="J1629" t="str">
            <v/>
          </cell>
          <cell r="U1629" t="str">
            <v/>
          </cell>
        </row>
        <row r="1630">
          <cell r="J1630" t="str">
            <v/>
          </cell>
          <cell r="U1630" t="str">
            <v/>
          </cell>
        </row>
        <row r="1631">
          <cell r="J1631" t="str">
            <v/>
          </cell>
          <cell r="U1631" t="str">
            <v/>
          </cell>
        </row>
        <row r="1632">
          <cell r="U1632" t="str">
            <v/>
          </cell>
        </row>
        <row r="1633">
          <cell r="U1633" t="str">
            <v/>
          </cell>
        </row>
        <row r="1634">
          <cell r="U1634" t="str">
            <v/>
          </cell>
        </row>
        <row r="1635">
          <cell r="U1635" t="str">
            <v/>
          </cell>
        </row>
        <row r="1636">
          <cell r="U1636" t="str">
            <v/>
          </cell>
        </row>
        <row r="1637">
          <cell r="U1637" t="str">
            <v/>
          </cell>
        </row>
        <row r="1638">
          <cell r="U1638" t="str">
            <v/>
          </cell>
        </row>
        <row r="1639">
          <cell r="U1639" t="str">
            <v/>
          </cell>
        </row>
        <row r="1640">
          <cell r="U1640" t="str">
            <v/>
          </cell>
        </row>
        <row r="1641">
          <cell r="U1641" t="str">
            <v/>
          </cell>
        </row>
        <row r="1642">
          <cell r="U1642" t="str">
            <v/>
          </cell>
        </row>
        <row r="1643">
          <cell r="U1643" t="str">
            <v/>
          </cell>
        </row>
        <row r="1644">
          <cell r="U1644" t="str">
            <v/>
          </cell>
        </row>
        <row r="1645">
          <cell r="U1645" t="str">
            <v/>
          </cell>
        </row>
        <row r="1646">
          <cell r="U1646" t="str">
            <v/>
          </cell>
        </row>
        <row r="1647">
          <cell r="U1647" t="str">
            <v/>
          </cell>
        </row>
        <row r="1648">
          <cell r="U1648" t="str">
            <v/>
          </cell>
        </row>
        <row r="1649">
          <cell r="U1649" t="str">
            <v/>
          </cell>
        </row>
        <row r="1650">
          <cell r="U1650" t="str">
            <v/>
          </cell>
        </row>
        <row r="1651">
          <cell r="U1651" t="str">
            <v/>
          </cell>
        </row>
        <row r="1652">
          <cell r="U1652" t="str">
            <v/>
          </cell>
        </row>
        <row r="1653">
          <cell r="U1653" t="str">
            <v/>
          </cell>
        </row>
        <row r="1654">
          <cell r="U1654" t="str">
            <v/>
          </cell>
        </row>
        <row r="1655">
          <cell r="U1655" t="str">
            <v/>
          </cell>
        </row>
        <row r="1656">
          <cell r="U1656" t="str">
            <v/>
          </cell>
        </row>
        <row r="1657">
          <cell r="U1657" t="str">
            <v/>
          </cell>
        </row>
        <row r="1658">
          <cell r="U1658" t="str">
            <v/>
          </cell>
        </row>
        <row r="1659">
          <cell r="U1659" t="str">
            <v/>
          </cell>
        </row>
        <row r="1660">
          <cell r="U1660" t="str">
            <v/>
          </cell>
        </row>
        <row r="1661">
          <cell r="U1661" t="str">
            <v/>
          </cell>
        </row>
        <row r="1662">
          <cell r="U1662" t="str">
            <v/>
          </cell>
        </row>
        <row r="1663">
          <cell r="U1663" t="str">
            <v/>
          </cell>
        </row>
        <row r="1664">
          <cell r="U1664" t="str">
            <v/>
          </cell>
        </row>
        <row r="1665">
          <cell r="U1665" t="str">
            <v/>
          </cell>
        </row>
        <row r="1666">
          <cell r="U1666" t="str">
            <v/>
          </cell>
        </row>
        <row r="1667">
          <cell r="U1667" t="str">
            <v/>
          </cell>
        </row>
        <row r="1668">
          <cell r="U1668" t="str">
            <v/>
          </cell>
        </row>
        <row r="1669">
          <cell r="U1669" t="str">
            <v/>
          </cell>
        </row>
        <row r="1670">
          <cell r="U1670" t="str">
            <v/>
          </cell>
        </row>
        <row r="1671">
          <cell r="U1671" t="str">
            <v/>
          </cell>
        </row>
        <row r="1672">
          <cell r="U1672" t="str">
            <v/>
          </cell>
        </row>
        <row r="1673">
          <cell r="U1673" t="str">
            <v/>
          </cell>
        </row>
        <row r="1674">
          <cell r="U1674" t="str">
            <v/>
          </cell>
        </row>
        <row r="1675">
          <cell r="U1675" t="str">
            <v/>
          </cell>
        </row>
        <row r="1676">
          <cell r="U1676" t="str">
            <v/>
          </cell>
        </row>
        <row r="1677">
          <cell r="U1677" t="str">
            <v/>
          </cell>
        </row>
        <row r="1678">
          <cell r="U1678" t="str">
            <v/>
          </cell>
        </row>
        <row r="1679">
          <cell r="U1679" t="str">
            <v/>
          </cell>
        </row>
        <row r="1680">
          <cell r="U1680" t="str">
            <v/>
          </cell>
        </row>
        <row r="1681">
          <cell r="U1681" t="str">
            <v/>
          </cell>
        </row>
        <row r="1682">
          <cell r="U1682" t="str">
            <v/>
          </cell>
        </row>
        <row r="1683">
          <cell r="U1683" t="str">
            <v/>
          </cell>
        </row>
        <row r="1684">
          <cell r="U1684" t="str">
            <v/>
          </cell>
        </row>
        <row r="1685">
          <cell r="U1685" t="str">
            <v/>
          </cell>
        </row>
        <row r="1686">
          <cell r="U1686" t="str">
            <v/>
          </cell>
        </row>
        <row r="1687">
          <cell r="U1687" t="str">
            <v/>
          </cell>
        </row>
        <row r="1688">
          <cell r="U1688" t="str">
            <v/>
          </cell>
        </row>
        <row r="1689">
          <cell r="U1689" t="str">
            <v/>
          </cell>
        </row>
        <row r="1690">
          <cell r="U1690" t="str">
            <v/>
          </cell>
        </row>
        <row r="1691">
          <cell r="U1691" t="str">
            <v/>
          </cell>
        </row>
        <row r="1692">
          <cell r="U1692" t="str">
            <v/>
          </cell>
        </row>
        <row r="1693">
          <cell r="U1693" t="str">
            <v/>
          </cell>
        </row>
        <row r="1694">
          <cell r="U1694" t="str">
            <v/>
          </cell>
        </row>
        <row r="1695">
          <cell r="U1695" t="str">
            <v/>
          </cell>
        </row>
        <row r="1696">
          <cell r="U1696" t="str">
            <v/>
          </cell>
        </row>
        <row r="1697">
          <cell r="U1697" t="str">
            <v/>
          </cell>
        </row>
        <row r="1698">
          <cell r="U1698" t="str">
            <v/>
          </cell>
        </row>
        <row r="1699">
          <cell r="U1699" t="str">
            <v/>
          </cell>
        </row>
        <row r="1700">
          <cell r="U1700" t="str">
            <v/>
          </cell>
        </row>
        <row r="1701">
          <cell r="U1701" t="str">
            <v/>
          </cell>
        </row>
        <row r="1702">
          <cell r="U1702" t="str">
            <v/>
          </cell>
        </row>
        <row r="1703">
          <cell r="U1703" t="str">
            <v/>
          </cell>
        </row>
        <row r="1704">
          <cell r="U1704" t="str">
            <v/>
          </cell>
        </row>
        <row r="1705">
          <cell r="U1705" t="str">
            <v/>
          </cell>
        </row>
        <row r="1706">
          <cell r="U1706" t="str">
            <v/>
          </cell>
        </row>
        <row r="1707">
          <cell r="U1707" t="str">
            <v/>
          </cell>
        </row>
        <row r="1708">
          <cell r="U1708" t="str">
            <v/>
          </cell>
        </row>
        <row r="1709">
          <cell r="U1709" t="str">
            <v/>
          </cell>
        </row>
        <row r="1710">
          <cell r="U1710" t="str">
            <v/>
          </cell>
        </row>
        <row r="1711">
          <cell r="U1711" t="str">
            <v/>
          </cell>
        </row>
        <row r="1712">
          <cell r="U1712" t="str">
            <v/>
          </cell>
        </row>
        <row r="1713">
          <cell r="U1713" t="str">
            <v/>
          </cell>
        </row>
        <row r="1714">
          <cell r="U1714" t="str">
            <v/>
          </cell>
        </row>
        <row r="1715">
          <cell r="U1715" t="str">
            <v/>
          </cell>
        </row>
        <row r="1716">
          <cell r="U1716" t="str">
            <v/>
          </cell>
        </row>
        <row r="1717">
          <cell r="U1717" t="str">
            <v/>
          </cell>
        </row>
        <row r="1718">
          <cell r="U1718" t="str">
            <v/>
          </cell>
        </row>
        <row r="1719">
          <cell r="U1719" t="str">
            <v/>
          </cell>
        </row>
        <row r="1720">
          <cell r="U1720" t="str">
            <v/>
          </cell>
        </row>
        <row r="1721">
          <cell r="U1721" t="str">
            <v/>
          </cell>
        </row>
        <row r="1722">
          <cell r="U1722" t="str">
            <v/>
          </cell>
        </row>
        <row r="1723">
          <cell r="U1723" t="str">
            <v/>
          </cell>
        </row>
        <row r="1724">
          <cell r="U1724" t="str">
            <v/>
          </cell>
        </row>
        <row r="1725">
          <cell r="U1725" t="str">
            <v/>
          </cell>
        </row>
        <row r="1726">
          <cell r="U1726" t="str">
            <v/>
          </cell>
        </row>
        <row r="1727">
          <cell r="U1727" t="str">
            <v/>
          </cell>
        </row>
        <row r="1728">
          <cell r="U1728" t="str">
            <v/>
          </cell>
        </row>
        <row r="1729">
          <cell r="U1729" t="str">
            <v/>
          </cell>
        </row>
        <row r="1730">
          <cell r="U1730" t="str">
            <v/>
          </cell>
        </row>
        <row r="1731">
          <cell r="U1731" t="str">
            <v/>
          </cell>
        </row>
        <row r="1732">
          <cell r="U1732" t="str">
            <v/>
          </cell>
        </row>
        <row r="1733">
          <cell r="U1733" t="str">
            <v/>
          </cell>
        </row>
        <row r="1734">
          <cell r="U1734" t="str">
            <v/>
          </cell>
        </row>
        <row r="1735">
          <cell r="U1735" t="str">
            <v/>
          </cell>
        </row>
        <row r="1736">
          <cell r="U1736" t="str">
            <v/>
          </cell>
        </row>
        <row r="1737">
          <cell r="U1737" t="str">
            <v/>
          </cell>
        </row>
        <row r="1738">
          <cell r="U1738" t="str">
            <v/>
          </cell>
        </row>
        <row r="1739">
          <cell r="U1739" t="str">
            <v/>
          </cell>
        </row>
        <row r="1740">
          <cell r="U1740" t="str">
            <v/>
          </cell>
        </row>
        <row r="1741">
          <cell r="U1741" t="str">
            <v/>
          </cell>
        </row>
        <row r="1742">
          <cell r="U1742" t="str">
            <v/>
          </cell>
        </row>
        <row r="1743">
          <cell r="U1743" t="str">
            <v/>
          </cell>
        </row>
        <row r="1744">
          <cell r="U1744" t="str">
            <v/>
          </cell>
        </row>
        <row r="1745">
          <cell r="U1745" t="str">
            <v/>
          </cell>
        </row>
        <row r="1746">
          <cell r="U1746" t="str">
            <v/>
          </cell>
        </row>
        <row r="1747">
          <cell r="U1747" t="str">
            <v/>
          </cell>
        </row>
        <row r="1748">
          <cell r="U1748" t="str">
            <v/>
          </cell>
        </row>
        <row r="1749">
          <cell r="U1749" t="str">
            <v/>
          </cell>
        </row>
        <row r="1750">
          <cell r="U1750" t="str">
            <v/>
          </cell>
        </row>
        <row r="1751">
          <cell r="U1751" t="str">
            <v/>
          </cell>
        </row>
        <row r="1752">
          <cell r="U1752" t="str">
            <v/>
          </cell>
        </row>
        <row r="1753">
          <cell r="U1753" t="str">
            <v/>
          </cell>
        </row>
        <row r="1754">
          <cell r="U1754" t="str">
            <v/>
          </cell>
        </row>
        <row r="1755">
          <cell r="U1755" t="str">
            <v/>
          </cell>
        </row>
        <row r="1756">
          <cell r="U1756" t="str">
            <v/>
          </cell>
        </row>
        <row r="1757">
          <cell r="U1757" t="str">
            <v/>
          </cell>
        </row>
        <row r="1758">
          <cell r="U1758" t="str">
            <v/>
          </cell>
        </row>
        <row r="1759">
          <cell r="U1759" t="str">
            <v/>
          </cell>
        </row>
        <row r="1760">
          <cell r="U1760" t="str">
            <v/>
          </cell>
        </row>
        <row r="1761">
          <cell r="U1761" t="str">
            <v/>
          </cell>
        </row>
        <row r="1762">
          <cell r="U1762" t="str">
            <v/>
          </cell>
        </row>
        <row r="1763">
          <cell r="U1763" t="str">
            <v/>
          </cell>
        </row>
        <row r="1764">
          <cell r="U1764" t="str">
            <v/>
          </cell>
        </row>
        <row r="1765">
          <cell r="U1765" t="str">
            <v/>
          </cell>
        </row>
        <row r="1766">
          <cell r="U1766" t="str">
            <v/>
          </cell>
        </row>
        <row r="1767">
          <cell r="U1767" t="str">
            <v/>
          </cell>
        </row>
        <row r="1768">
          <cell r="U1768" t="str">
            <v/>
          </cell>
        </row>
        <row r="1769">
          <cell r="U1769" t="str">
            <v/>
          </cell>
        </row>
        <row r="1770">
          <cell r="U1770" t="str">
            <v/>
          </cell>
        </row>
        <row r="1771">
          <cell r="U1771" t="str">
            <v/>
          </cell>
        </row>
        <row r="1772">
          <cell r="U1772" t="str">
            <v/>
          </cell>
        </row>
        <row r="1773">
          <cell r="U1773" t="str">
            <v/>
          </cell>
        </row>
        <row r="1774">
          <cell r="U1774" t="str">
            <v/>
          </cell>
        </row>
        <row r="1775">
          <cell r="U1775" t="str">
            <v/>
          </cell>
        </row>
        <row r="1776">
          <cell r="U1776" t="str">
            <v/>
          </cell>
        </row>
        <row r="1777">
          <cell r="U1777" t="str">
            <v/>
          </cell>
        </row>
        <row r="1778">
          <cell r="U1778" t="str">
            <v/>
          </cell>
        </row>
        <row r="1779">
          <cell r="U1779" t="str">
            <v/>
          </cell>
        </row>
        <row r="1780">
          <cell r="U1780" t="str">
            <v/>
          </cell>
        </row>
        <row r="1781">
          <cell r="U1781" t="str">
            <v/>
          </cell>
        </row>
        <row r="1782">
          <cell r="U1782" t="str">
            <v/>
          </cell>
        </row>
        <row r="1783">
          <cell r="U1783" t="str">
            <v/>
          </cell>
        </row>
        <row r="1784">
          <cell r="U1784" t="str">
            <v/>
          </cell>
        </row>
        <row r="1785">
          <cell r="U1785" t="str">
            <v/>
          </cell>
        </row>
        <row r="1786">
          <cell r="U1786" t="str">
            <v/>
          </cell>
        </row>
        <row r="1787">
          <cell r="U1787" t="str">
            <v/>
          </cell>
        </row>
        <row r="1788">
          <cell r="U1788" t="str">
            <v/>
          </cell>
        </row>
        <row r="1789">
          <cell r="U1789" t="str">
            <v/>
          </cell>
        </row>
        <row r="1790">
          <cell r="U1790" t="str">
            <v/>
          </cell>
        </row>
        <row r="1791">
          <cell r="U1791" t="str">
            <v/>
          </cell>
        </row>
        <row r="1792">
          <cell r="U1792" t="str">
            <v/>
          </cell>
        </row>
        <row r="1793">
          <cell r="U1793" t="str">
            <v/>
          </cell>
        </row>
        <row r="1794">
          <cell r="U1794" t="str">
            <v/>
          </cell>
        </row>
        <row r="1795">
          <cell r="U1795" t="str">
            <v/>
          </cell>
        </row>
        <row r="1796">
          <cell r="U1796" t="str">
            <v/>
          </cell>
        </row>
        <row r="1797">
          <cell r="U1797" t="str">
            <v/>
          </cell>
        </row>
        <row r="1798">
          <cell r="U1798" t="str">
            <v/>
          </cell>
        </row>
        <row r="1799">
          <cell r="U1799" t="str">
            <v/>
          </cell>
        </row>
        <row r="1800">
          <cell r="U1800" t="str">
            <v/>
          </cell>
        </row>
        <row r="1801">
          <cell r="U1801" t="str">
            <v/>
          </cell>
        </row>
        <row r="1802">
          <cell r="U1802" t="str">
            <v/>
          </cell>
        </row>
        <row r="1803">
          <cell r="U1803" t="str">
            <v/>
          </cell>
        </row>
        <row r="1804">
          <cell r="U1804" t="str">
            <v/>
          </cell>
        </row>
        <row r="1805">
          <cell r="U1805" t="str">
            <v/>
          </cell>
        </row>
        <row r="1806">
          <cell r="U1806" t="str">
            <v/>
          </cell>
        </row>
        <row r="1807">
          <cell r="U1807" t="str">
            <v/>
          </cell>
        </row>
        <row r="1808">
          <cell r="U1808" t="str">
            <v/>
          </cell>
        </row>
        <row r="1809">
          <cell r="U1809" t="str">
            <v/>
          </cell>
        </row>
        <row r="1810">
          <cell r="U1810" t="str">
            <v/>
          </cell>
        </row>
        <row r="1811">
          <cell r="U1811" t="str">
            <v/>
          </cell>
        </row>
        <row r="1812">
          <cell r="U1812" t="str">
            <v/>
          </cell>
        </row>
        <row r="1813">
          <cell r="U1813" t="str">
            <v/>
          </cell>
        </row>
        <row r="1814">
          <cell r="U1814" t="str">
            <v/>
          </cell>
        </row>
        <row r="1815">
          <cell r="U1815" t="str">
            <v/>
          </cell>
        </row>
        <row r="1816">
          <cell r="U1816" t="str">
            <v/>
          </cell>
        </row>
        <row r="1817">
          <cell r="U1817" t="str">
            <v/>
          </cell>
        </row>
        <row r="1818">
          <cell r="U1818" t="str">
            <v/>
          </cell>
        </row>
        <row r="1819">
          <cell r="U1819" t="str">
            <v/>
          </cell>
        </row>
        <row r="1820">
          <cell r="U1820" t="str">
            <v/>
          </cell>
        </row>
        <row r="1821">
          <cell r="U1821" t="str">
            <v/>
          </cell>
        </row>
        <row r="1822">
          <cell r="U1822" t="str">
            <v/>
          </cell>
        </row>
        <row r="1823">
          <cell r="U1823" t="str">
            <v/>
          </cell>
        </row>
        <row r="1824">
          <cell r="U1824" t="str">
            <v/>
          </cell>
        </row>
        <row r="1825">
          <cell r="U1825" t="str">
            <v/>
          </cell>
        </row>
        <row r="1826">
          <cell r="U1826" t="str">
            <v/>
          </cell>
        </row>
        <row r="1827">
          <cell r="U1827" t="str">
            <v/>
          </cell>
        </row>
        <row r="1828">
          <cell r="U1828" t="str">
            <v/>
          </cell>
        </row>
        <row r="1829">
          <cell r="U1829" t="str">
            <v/>
          </cell>
        </row>
        <row r="1830">
          <cell r="U1830" t="str">
            <v/>
          </cell>
        </row>
        <row r="1831">
          <cell r="U1831" t="str">
            <v/>
          </cell>
        </row>
        <row r="1832">
          <cell r="U1832" t="str">
            <v/>
          </cell>
        </row>
        <row r="1833">
          <cell r="U1833" t="str">
            <v/>
          </cell>
        </row>
        <row r="1834">
          <cell r="U1834" t="str">
            <v/>
          </cell>
        </row>
        <row r="1835">
          <cell r="U1835" t="str">
            <v/>
          </cell>
        </row>
        <row r="1836">
          <cell r="U1836" t="str">
            <v/>
          </cell>
        </row>
        <row r="1837">
          <cell r="U1837" t="str">
            <v/>
          </cell>
        </row>
        <row r="1838">
          <cell r="U1838" t="str">
            <v/>
          </cell>
        </row>
        <row r="1839">
          <cell r="U1839" t="str">
            <v/>
          </cell>
        </row>
        <row r="1840">
          <cell r="U1840" t="str">
            <v/>
          </cell>
        </row>
        <row r="1841">
          <cell r="U1841" t="str">
            <v/>
          </cell>
        </row>
        <row r="1842">
          <cell r="U1842" t="str">
            <v/>
          </cell>
        </row>
        <row r="1843">
          <cell r="U1843" t="str">
            <v/>
          </cell>
        </row>
        <row r="1844">
          <cell r="U1844" t="str">
            <v/>
          </cell>
        </row>
        <row r="1845">
          <cell r="U1845" t="str">
            <v/>
          </cell>
        </row>
        <row r="1846">
          <cell r="U1846" t="str">
            <v/>
          </cell>
        </row>
        <row r="1847">
          <cell r="U1847" t="str">
            <v/>
          </cell>
        </row>
        <row r="1848">
          <cell r="U1848" t="str">
            <v/>
          </cell>
        </row>
        <row r="1849">
          <cell r="U1849" t="str">
            <v/>
          </cell>
        </row>
        <row r="1850">
          <cell r="U1850" t="str">
            <v/>
          </cell>
        </row>
        <row r="1851">
          <cell r="U1851" t="str">
            <v/>
          </cell>
        </row>
        <row r="1852">
          <cell r="U1852" t="str">
            <v/>
          </cell>
        </row>
        <row r="1853">
          <cell r="U1853" t="str">
            <v/>
          </cell>
        </row>
        <row r="1854">
          <cell r="U1854" t="str">
            <v/>
          </cell>
        </row>
        <row r="1855">
          <cell r="U1855" t="str">
            <v/>
          </cell>
        </row>
        <row r="1856">
          <cell r="U1856" t="str">
            <v/>
          </cell>
        </row>
        <row r="1857">
          <cell r="U1857" t="str">
            <v/>
          </cell>
        </row>
        <row r="1858">
          <cell r="U1858" t="str">
            <v/>
          </cell>
        </row>
        <row r="1859">
          <cell r="U1859" t="str">
            <v/>
          </cell>
        </row>
        <row r="1860">
          <cell r="U1860" t="str">
            <v/>
          </cell>
        </row>
        <row r="1861">
          <cell r="U1861" t="str">
            <v/>
          </cell>
        </row>
        <row r="1862">
          <cell r="U1862" t="str">
            <v/>
          </cell>
        </row>
        <row r="1863">
          <cell r="U1863" t="str">
            <v/>
          </cell>
        </row>
        <row r="1864">
          <cell r="U1864" t="str">
            <v/>
          </cell>
        </row>
        <row r="1865">
          <cell r="U1865" t="str">
            <v/>
          </cell>
        </row>
        <row r="1866">
          <cell r="U1866" t="str">
            <v/>
          </cell>
        </row>
        <row r="1867">
          <cell r="U1867" t="str">
            <v/>
          </cell>
        </row>
        <row r="1868">
          <cell r="U1868" t="str">
            <v/>
          </cell>
        </row>
        <row r="1869">
          <cell r="U1869" t="str">
            <v/>
          </cell>
        </row>
        <row r="1870">
          <cell r="U1870" t="str">
            <v/>
          </cell>
        </row>
        <row r="1871">
          <cell r="U1871" t="str">
            <v/>
          </cell>
        </row>
        <row r="1872">
          <cell r="U1872" t="str">
            <v/>
          </cell>
        </row>
        <row r="1873">
          <cell r="U1873" t="str">
            <v/>
          </cell>
        </row>
        <row r="1874">
          <cell r="U1874" t="str">
            <v/>
          </cell>
        </row>
        <row r="1875">
          <cell r="U1875" t="str">
            <v/>
          </cell>
        </row>
        <row r="1876">
          <cell r="U1876" t="str">
            <v/>
          </cell>
        </row>
        <row r="1877">
          <cell r="U1877" t="str">
            <v/>
          </cell>
        </row>
        <row r="1878">
          <cell r="U1878" t="str">
            <v/>
          </cell>
        </row>
        <row r="1879">
          <cell r="U1879" t="str">
            <v/>
          </cell>
        </row>
        <row r="1880">
          <cell r="U1880" t="str">
            <v/>
          </cell>
        </row>
        <row r="1881">
          <cell r="U1881" t="str">
            <v/>
          </cell>
        </row>
        <row r="1882">
          <cell r="U1882" t="str">
            <v/>
          </cell>
        </row>
        <row r="1883">
          <cell r="U1883" t="str">
            <v/>
          </cell>
        </row>
        <row r="1884">
          <cell r="U1884" t="str">
            <v/>
          </cell>
        </row>
        <row r="1885">
          <cell r="U1885" t="str">
            <v/>
          </cell>
        </row>
        <row r="1886">
          <cell r="U1886" t="str">
            <v/>
          </cell>
        </row>
        <row r="1887">
          <cell r="U1887" t="str">
            <v/>
          </cell>
        </row>
        <row r="1888">
          <cell r="U1888" t="str">
            <v/>
          </cell>
        </row>
        <row r="1889">
          <cell r="U1889" t="str">
            <v/>
          </cell>
        </row>
        <row r="1890">
          <cell r="U1890" t="str">
            <v/>
          </cell>
        </row>
        <row r="1891">
          <cell r="U1891" t="str">
            <v/>
          </cell>
        </row>
        <row r="1892">
          <cell r="U1892" t="str">
            <v/>
          </cell>
        </row>
        <row r="1893">
          <cell r="U1893" t="str">
            <v/>
          </cell>
        </row>
        <row r="1894">
          <cell r="U1894" t="str">
            <v/>
          </cell>
        </row>
        <row r="1895">
          <cell r="U1895" t="str">
            <v/>
          </cell>
        </row>
        <row r="1896">
          <cell r="U1896" t="str">
            <v/>
          </cell>
        </row>
        <row r="1897">
          <cell r="U1897" t="str">
            <v/>
          </cell>
        </row>
        <row r="1898">
          <cell r="U1898" t="str">
            <v/>
          </cell>
        </row>
        <row r="1899">
          <cell r="U1899" t="str">
            <v/>
          </cell>
        </row>
        <row r="1900">
          <cell r="U1900" t="str">
            <v/>
          </cell>
        </row>
        <row r="1901">
          <cell r="U1901" t="str">
            <v/>
          </cell>
        </row>
        <row r="1902">
          <cell r="U1902" t="str">
            <v/>
          </cell>
        </row>
        <row r="1903">
          <cell r="U1903" t="str">
            <v/>
          </cell>
        </row>
        <row r="1904">
          <cell r="U1904" t="str">
            <v/>
          </cell>
        </row>
        <row r="1905">
          <cell r="U1905" t="str">
            <v/>
          </cell>
        </row>
        <row r="1906">
          <cell r="U1906" t="str">
            <v/>
          </cell>
        </row>
        <row r="1907">
          <cell r="U1907" t="str">
            <v/>
          </cell>
        </row>
        <row r="1908">
          <cell r="U1908" t="str">
            <v/>
          </cell>
        </row>
        <row r="1909">
          <cell r="U1909" t="str">
            <v/>
          </cell>
        </row>
        <row r="1910">
          <cell r="U1910" t="str">
            <v/>
          </cell>
        </row>
        <row r="1911">
          <cell r="U1911" t="str">
            <v/>
          </cell>
        </row>
        <row r="1912">
          <cell r="U1912" t="str">
            <v/>
          </cell>
        </row>
        <row r="1913">
          <cell r="U1913" t="str">
            <v/>
          </cell>
        </row>
        <row r="1914">
          <cell r="U1914" t="str">
            <v/>
          </cell>
        </row>
        <row r="1915">
          <cell r="U1915" t="str">
            <v/>
          </cell>
        </row>
        <row r="1916">
          <cell r="U1916" t="str">
            <v/>
          </cell>
        </row>
        <row r="1917">
          <cell r="U1917" t="str">
            <v/>
          </cell>
        </row>
        <row r="1918">
          <cell r="U1918" t="str">
            <v/>
          </cell>
        </row>
        <row r="1919">
          <cell r="U1919" t="str">
            <v/>
          </cell>
        </row>
        <row r="1920">
          <cell r="U1920" t="str">
            <v/>
          </cell>
        </row>
        <row r="1921">
          <cell r="U1921" t="str">
            <v/>
          </cell>
        </row>
        <row r="1922">
          <cell r="U1922" t="str">
            <v/>
          </cell>
        </row>
        <row r="1923">
          <cell r="U1923" t="str">
            <v/>
          </cell>
        </row>
        <row r="1924">
          <cell r="U1924" t="str">
            <v/>
          </cell>
        </row>
        <row r="1925">
          <cell r="U1925" t="str">
            <v/>
          </cell>
        </row>
        <row r="1926">
          <cell r="U1926" t="str">
            <v/>
          </cell>
        </row>
        <row r="1927">
          <cell r="U1927" t="str">
            <v/>
          </cell>
        </row>
        <row r="1928">
          <cell r="U1928" t="str">
            <v/>
          </cell>
        </row>
        <row r="1929">
          <cell r="U1929" t="str">
            <v/>
          </cell>
        </row>
        <row r="1930">
          <cell r="U1930" t="str">
            <v/>
          </cell>
        </row>
        <row r="1931">
          <cell r="U1931" t="str">
            <v/>
          </cell>
        </row>
        <row r="1932">
          <cell r="U1932" t="str">
            <v/>
          </cell>
        </row>
        <row r="1933">
          <cell r="U1933" t="str">
            <v/>
          </cell>
        </row>
        <row r="1934">
          <cell r="U1934" t="str">
            <v/>
          </cell>
        </row>
        <row r="1935">
          <cell r="U1935" t="str">
            <v/>
          </cell>
        </row>
        <row r="1936">
          <cell r="U1936" t="str">
            <v/>
          </cell>
        </row>
        <row r="1937">
          <cell r="U1937" t="str">
            <v/>
          </cell>
        </row>
        <row r="1938">
          <cell r="U1938" t="str">
            <v/>
          </cell>
        </row>
        <row r="1939">
          <cell r="U1939" t="str">
            <v/>
          </cell>
        </row>
        <row r="1940">
          <cell r="U1940" t="str">
            <v/>
          </cell>
        </row>
        <row r="1941">
          <cell r="U1941" t="str">
            <v/>
          </cell>
        </row>
        <row r="1942">
          <cell r="U1942" t="str">
            <v/>
          </cell>
        </row>
        <row r="1943">
          <cell r="U1943" t="str">
            <v/>
          </cell>
        </row>
        <row r="1944">
          <cell r="U1944" t="str">
            <v/>
          </cell>
        </row>
        <row r="1945">
          <cell r="U1945" t="str">
            <v/>
          </cell>
        </row>
        <row r="1946">
          <cell r="U1946" t="str">
            <v/>
          </cell>
        </row>
        <row r="1947">
          <cell r="U1947" t="str">
            <v/>
          </cell>
        </row>
        <row r="1948">
          <cell r="U1948" t="str">
            <v/>
          </cell>
        </row>
        <row r="1949">
          <cell r="U1949" t="str">
            <v/>
          </cell>
        </row>
        <row r="1950">
          <cell r="U1950" t="str">
            <v/>
          </cell>
        </row>
        <row r="1951">
          <cell r="U1951" t="str">
            <v/>
          </cell>
        </row>
        <row r="1952">
          <cell r="U1952" t="str">
            <v/>
          </cell>
        </row>
        <row r="1953">
          <cell r="U1953" t="str">
            <v/>
          </cell>
        </row>
        <row r="1954">
          <cell r="U1954" t="str">
            <v/>
          </cell>
        </row>
        <row r="1955">
          <cell r="U1955" t="str">
            <v/>
          </cell>
        </row>
        <row r="1956">
          <cell r="U1956" t="str">
            <v/>
          </cell>
        </row>
        <row r="1957">
          <cell r="U1957" t="str">
            <v/>
          </cell>
        </row>
        <row r="1958">
          <cell r="U1958" t="str">
            <v/>
          </cell>
        </row>
        <row r="1959">
          <cell r="U1959" t="str">
            <v/>
          </cell>
        </row>
        <row r="1960">
          <cell r="U1960" t="str">
            <v/>
          </cell>
        </row>
        <row r="1961">
          <cell r="U1961" t="str">
            <v/>
          </cell>
        </row>
        <row r="1962">
          <cell r="U1962" t="str">
            <v/>
          </cell>
        </row>
        <row r="1963">
          <cell r="U1963" t="str">
            <v/>
          </cell>
        </row>
        <row r="1964">
          <cell r="U1964" t="str">
            <v/>
          </cell>
        </row>
        <row r="1965">
          <cell r="U1965" t="str">
            <v/>
          </cell>
        </row>
        <row r="1966">
          <cell r="U1966" t="str">
            <v/>
          </cell>
        </row>
        <row r="1967">
          <cell r="U1967" t="str">
            <v/>
          </cell>
        </row>
        <row r="1968">
          <cell r="U1968" t="str">
            <v/>
          </cell>
        </row>
        <row r="1969">
          <cell r="U1969" t="str">
            <v/>
          </cell>
        </row>
        <row r="1970">
          <cell r="U1970" t="str">
            <v/>
          </cell>
        </row>
        <row r="1971">
          <cell r="U1971" t="str">
            <v/>
          </cell>
        </row>
        <row r="1972">
          <cell r="U1972" t="str">
            <v/>
          </cell>
        </row>
        <row r="1973">
          <cell r="U1973" t="str">
            <v/>
          </cell>
        </row>
        <row r="1974">
          <cell r="U1974" t="str">
            <v/>
          </cell>
        </row>
        <row r="1975">
          <cell r="U1975" t="str">
            <v/>
          </cell>
        </row>
        <row r="1976">
          <cell r="U1976" t="str">
            <v/>
          </cell>
        </row>
        <row r="1977">
          <cell r="U1977" t="str">
            <v/>
          </cell>
        </row>
        <row r="1978">
          <cell r="U1978" t="str">
            <v/>
          </cell>
        </row>
        <row r="1979">
          <cell r="U1979" t="str">
            <v/>
          </cell>
        </row>
        <row r="1980">
          <cell r="U1980" t="str">
            <v/>
          </cell>
        </row>
        <row r="1981">
          <cell r="U1981" t="str">
            <v/>
          </cell>
        </row>
        <row r="1982">
          <cell r="U1982" t="str">
            <v/>
          </cell>
        </row>
        <row r="1983">
          <cell r="U1983" t="str">
            <v/>
          </cell>
        </row>
        <row r="1984">
          <cell r="U1984" t="str">
            <v/>
          </cell>
        </row>
        <row r="1985">
          <cell r="U1985" t="str">
            <v/>
          </cell>
        </row>
        <row r="1986">
          <cell r="U1986" t="str">
            <v/>
          </cell>
        </row>
        <row r="1987">
          <cell r="U1987" t="str">
            <v/>
          </cell>
        </row>
        <row r="1988">
          <cell r="U1988" t="str">
            <v/>
          </cell>
        </row>
        <row r="1989">
          <cell r="U1989" t="str">
            <v/>
          </cell>
        </row>
        <row r="1990">
          <cell r="U1990" t="str">
            <v/>
          </cell>
        </row>
        <row r="1991">
          <cell r="U1991" t="str">
            <v/>
          </cell>
        </row>
        <row r="1992">
          <cell r="U1992" t="str">
            <v/>
          </cell>
        </row>
        <row r="1993">
          <cell r="U1993" t="str">
            <v/>
          </cell>
        </row>
        <row r="1994">
          <cell r="U1994" t="str">
            <v/>
          </cell>
        </row>
        <row r="1995">
          <cell r="U1995" t="str">
            <v/>
          </cell>
        </row>
        <row r="1996">
          <cell r="U1996" t="str">
            <v/>
          </cell>
        </row>
        <row r="1997">
          <cell r="U1997" t="str">
            <v/>
          </cell>
        </row>
        <row r="1998">
          <cell r="U1998" t="str">
            <v/>
          </cell>
        </row>
        <row r="1999">
          <cell r="U1999" t="str">
            <v/>
          </cell>
        </row>
        <row r="2000">
          <cell r="U2000" t="str">
            <v/>
          </cell>
        </row>
        <row r="2001">
          <cell r="U2001" t="str">
            <v/>
          </cell>
        </row>
        <row r="2002">
          <cell r="U2002" t="str">
            <v/>
          </cell>
        </row>
        <row r="2003">
          <cell r="U2003" t="str">
            <v/>
          </cell>
        </row>
        <row r="2004">
          <cell r="U2004" t="str">
            <v/>
          </cell>
        </row>
        <row r="2005">
          <cell r="U2005" t="str">
            <v/>
          </cell>
        </row>
        <row r="2006">
          <cell r="U2006" t="str">
            <v/>
          </cell>
        </row>
        <row r="2007">
          <cell r="U2007" t="str">
            <v/>
          </cell>
        </row>
        <row r="2008">
          <cell r="U2008" t="str">
            <v/>
          </cell>
        </row>
        <row r="2009">
          <cell r="U2009" t="str">
            <v/>
          </cell>
        </row>
        <row r="2010">
          <cell r="U2010" t="str">
            <v/>
          </cell>
        </row>
        <row r="2011">
          <cell r="U2011" t="str">
            <v/>
          </cell>
        </row>
        <row r="2012">
          <cell r="U2012" t="str">
            <v/>
          </cell>
        </row>
        <row r="2013">
          <cell r="U2013" t="str">
            <v/>
          </cell>
        </row>
        <row r="2014">
          <cell r="U2014" t="str">
            <v/>
          </cell>
        </row>
        <row r="2015">
          <cell r="U2015" t="str">
            <v/>
          </cell>
        </row>
        <row r="2016">
          <cell r="U2016" t="str">
            <v/>
          </cell>
        </row>
        <row r="2017">
          <cell r="U2017" t="str">
            <v/>
          </cell>
        </row>
        <row r="2018">
          <cell r="U2018" t="str">
            <v/>
          </cell>
        </row>
        <row r="2019">
          <cell r="U2019" t="str">
            <v/>
          </cell>
        </row>
        <row r="2020">
          <cell r="U2020" t="str">
            <v/>
          </cell>
        </row>
        <row r="2021">
          <cell r="U2021" t="str">
            <v/>
          </cell>
        </row>
        <row r="2022">
          <cell r="U2022" t="str">
            <v/>
          </cell>
        </row>
        <row r="2023">
          <cell r="U2023" t="str">
            <v/>
          </cell>
        </row>
        <row r="2024">
          <cell r="U2024" t="str">
            <v/>
          </cell>
        </row>
        <row r="2025">
          <cell r="U2025" t="str">
            <v/>
          </cell>
        </row>
        <row r="2026">
          <cell r="U2026" t="str">
            <v/>
          </cell>
        </row>
        <row r="2027">
          <cell r="U2027" t="str">
            <v/>
          </cell>
        </row>
        <row r="2028">
          <cell r="U2028" t="str">
            <v/>
          </cell>
        </row>
        <row r="2029">
          <cell r="U2029" t="str">
            <v/>
          </cell>
        </row>
        <row r="2030">
          <cell r="U2030" t="str">
            <v/>
          </cell>
        </row>
        <row r="2031">
          <cell r="U2031" t="str">
            <v/>
          </cell>
        </row>
        <row r="2032">
          <cell r="U2032" t="str">
            <v/>
          </cell>
        </row>
        <row r="2033">
          <cell r="U2033" t="str">
            <v/>
          </cell>
        </row>
        <row r="2034">
          <cell r="U2034" t="str">
            <v/>
          </cell>
        </row>
        <row r="2035">
          <cell r="U2035" t="str">
            <v/>
          </cell>
        </row>
        <row r="2036">
          <cell r="U2036" t="str">
            <v/>
          </cell>
        </row>
        <row r="2037">
          <cell r="U2037" t="str">
            <v/>
          </cell>
        </row>
        <row r="2038">
          <cell r="U2038" t="str">
            <v/>
          </cell>
        </row>
        <row r="2039">
          <cell r="U2039" t="str">
            <v/>
          </cell>
        </row>
        <row r="2040">
          <cell r="U2040" t="str">
            <v/>
          </cell>
        </row>
        <row r="2041">
          <cell r="U2041" t="str">
            <v/>
          </cell>
        </row>
        <row r="2042">
          <cell r="U2042" t="str">
            <v/>
          </cell>
        </row>
        <row r="2043">
          <cell r="U2043" t="str">
            <v/>
          </cell>
        </row>
        <row r="2044">
          <cell r="U2044" t="str">
            <v/>
          </cell>
        </row>
        <row r="2045">
          <cell r="U2045" t="str">
            <v/>
          </cell>
        </row>
        <row r="2046">
          <cell r="U2046" t="str">
            <v/>
          </cell>
        </row>
        <row r="2047">
          <cell r="U2047" t="str">
            <v/>
          </cell>
        </row>
        <row r="2048">
          <cell r="U2048" t="str">
            <v/>
          </cell>
        </row>
        <row r="2049">
          <cell r="U2049" t="str">
            <v/>
          </cell>
        </row>
        <row r="2050">
          <cell r="U2050" t="str">
            <v/>
          </cell>
        </row>
        <row r="2051">
          <cell r="U2051" t="str">
            <v/>
          </cell>
        </row>
        <row r="2052">
          <cell r="U2052" t="str">
            <v/>
          </cell>
        </row>
        <row r="2053">
          <cell r="U2053" t="str">
            <v/>
          </cell>
        </row>
        <row r="2054">
          <cell r="U2054" t="str">
            <v/>
          </cell>
        </row>
        <row r="2055">
          <cell r="U2055" t="str">
            <v/>
          </cell>
        </row>
        <row r="2056">
          <cell r="U2056" t="str">
            <v/>
          </cell>
        </row>
        <row r="2057">
          <cell r="U2057" t="str">
            <v/>
          </cell>
        </row>
        <row r="2058">
          <cell r="U2058" t="str">
            <v/>
          </cell>
        </row>
        <row r="2059">
          <cell r="U2059" t="str">
            <v/>
          </cell>
        </row>
        <row r="2060">
          <cell r="U2060" t="str">
            <v/>
          </cell>
        </row>
        <row r="2061">
          <cell r="U2061" t="str">
            <v/>
          </cell>
        </row>
        <row r="2062">
          <cell r="U2062" t="str">
            <v/>
          </cell>
        </row>
        <row r="2063">
          <cell r="U2063" t="str">
            <v/>
          </cell>
        </row>
        <row r="2064">
          <cell r="U2064" t="str">
            <v/>
          </cell>
        </row>
        <row r="2065">
          <cell r="U2065" t="str">
            <v/>
          </cell>
        </row>
        <row r="2066">
          <cell r="U2066" t="str">
            <v/>
          </cell>
        </row>
        <row r="2067">
          <cell r="U2067" t="str">
            <v/>
          </cell>
        </row>
        <row r="2068">
          <cell r="U2068" t="str">
            <v/>
          </cell>
        </row>
        <row r="2069">
          <cell r="U2069" t="str">
            <v/>
          </cell>
        </row>
        <row r="2070">
          <cell r="U2070" t="str">
            <v/>
          </cell>
        </row>
        <row r="2071">
          <cell r="U2071" t="str">
            <v/>
          </cell>
        </row>
        <row r="2072">
          <cell r="U2072" t="str">
            <v/>
          </cell>
        </row>
        <row r="2073">
          <cell r="U2073" t="str">
            <v/>
          </cell>
        </row>
        <row r="2074">
          <cell r="U2074" t="str">
            <v/>
          </cell>
        </row>
        <row r="2075">
          <cell r="U2075" t="str">
            <v/>
          </cell>
        </row>
        <row r="2076">
          <cell r="U2076" t="str">
            <v/>
          </cell>
        </row>
        <row r="2077">
          <cell r="U2077" t="str">
            <v/>
          </cell>
        </row>
        <row r="2078">
          <cell r="U2078" t="str">
            <v/>
          </cell>
        </row>
        <row r="2079">
          <cell r="U2079" t="str">
            <v/>
          </cell>
        </row>
        <row r="2080">
          <cell r="U2080" t="str">
            <v/>
          </cell>
        </row>
        <row r="2081">
          <cell r="U2081" t="str">
            <v/>
          </cell>
        </row>
        <row r="2082">
          <cell r="U2082" t="str">
            <v/>
          </cell>
        </row>
        <row r="2083">
          <cell r="U2083" t="str">
            <v/>
          </cell>
        </row>
        <row r="2084">
          <cell r="U2084" t="str">
            <v/>
          </cell>
        </row>
        <row r="2085">
          <cell r="U2085" t="str">
            <v/>
          </cell>
        </row>
        <row r="2086">
          <cell r="U2086" t="str">
            <v/>
          </cell>
        </row>
        <row r="2087">
          <cell r="U2087" t="str">
            <v/>
          </cell>
        </row>
        <row r="2088">
          <cell r="U2088" t="str">
            <v/>
          </cell>
        </row>
        <row r="2089">
          <cell r="U2089" t="str">
            <v/>
          </cell>
        </row>
        <row r="2090">
          <cell r="U2090" t="str">
            <v/>
          </cell>
        </row>
        <row r="2091">
          <cell r="U2091" t="str">
            <v/>
          </cell>
        </row>
        <row r="2092">
          <cell r="U2092" t="str">
            <v/>
          </cell>
        </row>
        <row r="2093">
          <cell r="U2093" t="str">
            <v/>
          </cell>
        </row>
        <row r="2094">
          <cell r="U2094" t="str">
            <v/>
          </cell>
        </row>
        <row r="2095">
          <cell r="U2095" t="str">
            <v/>
          </cell>
        </row>
        <row r="2096">
          <cell r="U2096" t="str">
            <v/>
          </cell>
        </row>
        <row r="2097">
          <cell r="U2097" t="str">
            <v/>
          </cell>
        </row>
        <row r="2098">
          <cell r="U2098" t="str">
            <v/>
          </cell>
        </row>
        <row r="2099">
          <cell r="U2099" t="str">
            <v/>
          </cell>
        </row>
        <row r="2100">
          <cell r="U2100" t="str">
            <v/>
          </cell>
        </row>
        <row r="2101">
          <cell r="U2101" t="str">
            <v/>
          </cell>
        </row>
        <row r="2102">
          <cell r="U2102" t="str">
            <v/>
          </cell>
        </row>
        <row r="2103">
          <cell r="U2103" t="str">
            <v/>
          </cell>
        </row>
        <row r="2104">
          <cell r="U2104" t="str">
            <v/>
          </cell>
        </row>
        <row r="2105">
          <cell r="U2105" t="str">
            <v/>
          </cell>
        </row>
        <row r="2106">
          <cell r="U2106" t="str">
            <v/>
          </cell>
        </row>
        <row r="2107">
          <cell r="U2107" t="str">
            <v/>
          </cell>
        </row>
        <row r="2108">
          <cell r="U2108" t="str">
            <v/>
          </cell>
        </row>
        <row r="2109">
          <cell r="U2109" t="str">
            <v/>
          </cell>
        </row>
        <row r="2110">
          <cell r="U2110" t="str">
            <v/>
          </cell>
        </row>
        <row r="2111">
          <cell r="U2111" t="str">
            <v/>
          </cell>
        </row>
        <row r="2112">
          <cell r="U2112" t="str">
            <v/>
          </cell>
        </row>
        <row r="2113">
          <cell r="U2113" t="str">
            <v/>
          </cell>
        </row>
        <row r="2114">
          <cell r="U2114" t="str">
            <v/>
          </cell>
        </row>
        <row r="2115">
          <cell r="U2115" t="str">
            <v/>
          </cell>
        </row>
        <row r="2116">
          <cell r="U2116" t="str">
            <v/>
          </cell>
        </row>
        <row r="2117">
          <cell r="U2117" t="str">
            <v/>
          </cell>
        </row>
        <row r="2118">
          <cell r="U2118" t="str">
            <v/>
          </cell>
        </row>
        <row r="2119">
          <cell r="U2119" t="str">
            <v/>
          </cell>
        </row>
        <row r="2120">
          <cell r="U2120" t="str">
            <v/>
          </cell>
        </row>
        <row r="2121">
          <cell r="U2121" t="str">
            <v/>
          </cell>
        </row>
        <row r="2122">
          <cell r="U2122" t="str">
            <v/>
          </cell>
        </row>
        <row r="2123">
          <cell r="U2123" t="str">
            <v/>
          </cell>
        </row>
        <row r="2124">
          <cell r="U2124" t="str">
            <v/>
          </cell>
        </row>
        <row r="2125">
          <cell r="U2125" t="str">
            <v/>
          </cell>
        </row>
        <row r="2126">
          <cell r="U2126" t="str">
            <v/>
          </cell>
        </row>
        <row r="2127">
          <cell r="U2127" t="str">
            <v/>
          </cell>
        </row>
        <row r="2128">
          <cell r="U2128" t="str">
            <v/>
          </cell>
        </row>
        <row r="2129">
          <cell r="U2129" t="str">
            <v/>
          </cell>
        </row>
        <row r="2130">
          <cell r="U2130" t="str">
            <v/>
          </cell>
        </row>
        <row r="2131">
          <cell r="U2131" t="str">
            <v/>
          </cell>
        </row>
        <row r="2132">
          <cell r="U2132" t="str">
            <v/>
          </cell>
        </row>
        <row r="2133">
          <cell r="U2133" t="str">
            <v/>
          </cell>
        </row>
        <row r="2134">
          <cell r="U2134" t="str">
            <v/>
          </cell>
        </row>
        <row r="2135">
          <cell r="U2135" t="str">
            <v/>
          </cell>
        </row>
        <row r="2136">
          <cell r="U2136" t="str">
            <v/>
          </cell>
        </row>
        <row r="2137">
          <cell r="U2137" t="str">
            <v/>
          </cell>
        </row>
        <row r="2138">
          <cell r="U2138" t="str">
            <v/>
          </cell>
        </row>
        <row r="2139">
          <cell r="U2139" t="str">
            <v/>
          </cell>
        </row>
        <row r="2140">
          <cell r="U2140" t="str">
            <v/>
          </cell>
        </row>
        <row r="2141">
          <cell r="U2141" t="str">
            <v/>
          </cell>
        </row>
        <row r="2142">
          <cell r="U2142" t="str">
            <v/>
          </cell>
        </row>
        <row r="2143">
          <cell r="U2143" t="str">
            <v/>
          </cell>
        </row>
        <row r="2144">
          <cell r="U2144" t="str">
            <v/>
          </cell>
        </row>
        <row r="2145">
          <cell r="U2145" t="str">
            <v/>
          </cell>
        </row>
        <row r="2146">
          <cell r="U2146" t="str">
            <v/>
          </cell>
        </row>
        <row r="2147">
          <cell r="U2147" t="str">
            <v/>
          </cell>
        </row>
        <row r="2148">
          <cell r="U2148" t="str">
            <v/>
          </cell>
        </row>
        <row r="2149">
          <cell r="U2149" t="str">
            <v/>
          </cell>
        </row>
        <row r="2150">
          <cell r="U2150" t="str">
            <v/>
          </cell>
        </row>
        <row r="2151">
          <cell r="U2151" t="str">
            <v/>
          </cell>
        </row>
        <row r="2152">
          <cell r="U2152" t="str">
            <v/>
          </cell>
        </row>
        <row r="2153">
          <cell r="U2153" t="str">
            <v/>
          </cell>
        </row>
        <row r="2154">
          <cell r="U2154" t="str">
            <v/>
          </cell>
        </row>
        <row r="2155">
          <cell r="U2155" t="str">
            <v/>
          </cell>
        </row>
        <row r="2156">
          <cell r="U2156" t="str">
            <v/>
          </cell>
        </row>
        <row r="2157">
          <cell r="U2157" t="str">
            <v/>
          </cell>
        </row>
        <row r="2158">
          <cell r="U2158" t="str">
            <v/>
          </cell>
        </row>
        <row r="2159">
          <cell r="U2159" t="str">
            <v/>
          </cell>
        </row>
        <row r="2160">
          <cell r="U2160" t="str">
            <v/>
          </cell>
        </row>
        <row r="2161">
          <cell r="U2161" t="str">
            <v/>
          </cell>
        </row>
        <row r="2162">
          <cell r="U2162" t="str">
            <v/>
          </cell>
        </row>
        <row r="2163">
          <cell r="U2163" t="str">
            <v/>
          </cell>
        </row>
        <row r="2164">
          <cell r="U2164" t="str">
            <v/>
          </cell>
        </row>
        <row r="2165">
          <cell r="U2165" t="str">
            <v/>
          </cell>
        </row>
        <row r="2166">
          <cell r="U2166" t="str">
            <v/>
          </cell>
        </row>
        <row r="2167">
          <cell r="U2167" t="str">
            <v/>
          </cell>
        </row>
        <row r="2168">
          <cell r="U2168" t="str">
            <v/>
          </cell>
        </row>
        <row r="2169">
          <cell r="U2169" t="str">
            <v/>
          </cell>
        </row>
        <row r="2170">
          <cell r="U2170" t="str">
            <v/>
          </cell>
        </row>
        <row r="2171">
          <cell r="U2171" t="str">
            <v/>
          </cell>
        </row>
        <row r="2172">
          <cell r="U2172" t="str">
            <v/>
          </cell>
        </row>
        <row r="2173">
          <cell r="U2173" t="str">
            <v/>
          </cell>
        </row>
        <row r="2174">
          <cell r="U2174" t="str">
            <v/>
          </cell>
        </row>
        <row r="2175">
          <cell r="U2175" t="str">
            <v/>
          </cell>
        </row>
        <row r="2176">
          <cell r="U2176" t="str">
            <v/>
          </cell>
        </row>
        <row r="2177">
          <cell r="U2177" t="str">
            <v/>
          </cell>
        </row>
        <row r="2178">
          <cell r="U2178" t="str">
            <v/>
          </cell>
        </row>
        <row r="2179">
          <cell r="U2179" t="str">
            <v/>
          </cell>
        </row>
        <row r="2180">
          <cell r="U2180" t="str">
            <v/>
          </cell>
        </row>
        <row r="2181">
          <cell r="U2181" t="str">
            <v/>
          </cell>
        </row>
        <row r="2182">
          <cell r="U2182" t="str">
            <v/>
          </cell>
        </row>
        <row r="2183">
          <cell r="U2183" t="str">
            <v/>
          </cell>
        </row>
        <row r="2184">
          <cell r="U2184" t="str">
            <v/>
          </cell>
        </row>
        <row r="2185">
          <cell r="U2185" t="str">
            <v/>
          </cell>
        </row>
        <row r="2186">
          <cell r="U2186" t="str">
            <v/>
          </cell>
        </row>
        <row r="2187">
          <cell r="U2187" t="str">
            <v/>
          </cell>
        </row>
        <row r="2188">
          <cell r="U2188" t="str">
            <v/>
          </cell>
        </row>
        <row r="2189">
          <cell r="U2189" t="str">
            <v/>
          </cell>
        </row>
        <row r="2190">
          <cell r="U2190" t="str">
            <v/>
          </cell>
        </row>
        <row r="2191">
          <cell r="U2191" t="str">
            <v/>
          </cell>
        </row>
        <row r="2192">
          <cell r="U2192" t="str">
            <v/>
          </cell>
        </row>
        <row r="2193">
          <cell r="U2193" t="str">
            <v/>
          </cell>
        </row>
        <row r="2194">
          <cell r="U2194" t="str">
            <v/>
          </cell>
        </row>
        <row r="2195">
          <cell r="U2195" t="str">
            <v/>
          </cell>
        </row>
        <row r="2196">
          <cell r="U2196" t="str">
            <v/>
          </cell>
        </row>
        <row r="2197">
          <cell r="U2197" t="str">
            <v/>
          </cell>
        </row>
        <row r="2198">
          <cell r="U2198" t="str">
            <v/>
          </cell>
        </row>
        <row r="2199">
          <cell r="U2199" t="str">
            <v/>
          </cell>
        </row>
        <row r="2200">
          <cell r="U2200" t="str">
            <v/>
          </cell>
        </row>
        <row r="2201">
          <cell r="U2201" t="str">
            <v/>
          </cell>
        </row>
        <row r="2202">
          <cell r="U2202" t="str">
            <v/>
          </cell>
        </row>
        <row r="2203">
          <cell r="U2203" t="str">
            <v/>
          </cell>
        </row>
        <row r="2204">
          <cell r="U2204" t="str">
            <v/>
          </cell>
        </row>
        <row r="2205">
          <cell r="U2205" t="str">
            <v/>
          </cell>
        </row>
        <row r="2206">
          <cell r="U2206" t="str">
            <v/>
          </cell>
        </row>
        <row r="2207">
          <cell r="U2207" t="str">
            <v/>
          </cell>
        </row>
        <row r="2208">
          <cell r="U2208" t="str">
            <v/>
          </cell>
        </row>
        <row r="2209">
          <cell r="U2209" t="str">
            <v/>
          </cell>
        </row>
        <row r="2210">
          <cell r="U2210" t="str">
            <v/>
          </cell>
        </row>
        <row r="2211">
          <cell r="U2211" t="str">
            <v/>
          </cell>
        </row>
        <row r="2212">
          <cell r="U2212" t="str">
            <v/>
          </cell>
        </row>
        <row r="2213">
          <cell r="U2213" t="str">
            <v/>
          </cell>
        </row>
        <row r="2214">
          <cell r="U2214" t="str">
            <v/>
          </cell>
        </row>
        <row r="2215">
          <cell r="U2215" t="str">
            <v/>
          </cell>
        </row>
        <row r="2216">
          <cell r="U2216" t="str">
            <v/>
          </cell>
        </row>
        <row r="2217">
          <cell r="U2217" t="str">
            <v/>
          </cell>
        </row>
        <row r="2218">
          <cell r="U2218" t="str">
            <v/>
          </cell>
        </row>
        <row r="2219">
          <cell r="U2219" t="str">
            <v/>
          </cell>
        </row>
        <row r="2220">
          <cell r="U2220" t="str">
            <v/>
          </cell>
        </row>
        <row r="2221">
          <cell r="U2221" t="str">
            <v/>
          </cell>
        </row>
        <row r="2222">
          <cell r="U2222" t="str">
            <v/>
          </cell>
        </row>
        <row r="2223">
          <cell r="U2223" t="str">
            <v/>
          </cell>
        </row>
        <row r="2224">
          <cell r="U2224" t="str">
            <v/>
          </cell>
        </row>
        <row r="2225">
          <cell r="U2225" t="str">
            <v/>
          </cell>
        </row>
        <row r="2226">
          <cell r="U2226" t="str">
            <v/>
          </cell>
        </row>
        <row r="2227">
          <cell r="U2227" t="str">
            <v/>
          </cell>
        </row>
        <row r="2228">
          <cell r="U2228" t="str">
            <v/>
          </cell>
        </row>
        <row r="2229">
          <cell r="U2229" t="str">
            <v/>
          </cell>
        </row>
        <row r="2230">
          <cell r="U2230" t="str">
            <v/>
          </cell>
        </row>
        <row r="2231">
          <cell r="U2231" t="str">
            <v/>
          </cell>
        </row>
        <row r="2232">
          <cell r="U2232" t="str">
            <v/>
          </cell>
        </row>
        <row r="2233">
          <cell r="U2233" t="str">
            <v/>
          </cell>
        </row>
        <row r="2234">
          <cell r="U2234" t="str">
            <v/>
          </cell>
        </row>
        <row r="2235">
          <cell r="U2235" t="str">
            <v/>
          </cell>
        </row>
        <row r="2236">
          <cell r="U2236" t="str">
            <v/>
          </cell>
        </row>
        <row r="2237">
          <cell r="U2237" t="str">
            <v/>
          </cell>
        </row>
        <row r="2238">
          <cell r="U2238" t="str">
            <v/>
          </cell>
        </row>
        <row r="2239">
          <cell r="U2239" t="str">
            <v/>
          </cell>
        </row>
        <row r="2240">
          <cell r="U2240" t="str">
            <v/>
          </cell>
        </row>
        <row r="2241">
          <cell r="U2241" t="str">
            <v/>
          </cell>
        </row>
        <row r="2242">
          <cell r="U2242" t="str">
            <v/>
          </cell>
        </row>
        <row r="2243">
          <cell r="U2243" t="str">
            <v/>
          </cell>
        </row>
        <row r="2244">
          <cell r="U2244" t="str">
            <v/>
          </cell>
        </row>
        <row r="2245">
          <cell r="U2245" t="str">
            <v/>
          </cell>
        </row>
        <row r="2246">
          <cell r="U2246" t="str">
            <v/>
          </cell>
        </row>
        <row r="2247">
          <cell r="U2247" t="str">
            <v/>
          </cell>
        </row>
        <row r="2248">
          <cell r="U2248" t="str">
            <v/>
          </cell>
        </row>
        <row r="2249">
          <cell r="U2249" t="str">
            <v/>
          </cell>
        </row>
        <row r="2250">
          <cell r="U2250" t="str">
            <v/>
          </cell>
        </row>
        <row r="2251">
          <cell r="U2251" t="str">
            <v/>
          </cell>
        </row>
        <row r="2252">
          <cell r="U2252" t="str">
            <v/>
          </cell>
        </row>
        <row r="2253">
          <cell r="U2253" t="str">
            <v/>
          </cell>
        </row>
        <row r="2254">
          <cell r="U2254" t="str">
            <v/>
          </cell>
        </row>
        <row r="2255">
          <cell r="U2255" t="str">
            <v/>
          </cell>
        </row>
        <row r="2256">
          <cell r="U2256" t="str">
            <v/>
          </cell>
        </row>
        <row r="2257">
          <cell r="U2257" t="str">
            <v/>
          </cell>
        </row>
        <row r="2258">
          <cell r="U2258" t="str">
            <v/>
          </cell>
        </row>
        <row r="2259">
          <cell r="U2259" t="str">
            <v/>
          </cell>
        </row>
        <row r="2260">
          <cell r="U2260" t="str">
            <v/>
          </cell>
        </row>
        <row r="2261">
          <cell r="U2261" t="str">
            <v/>
          </cell>
        </row>
        <row r="2262">
          <cell r="U2262" t="str">
            <v/>
          </cell>
        </row>
        <row r="2263">
          <cell r="U2263" t="str">
            <v/>
          </cell>
        </row>
        <row r="2264">
          <cell r="U2264" t="str">
            <v/>
          </cell>
        </row>
        <row r="2265">
          <cell r="U2265" t="str">
            <v/>
          </cell>
        </row>
        <row r="2266">
          <cell r="U2266" t="str">
            <v/>
          </cell>
        </row>
        <row r="2267">
          <cell r="U2267" t="str">
            <v/>
          </cell>
        </row>
        <row r="2268">
          <cell r="U2268" t="str">
            <v/>
          </cell>
        </row>
        <row r="2269">
          <cell r="U2269" t="str">
            <v/>
          </cell>
        </row>
        <row r="2270">
          <cell r="U2270" t="str">
            <v/>
          </cell>
        </row>
        <row r="2271">
          <cell r="U2271" t="str">
            <v/>
          </cell>
        </row>
        <row r="2272">
          <cell r="U2272" t="str">
            <v/>
          </cell>
        </row>
        <row r="2273">
          <cell r="U2273" t="str">
            <v/>
          </cell>
        </row>
        <row r="2274">
          <cell r="U2274" t="str">
            <v/>
          </cell>
        </row>
        <row r="2275">
          <cell r="U2275" t="str">
            <v/>
          </cell>
        </row>
        <row r="2276">
          <cell r="U2276" t="str">
            <v/>
          </cell>
        </row>
        <row r="2277">
          <cell r="U2277" t="str">
            <v/>
          </cell>
        </row>
        <row r="2278">
          <cell r="U2278" t="str">
            <v/>
          </cell>
        </row>
        <row r="2279">
          <cell r="U2279" t="str">
            <v/>
          </cell>
        </row>
        <row r="2280">
          <cell r="U2280" t="str">
            <v/>
          </cell>
        </row>
        <row r="2281">
          <cell r="U2281" t="str">
            <v/>
          </cell>
        </row>
        <row r="2282">
          <cell r="U2282" t="str">
            <v/>
          </cell>
        </row>
        <row r="2283">
          <cell r="U2283" t="str">
            <v/>
          </cell>
        </row>
        <row r="2284">
          <cell r="U2284" t="str">
            <v/>
          </cell>
        </row>
        <row r="2285">
          <cell r="U2285" t="str">
            <v/>
          </cell>
        </row>
        <row r="2286">
          <cell r="U2286" t="str">
            <v/>
          </cell>
        </row>
        <row r="2287">
          <cell r="U2287" t="str">
            <v/>
          </cell>
        </row>
        <row r="2288">
          <cell r="U2288" t="str">
            <v/>
          </cell>
        </row>
        <row r="2289">
          <cell r="U2289" t="str">
            <v/>
          </cell>
        </row>
        <row r="2290">
          <cell r="U2290" t="str">
            <v/>
          </cell>
        </row>
        <row r="2291">
          <cell r="U2291" t="str">
            <v/>
          </cell>
        </row>
        <row r="2292">
          <cell r="U2292" t="str">
            <v/>
          </cell>
        </row>
        <row r="2293">
          <cell r="U2293" t="str">
            <v/>
          </cell>
        </row>
        <row r="2294">
          <cell r="U2294" t="str">
            <v/>
          </cell>
        </row>
        <row r="2295">
          <cell r="U2295" t="str">
            <v/>
          </cell>
        </row>
        <row r="2296">
          <cell r="U2296" t="str">
            <v/>
          </cell>
        </row>
        <row r="2297">
          <cell r="U2297" t="str">
            <v/>
          </cell>
        </row>
        <row r="2298">
          <cell r="U2298" t="str">
            <v/>
          </cell>
        </row>
        <row r="2299">
          <cell r="U2299" t="str">
            <v/>
          </cell>
        </row>
        <row r="2300">
          <cell r="U2300" t="str">
            <v/>
          </cell>
        </row>
        <row r="2301">
          <cell r="U2301" t="str">
            <v/>
          </cell>
        </row>
        <row r="2302">
          <cell r="U2302" t="str">
            <v/>
          </cell>
        </row>
        <row r="2303">
          <cell r="U2303" t="str">
            <v/>
          </cell>
        </row>
        <row r="2304">
          <cell r="U2304" t="str">
            <v/>
          </cell>
        </row>
        <row r="2305">
          <cell r="U2305" t="str">
            <v/>
          </cell>
        </row>
        <row r="2306">
          <cell r="U2306" t="str">
            <v/>
          </cell>
        </row>
        <row r="2307">
          <cell r="U2307" t="str">
            <v/>
          </cell>
        </row>
        <row r="2308">
          <cell r="U2308" t="str">
            <v/>
          </cell>
        </row>
        <row r="2309">
          <cell r="U2309" t="str">
            <v/>
          </cell>
        </row>
        <row r="2310">
          <cell r="U2310" t="str">
            <v/>
          </cell>
        </row>
        <row r="2311">
          <cell r="U2311" t="str">
            <v/>
          </cell>
        </row>
        <row r="2312">
          <cell r="U2312" t="str">
            <v/>
          </cell>
        </row>
        <row r="2313">
          <cell r="U2313" t="str">
            <v/>
          </cell>
        </row>
        <row r="2314">
          <cell r="U2314" t="str">
            <v/>
          </cell>
        </row>
        <row r="2315">
          <cell r="U2315" t="str">
            <v/>
          </cell>
        </row>
        <row r="2316">
          <cell r="U2316" t="str">
            <v/>
          </cell>
        </row>
        <row r="2317">
          <cell r="U2317" t="str">
            <v/>
          </cell>
        </row>
        <row r="2318">
          <cell r="U2318" t="str">
            <v/>
          </cell>
        </row>
        <row r="2319">
          <cell r="U2319" t="str">
            <v/>
          </cell>
        </row>
        <row r="2320">
          <cell r="U2320" t="str">
            <v/>
          </cell>
        </row>
        <row r="2321">
          <cell r="U2321" t="str">
            <v/>
          </cell>
        </row>
        <row r="2322">
          <cell r="U2322" t="str">
            <v/>
          </cell>
        </row>
        <row r="2323">
          <cell r="U2323" t="str">
            <v/>
          </cell>
        </row>
        <row r="2324">
          <cell r="U2324" t="str">
            <v/>
          </cell>
        </row>
        <row r="2325">
          <cell r="U2325" t="str">
            <v/>
          </cell>
        </row>
        <row r="2326">
          <cell r="U2326" t="str">
            <v/>
          </cell>
        </row>
        <row r="2327">
          <cell r="U2327" t="str">
            <v/>
          </cell>
        </row>
        <row r="2328">
          <cell r="U2328" t="str">
            <v/>
          </cell>
        </row>
        <row r="2329">
          <cell r="U2329" t="str">
            <v/>
          </cell>
        </row>
        <row r="2330">
          <cell r="U2330" t="str">
            <v/>
          </cell>
        </row>
        <row r="2331">
          <cell r="U2331" t="str">
            <v/>
          </cell>
        </row>
        <row r="2332">
          <cell r="U2332" t="str">
            <v/>
          </cell>
        </row>
        <row r="2333">
          <cell r="U2333" t="str">
            <v/>
          </cell>
        </row>
        <row r="2334">
          <cell r="U2334" t="str">
            <v/>
          </cell>
        </row>
        <row r="2335">
          <cell r="U2335" t="str">
            <v/>
          </cell>
        </row>
        <row r="2336">
          <cell r="U2336" t="str">
            <v/>
          </cell>
        </row>
        <row r="2337">
          <cell r="U2337" t="str">
            <v/>
          </cell>
        </row>
        <row r="2338">
          <cell r="U2338" t="str">
            <v/>
          </cell>
        </row>
        <row r="2339">
          <cell r="U2339" t="str">
            <v/>
          </cell>
        </row>
        <row r="2340">
          <cell r="U2340" t="str">
            <v/>
          </cell>
        </row>
        <row r="2341">
          <cell r="U2341" t="str">
            <v/>
          </cell>
        </row>
        <row r="2342">
          <cell r="U2342" t="str">
            <v/>
          </cell>
        </row>
        <row r="2343">
          <cell r="U2343" t="str">
            <v/>
          </cell>
        </row>
        <row r="2344">
          <cell r="U2344" t="str">
            <v/>
          </cell>
        </row>
        <row r="2345">
          <cell r="U2345" t="str">
            <v/>
          </cell>
        </row>
        <row r="2346">
          <cell r="U2346" t="str">
            <v/>
          </cell>
        </row>
        <row r="2347">
          <cell r="U2347" t="str">
            <v/>
          </cell>
        </row>
        <row r="2348">
          <cell r="U2348" t="str">
            <v/>
          </cell>
        </row>
        <row r="2349">
          <cell r="U2349" t="str">
            <v/>
          </cell>
        </row>
        <row r="2350">
          <cell r="U2350" t="str">
            <v/>
          </cell>
        </row>
        <row r="2351">
          <cell r="U2351" t="str">
            <v/>
          </cell>
        </row>
        <row r="2352">
          <cell r="U2352" t="str">
            <v/>
          </cell>
        </row>
        <row r="2353">
          <cell r="U2353" t="str">
            <v/>
          </cell>
        </row>
        <row r="2354">
          <cell r="U2354" t="str">
            <v/>
          </cell>
        </row>
        <row r="2355">
          <cell r="U2355" t="str">
            <v/>
          </cell>
        </row>
        <row r="2356">
          <cell r="U2356" t="str">
            <v/>
          </cell>
        </row>
        <row r="2357">
          <cell r="U2357" t="str">
            <v/>
          </cell>
        </row>
        <row r="2358">
          <cell r="U2358" t="str">
            <v/>
          </cell>
        </row>
        <row r="2359">
          <cell r="U2359" t="str">
            <v/>
          </cell>
        </row>
        <row r="2360">
          <cell r="U2360" t="str">
            <v/>
          </cell>
        </row>
        <row r="2361">
          <cell r="U2361" t="str">
            <v/>
          </cell>
        </row>
        <row r="2362">
          <cell r="U2362" t="str">
            <v/>
          </cell>
        </row>
        <row r="2363">
          <cell r="U2363" t="str">
            <v/>
          </cell>
        </row>
        <row r="2364">
          <cell r="U2364" t="str">
            <v/>
          </cell>
        </row>
        <row r="2365">
          <cell r="U2365" t="str">
            <v/>
          </cell>
        </row>
        <row r="2366">
          <cell r="U2366" t="str">
            <v/>
          </cell>
        </row>
        <row r="2367">
          <cell r="U2367" t="str">
            <v/>
          </cell>
        </row>
        <row r="2368">
          <cell r="U2368" t="str">
            <v/>
          </cell>
        </row>
        <row r="2369">
          <cell r="U2369" t="str">
            <v/>
          </cell>
        </row>
        <row r="2370">
          <cell r="U2370" t="str">
            <v/>
          </cell>
        </row>
        <row r="2371">
          <cell r="U2371" t="str">
            <v/>
          </cell>
        </row>
        <row r="2372">
          <cell r="U2372" t="str">
            <v/>
          </cell>
        </row>
        <row r="2373">
          <cell r="U2373" t="str">
            <v/>
          </cell>
        </row>
        <row r="2374">
          <cell r="U2374" t="str">
            <v/>
          </cell>
        </row>
        <row r="2375">
          <cell r="U2375" t="str">
            <v/>
          </cell>
        </row>
        <row r="2376">
          <cell r="U2376" t="str">
            <v/>
          </cell>
        </row>
        <row r="2377">
          <cell r="U2377" t="str">
            <v/>
          </cell>
        </row>
        <row r="2378">
          <cell r="U2378" t="str">
            <v/>
          </cell>
        </row>
        <row r="2379">
          <cell r="U2379" t="str">
            <v/>
          </cell>
        </row>
        <row r="2380">
          <cell r="U2380" t="str">
            <v/>
          </cell>
        </row>
        <row r="2381">
          <cell r="U2381" t="str">
            <v/>
          </cell>
        </row>
        <row r="2382">
          <cell r="U2382" t="str">
            <v/>
          </cell>
        </row>
        <row r="2383">
          <cell r="U2383" t="str">
            <v/>
          </cell>
        </row>
        <row r="2384">
          <cell r="U2384" t="str">
            <v/>
          </cell>
        </row>
        <row r="2385">
          <cell r="U2385" t="str">
            <v/>
          </cell>
        </row>
        <row r="2386">
          <cell r="U2386" t="str">
            <v/>
          </cell>
        </row>
        <row r="2387">
          <cell r="U2387" t="str">
            <v/>
          </cell>
        </row>
        <row r="2388">
          <cell r="U2388" t="str">
            <v/>
          </cell>
        </row>
        <row r="2389">
          <cell r="U2389" t="str">
            <v/>
          </cell>
        </row>
        <row r="2390">
          <cell r="U2390" t="str">
            <v/>
          </cell>
        </row>
        <row r="2391">
          <cell r="U2391" t="str">
            <v/>
          </cell>
        </row>
        <row r="2392">
          <cell r="U2392" t="str">
            <v/>
          </cell>
        </row>
        <row r="2393">
          <cell r="U2393" t="str">
            <v/>
          </cell>
        </row>
        <row r="2394">
          <cell r="U2394" t="str">
            <v/>
          </cell>
        </row>
        <row r="2395">
          <cell r="U2395" t="str">
            <v/>
          </cell>
        </row>
        <row r="2396">
          <cell r="U2396" t="str">
            <v/>
          </cell>
        </row>
        <row r="2397">
          <cell r="U2397" t="str">
            <v/>
          </cell>
        </row>
        <row r="2398">
          <cell r="U2398" t="str">
            <v/>
          </cell>
        </row>
        <row r="2399">
          <cell r="U2399" t="str">
            <v/>
          </cell>
        </row>
        <row r="2400">
          <cell r="U2400" t="str">
            <v/>
          </cell>
        </row>
        <row r="2401">
          <cell r="U2401" t="str">
            <v/>
          </cell>
        </row>
        <row r="2402">
          <cell r="U2402" t="str">
            <v/>
          </cell>
        </row>
        <row r="2403">
          <cell r="U2403" t="str">
            <v/>
          </cell>
        </row>
        <row r="2404">
          <cell r="U2404" t="str">
            <v/>
          </cell>
        </row>
        <row r="2405">
          <cell r="U2405" t="str">
            <v/>
          </cell>
        </row>
        <row r="2406">
          <cell r="U2406" t="str">
            <v/>
          </cell>
        </row>
        <row r="2407">
          <cell r="U2407" t="str">
            <v/>
          </cell>
        </row>
        <row r="2408">
          <cell r="U2408" t="str">
            <v/>
          </cell>
        </row>
        <row r="2409">
          <cell r="U2409" t="str">
            <v/>
          </cell>
        </row>
        <row r="2410">
          <cell r="U2410" t="str">
            <v/>
          </cell>
        </row>
        <row r="2411">
          <cell r="U2411" t="str">
            <v/>
          </cell>
        </row>
        <row r="2412">
          <cell r="U2412" t="str">
            <v/>
          </cell>
        </row>
        <row r="2413">
          <cell r="U2413" t="str">
            <v/>
          </cell>
        </row>
        <row r="2414">
          <cell r="U2414" t="str">
            <v/>
          </cell>
        </row>
        <row r="2415">
          <cell r="U2415" t="str">
            <v/>
          </cell>
        </row>
        <row r="2416">
          <cell r="U2416" t="str">
            <v/>
          </cell>
        </row>
        <row r="2417">
          <cell r="U2417" t="str">
            <v/>
          </cell>
        </row>
        <row r="2418">
          <cell r="U2418" t="str">
            <v/>
          </cell>
        </row>
        <row r="2419">
          <cell r="U2419" t="str">
            <v/>
          </cell>
        </row>
        <row r="2420">
          <cell r="U2420" t="str">
            <v/>
          </cell>
        </row>
        <row r="2421">
          <cell r="U2421" t="str">
            <v/>
          </cell>
        </row>
        <row r="2422">
          <cell r="U2422" t="str">
            <v/>
          </cell>
        </row>
        <row r="2423">
          <cell r="U2423" t="str">
            <v/>
          </cell>
        </row>
        <row r="2424">
          <cell r="U2424" t="str">
            <v/>
          </cell>
        </row>
        <row r="2425">
          <cell r="U2425" t="str">
            <v/>
          </cell>
        </row>
        <row r="2426">
          <cell r="U2426" t="str">
            <v/>
          </cell>
        </row>
        <row r="2427">
          <cell r="U2427" t="str">
            <v/>
          </cell>
        </row>
        <row r="2428">
          <cell r="U2428" t="str">
            <v/>
          </cell>
        </row>
        <row r="2429">
          <cell r="U2429" t="str">
            <v/>
          </cell>
        </row>
        <row r="2430">
          <cell r="U2430" t="str">
            <v/>
          </cell>
        </row>
        <row r="2431">
          <cell r="U2431" t="str">
            <v/>
          </cell>
        </row>
        <row r="2432">
          <cell r="U2432" t="str">
            <v/>
          </cell>
        </row>
        <row r="2433">
          <cell r="U2433" t="str">
            <v/>
          </cell>
        </row>
        <row r="2434">
          <cell r="U2434" t="str">
            <v/>
          </cell>
        </row>
        <row r="2435">
          <cell r="U2435" t="str">
            <v/>
          </cell>
        </row>
        <row r="2436">
          <cell r="U2436" t="str">
            <v/>
          </cell>
        </row>
        <row r="2437">
          <cell r="U2437" t="str">
            <v/>
          </cell>
        </row>
        <row r="2438">
          <cell r="U2438" t="str">
            <v/>
          </cell>
        </row>
        <row r="2439">
          <cell r="U2439" t="str">
            <v/>
          </cell>
        </row>
        <row r="2440">
          <cell r="U2440" t="str">
            <v/>
          </cell>
        </row>
        <row r="2441">
          <cell r="U2441" t="str">
            <v/>
          </cell>
        </row>
        <row r="2442">
          <cell r="U2442" t="str">
            <v/>
          </cell>
        </row>
        <row r="2443">
          <cell r="U2443" t="str">
            <v/>
          </cell>
        </row>
        <row r="2444">
          <cell r="U2444" t="str">
            <v/>
          </cell>
        </row>
        <row r="2445">
          <cell r="U2445" t="str">
            <v/>
          </cell>
        </row>
        <row r="2446">
          <cell r="U2446" t="str">
            <v/>
          </cell>
        </row>
        <row r="2447">
          <cell r="U2447" t="str">
            <v/>
          </cell>
        </row>
        <row r="2448">
          <cell r="U2448" t="str">
            <v/>
          </cell>
        </row>
        <row r="2449">
          <cell r="U2449" t="str">
            <v/>
          </cell>
        </row>
        <row r="2450">
          <cell r="U2450" t="str">
            <v/>
          </cell>
        </row>
        <row r="2451">
          <cell r="U2451" t="str">
            <v/>
          </cell>
        </row>
        <row r="2452">
          <cell r="U2452" t="str">
            <v/>
          </cell>
        </row>
        <row r="2453">
          <cell r="U2453" t="str">
            <v/>
          </cell>
        </row>
        <row r="2454">
          <cell r="U2454" t="str">
            <v/>
          </cell>
        </row>
        <row r="2455">
          <cell r="U2455" t="str">
            <v/>
          </cell>
        </row>
        <row r="2456">
          <cell r="U2456" t="str">
            <v/>
          </cell>
        </row>
        <row r="2457">
          <cell r="U2457" t="str">
            <v/>
          </cell>
        </row>
        <row r="2458">
          <cell r="U2458" t="str">
            <v/>
          </cell>
        </row>
        <row r="2459">
          <cell r="U2459" t="str">
            <v/>
          </cell>
        </row>
        <row r="2460">
          <cell r="U2460" t="str">
            <v/>
          </cell>
        </row>
        <row r="2461">
          <cell r="U2461" t="str">
            <v/>
          </cell>
        </row>
        <row r="2462">
          <cell r="U2462" t="str">
            <v/>
          </cell>
        </row>
        <row r="2463">
          <cell r="U2463" t="str">
            <v/>
          </cell>
        </row>
        <row r="2464">
          <cell r="U2464" t="str">
            <v/>
          </cell>
        </row>
        <row r="2465">
          <cell r="U2465" t="str">
            <v/>
          </cell>
        </row>
        <row r="2466">
          <cell r="U2466" t="str">
            <v/>
          </cell>
        </row>
        <row r="2467">
          <cell r="U2467" t="str">
            <v/>
          </cell>
        </row>
        <row r="2468">
          <cell r="U2468" t="str">
            <v/>
          </cell>
        </row>
        <row r="2469">
          <cell r="U2469" t="str">
            <v/>
          </cell>
        </row>
        <row r="2470">
          <cell r="U2470" t="str">
            <v/>
          </cell>
        </row>
        <row r="2471">
          <cell r="U2471" t="str">
            <v/>
          </cell>
        </row>
        <row r="2472">
          <cell r="U2472" t="str">
            <v/>
          </cell>
        </row>
        <row r="2473">
          <cell r="U2473" t="str">
            <v/>
          </cell>
        </row>
        <row r="2474">
          <cell r="U2474" t="str">
            <v/>
          </cell>
        </row>
        <row r="2475">
          <cell r="U2475" t="str">
            <v/>
          </cell>
        </row>
        <row r="2476">
          <cell r="U2476" t="str">
            <v/>
          </cell>
        </row>
        <row r="2477">
          <cell r="U2477" t="str">
            <v/>
          </cell>
        </row>
        <row r="2478">
          <cell r="U2478" t="str">
            <v/>
          </cell>
        </row>
        <row r="2479">
          <cell r="U2479" t="str">
            <v/>
          </cell>
        </row>
        <row r="2480">
          <cell r="U2480" t="str">
            <v/>
          </cell>
        </row>
        <row r="2481">
          <cell r="U2481" t="str">
            <v/>
          </cell>
        </row>
        <row r="2482">
          <cell r="U2482" t="str">
            <v/>
          </cell>
        </row>
        <row r="2483">
          <cell r="U2483" t="str">
            <v/>
          </cell>
        </row>
        <row r="2484">
          <cell r="U2484" t="str">
            <v/>
          </cell>
        </row>
        <row r="2485">
          <cell r="U2485" t="str">
            <v/>
          </cell>
        </row>
        <row r="2486">
          <cell r="U2486" t="str">
            <v/>
          </cell>
        </row>
        <row r="2487">
          <cell r="U2487" t="str">
            <v/>
          </cell>
        </row>
        <row r="2488">
          <cell r="U2488" t="str">
            <v/>
          </cell>
        </row>
        <row r="2489">
          <cell r="U2489" t="str">
            <v/>
          </cell>
        </row>
        <row r="2490">
          <cell r="U2490" t="str">
            <v/>
          </cell>
        </row>
        <row r="2491">
          <cell r="U2491" t="str">
            <v/>
          </cell>
        </row>
        <row r="2492">
          <cell r="U2492" t="str">
            <v/>
          </cell>
        </row>
        <row r="2493">
          <cell r="U2493" t="str">
            <v/>
          </cell>
        </row>
        <row r="2494">
          <cell r="U2494" t="str">
            <v/>
          </cell>
        </row>
        <row r="2495">
          <cell r="U2495" t="str">
            <v/>
          </cell>
        </row>
        <row r="2496">
          <cell r="U2496" t="str">
            <v/>
          </cell>
        </row>
        <row r="2497">
          <cell r="U2497" t="str">
            <v/>
          </cell>
        </row>
        <row r="2498">
          <cell r="U2498" t="str">
            <v/>
          </cell>
        </row>
        <row r="2499">
          <cell r="U2499" t="str">
            <v/>
          </cell>
        </row>
        <row r="2500">
          <cell r="U2500" t="str">
            <v/>
          </cell>
        </row>
        <row r="2501">
          <cell r="U2501" t="str">
            <v/>
          </cell>
        </row>
        <row r="2502">
          <cell r="U2502" t="str">
            <v/>
          </cell>
        </row>
        <row r="2503">
          <cell r="U2503" t="str">
            <v/>
          </cell>
        </row>
        <row r="2504">
          <cell r="U2504" t="str">
            <v/>
          </cell>
        </row>
        <row r="2505">
          <cell r="U2505" t="str">
            <v/>
          </cell>
        </row>
        <row r="2506">
          <cell r="U2506" t="str">
            <v/>
          </cell>
        </row>
        <row r="2507">
          <cell r="U2507" t="str">
            <v/>
          </cell>
        </row>
        <row r="2508">
          <cell r="U2508" t="str">
            <v/>
          </cell>
        </row>
        <row r="2509">
          <cell r="U2509" t="str">
            <v/>
          </cell>
        </row>
        <row r="2510">
          <cell r="U2510" t="str">
            <v/>
          </cell>
        </row>
        <row r="2511">
          <cell r="U2511" t="str">
            <v/>
          </cell>
        </row>
        <row r="2512">
          <cell r="U2512" t="str">
            <v/>
          </cell>
        </row>
        <row r="2513">
          <cell r="U2513" t="str">
            <v/>
          </cell>
        </row>
        <row r="2514">
          <cell r="U2514" t="str">
            <v/>
          </cell>
        </row>
        <row r="2515">
          <cell r="U2515" t="str">
            <v/>
          </cell>
        </row>
        <row r="2516">
          <cell r="U2516" t="str">
            <v/>
          </cell>
        </row>
        <row r="2517">
          <cell r="U2517" t="str">
            <v/>
          </cell>
        </row>
        <row r="2518">
          <cell r="U2518" t="str">
            <v/>
          </cell>
        </row>
        <row r="2519">
          <cell r="U2519" t="str">
            <v/>
          </cell>
        </row>
        <row r="2520">
          <cell r="U2520" t="str">
            <v/>
          </cell>
        </row>
        <row r="2521">
          <cell r="U2521" t="str">
            <v/>
          </cell>
        </row>
        <row r="2522">
          <cell r="U2522" t="str">
            <v/>
          </cell>
        </row>
        <row r="2523">
          <cell r="U2523" t="str">
            <v/>
          </cell>
        </row>
        <row r="2524">
          <cell r="U2524" t="str">
            <v/>
          </cell>
        </row>
        <row r="2525">
          <cell r="U2525" t="str">
            <v/>
          </cell>
        </row>
        <row r="2526">
          <cell r="U2526" t="str">
            <v/>
          </cell>
        </row>
        <row r="2527">
          <cell r="U2527" t="str">
            <v/>
          </cell>
        </row>
        <row r="2528">
          <cell r="U2528" t="str">
            <v/>
          </cell>
        </row>
        <row r="2529">
          <cell r="U2529" t="str">
            <v/>
          </cell>
        </row>
        <row r="2530">
          <cell r="U2530" t="str">
            <v/>
          </cell>
        </row>
        <row r="2531">
          <cell r="U2531" t="str">
            <v/>
          </cell>
        </row>
        <row r="2532">
          <cell r="U2532" t="str">
            <v/>
          </cell>
        </row>
        <row r="2533">
          <cell r="U2533" t="str">
            <v/>
          </cell>
        </row>
        <row r="2534">
          <cell r="U2534" t="str">
            <v/>
          </cell>
        </row>
        <row r="2535">
          <cell r="U2535" t="str">
            <v/>
          </cell>
        </row>
        <row r="2536">
          <cell r="U2536" t="str">
            <v/>
          </cell>
        </row>
        <row r="2537">
          <cell r="U2537" t="str">
            <v/>
          </cell>
        </row>
        <row r="2538">
          <cell r="U2538" t="str">
            <v/>
          </cell>
        </row>
        <row r="2539">
          <cell r="U2539" t="str">
            <v/>
          </cell>
        </row>
        <row r="2540">
          <cell r="U2540" t="str">
            <v/>
          </cell>
        </row>
        <row r="2541">
          <cell r="U2541" t="str">
            <v/>
          </cell>
        </row>
        <row r="2542">
          <cell r="U2542" t="str">
            <v/>
          </cell>
        </row>
        <row r="2543">
          <cell r="U2543" t="str">
            <v/>
          </cell>
        </row>
        <row r="2544">
          <cell r="U2544" t="str">
            <v/>
          </cell>
        </row>
        <row r="2545">
          <cell r="U2545" t="str">
            <v/>
          </cell>
        </row>
        <row r="2546">
          <cell r="U2546" t="str">
            <v/>
          </cell>
        </row>
        <row r="2547">
          <cell r="U2547" t="str">
            <v/>
          </cell>
        </row>
        <row r="2548">
          <cell r="U2548" t="str">
            <v/>
          </cell>
        </row>
        <row r="2549">
          <cell r="U2549" t="str">
            <v/>
          </cell>
        </row>
        <row r="2550">
          <cell r="U2550" t="str">
            <v/>
          </cell>
        </row>
        <row r="2551">
          <cell r="U2551" t="str">
            <v/>
          </cell>
        </row>
        <row r="2552">
          <cell r="U2552" t="str">
            <v/>
          </cell>
        </row>
        <row r="2553">
          <cell r="U2553" t="str">
            <v/>
          </cell>
        </row>
        <row r="2554">
          <cell r="U2554" t="str">
            <v/>
          </cell>
        </row>
        <row r="2555">
          <cell r="U2555" t="str">
            <v/>
          </cell>
        </row>
        <row r="2556">
          <cell r="U2556" t="str">
            <v/>
          </cell>
        </row>
        <row r="2557">
          <cell r="U2557" t="str">
            <v/>
          </cell>
        </row>
        <row r="2558">
          <cell r="U2558" t="str">
            <v/>
          </cell>
        </row>
        <row r="2559">
          <cell r="U2559" t="str">
            <v/>
          </cell>
        </row>
        <row r="2560">
          <cell r="U2560" t="str">
            <v/>
          </cell>
        </row>
        <row r="2561">
          <cell r="U2561" t="str">
            <v/>
          </cell>
        </row>
        <row r="2562">
          <cell r="U2562" t="str">
            <v/>
          </cell>
        </row>
        <row r="2563">
          <cell r="U2563" t="str">
            <v/>
          </cell>
        </row>
        <row r="2564">
          <cell r="U2564" t="str">
            <v/>
          </cell>
        </row>
        <row r="2565">
          <cell r="U2565" t="str">
            <v/>
          </cell>
        </row>
        <row r="2566">
          <cell r="U2566" t="str">
            <v/>
          </cell>
        </row>
        <row r="2567">
          <cell r="U2567" t="str">
            <v/>
          </cell>
        </row>
        <row r="2568">
          <cell r="U2568" t="str">
            <v/>
          </cell>
        </row>
        <row r="2569">
          <cell r="U2569" t="str">
            <v/>
          </cell>
        </row>
        <row r="2570">
          <cell r="U2570" t="str">
            <v/>
          </cell>
        </row>
        <row r="2571">
          <cell r="U2571" t="str">
            <v/>
          </cell>
        </row>
        <row r="2572">
          <cell r="U2572" t="str">
            <v/>
          </cell>
        </row>
        <row r="2573">
          <cell r="U2573" t="str">
            <v/>
          </cell>
        </row>
        <row r="2574">
          <cell r="U2574" t="str">
            <v/>
          </cell>
        </row>
        <row r="2575">
          <cell r="U2575" t="str">
            <v/>
          </cell>
        </row>
        <row r="2576">
          <cell r="U2576" t="str">
            <v/>
          </cell>
        </row>
        <row r="2577">
          <cell r="U2577" t="str">
            <v/>
          </cell>
        </row>
        <row r="2578">
          <cell r="U2578" t="str">
            <v/>
          </cell>
        </row>
        <row r="2579">
          <cell r="U2579" t="str">
            <v/>
          </cell>
        </row>
        <row r="2580">
          <cell r="U2580" t="str">
            <v/>
          </cell>
        </row>
        <row r="2581">
          <cell r="U2581" t="str">
            <v/>
          </cell>
        </row>
        <row r="2582">
          <cell r="U2582" t="str">
            <v/>
          </cell>
        </row>
        <row r="2583">
          <cell r="U2583" t="str">
            <v/>
          </cell>
        </row>
        <row r="2584">
          <cell r="U2584" t="str">
            <v/>
          </cell>
        </row>
        <row r="2585">
          <cell r="U2585" t="str">
            <v/>
          </cell>
        </row>
        <row r="2586">
          <cell r="U2586" t="str">
            <v/>
          </cell>
        </row>
        <row r="2587">
          <cell r="U2587" t="str">
            <v/>
          </cell>
        </row>
        <row r="2588">
          <cell r="U2588" t="str">
            <v/>
          </cell>
        </row>
        <row r="2589">
          <cell r="U2589" t="str">
            <v/>
          </cell>
        </row>
        <row r="2590">
          <cell r="U2590" t="str">
            <v/>
          </cell>
        </row>
        <row r="2591">
          <cell r="U2591" t="str">
            <v/>
          </cell>
        </row>
        <row r="2592">
          <cell r="U2592" t="str">
            <v/>
          </cell>
        </row>
        <row r="2593">
          <cell r="U2593" t="str">
            <v/>
          </cell>
        </row>
        <row r="2594">
          <cell r="U2594" t="str">
            <v/>
          </cell>
        </row>
        <row r="2595">
          <cell r="U2595" t="str">
            <v/>
          </cell>
        </row>
        <row r="2596">
          <cell r="U2596" t="str">
            <v/>
          </cell>
        </row>
        <row r="2597">
          <cell r="U2597" t="str">
            <v/>
          </cell>
        </row>
        <row r="2598">
          <cell r="U2598" t="str">
            <v/>
          </cell>
        </row>
        <row r="2599">
          <cell r="U2599" t="str">
            <v/>
          </cell>
        </row>
        <row r="2600">
          <cell r="U2600" t="str">
            <v/>
          </cell>
        </row>
        <row r="2601">
          <cell r="U2601" t="str">
            <v/>
          </cell>
        </row>
        <row r="2602">
          <cell r="U2602" t="str">
            <v/>
          </cell>
        </row>
        <row r="2603">
          <cell r="U2603" t="str">
            <v/>
          </cell>
        </row>
        <row r="2604">
          <cell r="U2604" t="str">
            <v/>
          </cell>
        </row>
        <row r="2605">
          <cell r="U2605" t="str">
            <v/>
          </cell>
        </row>
        <row r="2606">
          <cell r="U2606" t="str">
            <v/>
          </cell>
        </row>
        <row r="2607">
          <cell r="U2607" t="str">
            <v/>
          </cell>
        </row>
        <row r="2608">
          <cell r="U2608" t="str">
            <v/>
          </cell>
        </row>
        <row r="2609">
          <cell r="U2609" t="str">
            <v/>
          </cell>
        </row>
        <row r="2610">
          <cell r="U2610" t="str">
            <v/>
          </cell>
        </row>
        <row r="2611">
          <cell r="U2611" t="str">
            <v/>
          </cell>
        </row>
        <row r="2612">
          <cell r="U2612" t="str">
            <v/>
          </cell>
        </row>
        <row r="2613">
          <cell r="U2613" t="str">
            <v/>
          </cell>
        </row>
        <row r="2614">
          <cell r="U2614" t="str">
            <v/>
          </cell>
        </row>
        <row r="2615">
          <cell r="U2615" t="str">
            <v/>
          </cell>
        </row>
        <row r="2616">
          <cell r="U2616" t="str">
            <v/>
          </cell>
        </row>
        <row r="2617">
          <cell r="U2617" t="str">
            <v/>
          </cell>
        </row>
        <row r="2618">
          <cell r="U2618" t="str">
            <v/>
          </cell>
        </row>
        <row r="2619">
          <cell r="U2619" t="str">
            <v/>
          </cell>
        </row>
        <row r="2620">
          <cell r="U2620" t="str">
            <v/>
          </cell>
        </row>
        <row r="2621">
          <cell r="U2621" t="str">
            <v/>
          </cell>
        </row>
        <row r="2622">
          <cell r="U2622" t="str">
            <v/>
          </cell>
        </row>
        <row r="2623">
          <cell r="U2623" t="str">
            <v/>
          </cell>
        </row>
        <row r="2624">
          <cell r="U2624" t="str">
            <v/>
          </cell>
        </row>
        <row r="2625">
          <cell r="U2625" t="str">
            <v/>
          </cell>
        </row>
        <row r="2626">
          <cell r="U2626" t="str">
            <v/>
          </cell>
        </row>
        <row r="2627">
          <cell r="U2627" t="str">
            <v/>
          </cell>
        </row>
        <row r="2628">
          <cell r="U2628" t="str">
            <v/>
          </cell>
        </row>
        <row r="2629">
          <cell r="U2629" t="str">
            <v/>
          </cell>
        </row>
        <row r="2630">
          <cell r="U2630" t="str">
            <v/>
          </cell>
        </row>
        <row r="2631">
          <cell r="U2631" t="str">
            <v/>
          </cell>
        </row>
        <row r="2632">
          <cell r="U2632" t="str">
            <v/>
          </cell>
        </row>
        <row r="2633">
          <cell r="U2633" t="str">
            <v/>
          </cell>
        </row>
        <row r="2634">
          <cell r="U2634" t="str">
            <v/>
          </cell>
        </row>
        <row r="2635">
          <cell r="U2635" t="str">
            <v/>
          </cell>
        </row>
        <row r="2636">
          <cell r="U2636" t="str">
            <v/>
          </cell>
        </row>
        <row r="2637">
          <cell r="U2637" t="str">
            <v/>
          </cell>
        </row>
        <row r="2638">
          <cell r="U2638" t="str">
            <v/>
          </cell>
        </row>
        <row r="2639">
          <cell r="U2639" t="str">
            <v/>
          </cell>
        </row>
        <row r="2640">
          <cell r="U2640" t="str">
            <v/>
          </cell>
        </row>
        <row r="2641">
          <cell r="U2641" t="str">
            <v/>
          </cell>
        </row>
        <row r="2642">
          <cell r="U2642" t="str">
            <v/>
          </cell>
        </row>
        <row r="2643">
          <cell r="U2643" t="str">
            <v/>
          </cell>
        </row>
        <row r="2644">
          <cell r="U2644" t="str">
            <v/>
          </cell>
        </row>
        <row r="2645">
          <cell r="U2645" t="str">
            <v/>
          </cell>
        </row>
        <row r="2646">
          <cell r="U2646" t="str">
            <v/>
          </cell>
        </row>
        <row r="2647">
          <cell r="U2647" t="str">
            <v/>
          </cell>
        </row>
        <row r="2648">
          <cell r="U2648" t="str">
            <v/>
          </cell>
        </row>
        <row r="2649">
          <cell r="U2649" t="str">
            <v/>
          </cell>
        </row>
        <row r="2650">
          <cell r="U2650" t="str">
            <v/>
          </cell>
        </row>
        <row r="2651">
          <cell r="U2651" t="str">
            <v/>
          </cell>
        </row>
        <row r="2652">
          <cell r="U2652" t="str">
            <v/>
          </cell>
        </row>
        <row r="2653">
          <cell r="U2653" t="str">
            <v/>
          </cell>
        </row>
        <row r="2654">
          <cell r="U2654" t="str">
            <v/>
          </cell>
        </row>
        <row r="2655">
          <cell r="U2655" t="str">
            <v/>
          </cell>
        </row>
        <row r="2656">
          <cell r="U2656" t="str">
            <v/>
          </cell>
        </row>
        <row r="2657">
          <cell r="U2657" t="str">
            <v/>
          </cell>
        </row>
        <row r="2658">
          <cell r="U2658" t="str">
            <v/>
          </cell>
        </row>
        <row r="2659">
          <cell r="U2659" t="str">
            <v/>
          </cell>
        </row>
        <row r="2660">
          <cell r="U2660" t="str">
            <v/>
          </cell>
        </row>
        <row r="2661">
          <cell r="U2661" t="str">
            <v/>
          </cell>
        </row>
        <row r="2662">
          <cell r="U2662" t="str">
            <v/>
          </cell>
        </row>
        <row r="2663">
          <cell r="U2663" t="str">
            <v/>
          </cell>
        </row>
        <row r="2664">
          <cell r="U2664" t="str">
            <v/>
          </cell>
        </row>
        <row r="2665">
          <cell r="U2665" t="str">
            <v/>
          </cell>
        </row>
        <row r="2666">
          <cell r="U2666" t="str">
            <v/>
          </cell>
        </row>
        <row r="2667">
          <cell r="U2667" t="str">
            <v/>
          </cell>
        </row>
        <row r="2668">
          <cell r="U2668" t="str">
            <v/>
          </cell>
        </row>
        <row r="2669">
          <cell r="U2669" t="str">
            <v/>
          </cell>
        </row>
        <row r="2670">
          <cell r="U2670" t="str">
            <v/>
          </cell>
        </row>
        <row r="2671">
          <cell r="U2671" t="str">
            <v/>
          </cell>
        </row>
        <row r="2672">
          <cell r="U2672" t="str">
            <v/>
          </cell>
        </row>
        <row r="2673">
          <cell r="U2673" t="str">
            <v/>
          </cell>
        </row>
        <row r="2674">
          <cell r="U2674" t="str">
            <v/>
          </cell>
        </row>
        <row r="2675">
          <cell r="U2675" t="str">
            <v/>
          </cell>
        </row>
        <row r="2676">
          <cell r="U2676" t="str">
            <v/>
          </cell>
        </row>
        <row r="2677">
          <cell r="U2677" t="str">
            <v/>
          </cell>
        </row>
        <row r="2678">
          <cell r="U2678" t="str">
            <v/>
          </cell>
        </row>
        <row r="2679">
          <cell r="U2679" t="str">
            <v/>
          </cell>
        </row>
        <row r="2680">
          <cell r="U2680" t="str">
            <v/>
          </cell>
        </row>
        <row r="2681">
          <cell r="U2681" t="str">
            <v/>
          </cell>
        </row>
        <row r="2682">
          <cell r="U2682" t="str">
            <v/>
          </cell>
        </row>
        <row r="2683">
          <cell r="U2683" t="str">
            <v/>
          </cell>
        </row>
        <row r="2684">
          <cell r="U2684" t="str">
            <v/>
          </cell>
        </row>
        <row r="2685">
          <cell r="U2685" t="str">
            <v/>
          </cell>
        </row>
        <row r="2686">
          <cell r="U2686" t="str">
            <v/>
          </cell>
        </row>
        <row r="2687">
          <cell r="U2687" t="str">
            <v/>
          </cell>
        </row>
        <row r="2688">
          <cell r="U2688" t="str">
            <v/>
          </cell>
        </row>
        <row r="2689">
          <cell r="U2689" t="str">
            <v/>
          </cell>
        </row>
        <row r="2690">
          <cell r="U2690" t="str">
            <v/>
          </cell>
        </row>
        <row r="2691">
          <cell r="U2691" t="str">
            <v/>
          </cell>
        </row>
        <row r="2692">
          <cell r="U2692" t="str">
            <v/>
          </cell>
        </row>
        <row r="2693">
          <cell r="U2693" t="str">
            <v/>
          </cell>
        </row>
        <row r="2694">
          <cell r="U2694" t="str">
            <v/>
          </cell>
        </row>
        <row r="2695">
          <cell r="U2695" t="str">
            <v/>
          </cell>
        </row>
        <row r="2696">
          <cell r="U2696" t="str">
            <v/>
          </cell>
        </row>
        <row r="2697">
          <cell r="U2697" t="str">
            <v/>
          </cell>
        </row>
        <row r="2698">
          <cell r="U2698" t="str">
            <v/>
          </cell>
        </row>
        <row r="2699">
          <cell r="U2699" t="str">
            <v/>
          </cell>
        </row>
        <row r="2700">
          <cell r="U2700" t="str">
            <v/>
          </cell>
        </row>
        <row r="2701">
          <cell r="U2701" t="str">
            <v/>
          </cell>
        </row>
        <row r="2702">
          <cell r="U2702" t="str">
            <v/>
          </cell>
        </row>
        <row r="2703">
          <cell r="U2703" t="str">
            <v/>
          </cell>
        </row>
        <row r="2704">
          <cell r="U2704" t="str">
            <v/>
          </cell>
        </row>
        <row r="2705">
          <cell r="U2705" t="str">
            <v/>
          </cell>
        </row>
        <row r="2706">
          <cell r="U2706" t="str">
            <v/>
          </cell>
        </row>
        <row r="2707">
          <cell r="U2707" t="str">
            <v/>
          </cell>
        </row>
        <row r="2708">
          <cell r="U2708" t="str">
            <v/>
          </cell>
        </row>
        <row r="2709">
          <cell r="U2709" t="str">
            <v/>
          </cell>
        </row>
        <row r="2710">
          <cell r="U2710" t="str">
            <v/>
          </cell>
        </row>
        <row r="2711">
          <cell r="U2711" t="str">
            <v/>
          </cell>
        </row>
        <row r="2712">
          <cell r="U2712" t="str">
            <v/>
          </cell>
        </row>
        <row r="2713">
          <cell r="U2713" t="str">
            <v/>
          </cell>
        </row>
        <row r="2714">
          <cell r="U2714" t="str">
            <v/>
          </cell>
        </row>
        <row r="2715">
          <cell r="U2715" t="str">
            <v/>
          </cell>
        </row>
        <row r="2716">
          <cell r="U2716" t="str">
            <v/>
          </cell>
        </row>
        <row r="2717">
          <cell r="U2717" t="str">
            <v/>
          </cell>
        </row>
        <row r="2718">
          <cell r="U2718" t="str">
            <v/>
          </cell>
        </row>
        <row r="2719">
          <cell r="U2719" t="str">
            <v/>
          </cell>
        </row>
        <row r="2720">
          <cell r="U2720" t="str">
            <v/>
          </cell>
        </row>
        <row r="2721">
          <cell r="U2721" t="str">
            <v/>
          </cell>
        </row>
        <row r="2722">
          <cell r="U2722" t="str">
            <v/>
          </cell>
        </row>
        <row r="2723">
          <cell r="U2723" t="str">
            <v/>
          </cell>
        </row>
        <row r="2724">
          <cell r="U2724" t="str">
            <v/>
          </cell>
        </row>
        <row r="2725">
          <cell r="U2725" t="str">
            <v/>
          </cell>
        </row>
        <row r="2726">
          <cell r="U2726" t="str">
            <v/>
          </cell>
        </row>
        <row r="2727">
          <cell r="U2727" t="str">
            <v/>
          </cell>
        </row>
        <row r="2728">
          <cell r="U2728" t="str">
            <v/>
          </cell>
        </row>
        <row r="2729">
          <cell r="U2729" t="str">
            <v/>
          </cell>
        </row>
        <row r="2730">
          <cell r="U2730" t="str">
            <v/>
          </cell>
        </row>
        <row r="2731">
          <cell r="U2731" t="str">
            <v/>
          </cell>
        </row>
        <row r="2732">
          <cell r="U2732" t="str">
            <v/>
          </cell>
        </row>
        <row r="2733">
          <cell r="U2733" t="str">
            <v/>
          </cell>
        </row>
        <row r="2734">
          <cell r="U2734" t="str">
            <v/>
          </cell>
        </row>
        <row r="2735">
          <cell r="U2735" t="str">
            <v/>
          </cell>
        </row>
        <row r="2736">
          <cell r="U2736" t="str">
            <v/>
          </cell>
        </row>
        <row r="2737">
          <cell r="U2737" t="str">
            <v/>
          </cell>
        </row>
        <row r="2738">
          <cell r="U2738" t="str">
            <v/>
          </cell>
        </row>
        <row r="2739">
          <cell r="U2739" t="str">
            <v/>
          </cell>
        </row>
        <row r="2740">
          <cell r="U2740" t="str">
            <v/>
          </cell>
        </row>
        <row r="2741">
          <cell r="U2741" t="str">
            <v/>
          </cell>
        </row>
        <row r="2742">
          <cell r="U2742" t="str">
            <v/>
          </cell>
        </row>
        <row r="2743">
          <cell r="U2743" t="str">
            <v/>
          </cell>
        </row>
        <row r="2744">
          <cell r="U2744" t="str">
            <v/>
          </cell>
        </row>
        <row r="2745">
          <cell r="U2745" t="str">
            <v/>
          </cell>
        </row>
        <row r="2746">
          <cell r="U2746" t="str">
            <v/>
          </cell>
        </row>
        <row r="2747">
          <cell r="U2747" t="str">
            <v/>
          </cell>
        </row>
        <row r="2748">
          <cell r="U2748" t="str">
            <v/>
          </cell>
        </row>
        <row r="2749">
          <cell r="U2749" t="str">
            <v/>
          </cell>
        </row>
        <row r="2750">
          <cell r="U2750" t="str">
            <v/>
          </cell>
        </row>
        <row r="2751">
          <cell r="U2751" t="str">
            <v/>
          </cell>
        </row>
        <row r="2752">
          <cell r="U2752" t="str">
            <v/>
          </cell>
        </row>
        <row r="2753">
          <cell r="U2753" t="str">
            <v/>
          </cell>
        </row>
        <row r="2754">
          <cell r="U2754" t="str">
            <v/>
          </cell>
        </row>
        <row r="2755">
          <cell r="U2755" t="str">
            <v/>
          </cell>
        </row>
        <row r="2756">
          <cell r="U2756" t="str">
            <v/>
          </cell>
        </row>
        <row r="2757">
          <cell r="U2757" t="str">
            <v/>
          </cell>
        </row>
        <row r="2758">
          <cell r="U2758" t="str">
            <v/>
          </cell>
        </row>
        <row r="2759">
          <cell r="U2759" t="str">
            <v/>
          </cell>
        </row>
        <row r="2760">
          <cell r="U2760" t="str">
            <v/>
          </cell>
        </row>
        <row r="2761">
          <cell r="U2761" t="str">
            <v/>
          </cell>
        </row>
        <row r="2762">
          <cell r="U2762" t="str">
            <v/>
          </cell>
        </row>
        <row r="2763">
          <cell r="U2763" t="str">
            <v/>
          </cell>
        </row>
        <row r="2764">
          <cell r="U2764" t="str">
            <v/>
          </cell>
        </row>
        <row r="2765">
          <cell r="U2765" t="str">
            <v/>
          </cell>
        </row>
        <row r="2766">
          <cell r="U2766" t="str">
            <v/>
          </cell>
        </row>
        <row r="2767">
          <cell r="U2767" t="str">
            <v/>
          </cell>
        </row>
        <row r="2768">
          <cell r="U2768" t="str">
            <v/>
          </cell>
        </row>
        <row r="2769">
          <cell r="U2769" t="str">
            <v/>
          </cell>
        </row>
        <row r="2770">
          <cell r="U2770" t="str">
            <v/>
          </cell>
        </row>
        <row r="2771">
          <cell r="U2771" t="str">
            <v/>
          </cell>
        </row>
        <row r="2772">
          <cell r="U2772" t="str">
            <v/>
          </cell>
        </row>
        <row r="2773">
          <cell r="U2773" t="str">
            <v/>
          </cell>
        </row>
        <row r="2774">
          <cell r="U2774" t="str">
            <v/>
          </cell>
        </row>
        <row r="2775">
          <cell r="U2775" t="str">
            <v/>
          </cell>
        </row>
        <row r="2776">
          <cell r="U2776" t="str">
            <v/>
          </cell>
        </row>
        <row r="2777">
          <cell r="U2777" t="str">
            <v/>
          </cell>
        </row>
        <row r="2778">
          <cell r="U2778" t="str">
            <v/>
          </cell>
        </row>
        <row r="2779">
          <cell r="U2779" t="str">
            <v/>
          </cell>
        </row>
        <row r="2780">
          <cell r="U2780" t="str">
            <v/>
          </cell>
        </row>
        <row r="2781">
          <cell r="U2781" t="str">
            <v/>
          </cell>
        </row>
        <row r="2782">
          <cell r="U2782" t="str">
            <v/>
          </cell>
        </row>
        <row r="2783">
          <cell r="U2783" t="str">
            <v/>
          </cell>
        </row>
        <row r="2784">
          <cell r="U2784" t="str">
            <v/>
          </cell>
        </row>
        <row r="2785">
          <cell r="U2785" t="str">
            <v/>
          </cell>
        </row>
        <row r="2786">
          <cell r="U2786" t="str">
            <v/>
          </cell>
        </row>
        <row r="2787">
          <cell r="U2787" t="str">
            <v/>
          </cell>
        </row>
        <row r="2788">
          <cell r="U2788" t="str">
            <v/>
          </cell>
        </row>
        <row r="2789">
          <cell r="U2789" t="str">
            <v/>
          </cell>
        </row>
        <row r="2790">
          <cell r="U2790" t="str">
            <v/>
          </cell>
        </row>
        <row r="2791">
          <cell r="U2791" t="str">
            <v/>
          </cell>
        </row>
        <row r="2792">
          <cell r="U2792" t="str">
            <v/>
          </cell>
        </row>
        <row r="2793">
          <cell r="U2793" t="str">
            <v/>
          </cell>
        </row>
        <row r="2794">
          <cell r="U2794" t="str">
            <v/>
          </cell>
        </row>
        <row r="2795">
          <cell r="U2795" t="str">
            <v/>
          </cell>
        </row>
        <row r="2796">
          <cell r="U2796" t="str">
            <v/>
          </cell>
        </row>
        <row r="2797">
          <cell r="U2797" t="str">
            <v/>
          </cell>
        </row>
        <row r="2798">
          <cell r="U2798" t="str">
            <v/>
          </cell>
        </row>
        <row r="2799">
          <cell r="U2799" t="str">
            <v/>
          </cell>
        </row>
        <row r="2800">
          <cell r="U2800" t="str">
            <v/>
          </cell>
        </row>
        <row r="2801">
          <cell r="U2801" t="str">
            <v/>
          </cell>
        </row>
        <row r="2802">
          <cell r="U2802" t="str">
            <v/>
          </cell>
        </row>
        <row r="2803">
          <cell r="U2803" t="str">
            <v/>
          </cell>
        </row>
        <row r="2804">
          <cell r="U2804" t="str">
            <v/>
          </cell>
        </row>
        <row r="2805">
          <cell r="U2805" t="str">
            <v/>
          </cell>
        </row>
        <row r="2806">
          <cell r="U2806" t="str">
            <v/>
          </cell>
        </row>
        <row r="2807">
          <cell r="U2807" t="str">
            <v/>
          </cell>
        </row>
        <row r="2808">
          <cell r="U2808" t="str">
            <v/>
          </cell>
        </row>
        <row r="2809">
          <cell r="U2809" t="str">
            <v/>
          </cell>
        </row>
        <row r="2810">
          <cell r="U2810" t="str">
            <v/>
          </cell>
        </row>
        <row r="2811">
          <cell r="U2811" t="str">
            <v/>
          </cell>
        </row>
        <row r="2812">
          <cell r="U2812" t="str">
            <v/>
          </cell>
        </row>
        <row r="2813">
          <cell r="U2813" t="str">
            <v/>
          </cell>
        </row>
        <row r="2814">
          <cell r="U2814" t="str">
            <v/>
          </cell>
        </row>
        <row r="2815">
          <cell r="U2815" t="str">
            <v/>
          </cell>
        </row>
        <row r="2816">
          <cell r="U2816" t="str">
            <v/>
          </cell>
        </row>
        <row r="2817">
          <cell r="U2817" t="str">
            <v/>
          </cell>
        </row>
        <row r="2818">
          <cell r="U2818" t="str">
            <v/>
          </cell>
        </row>
        <row r="2819">
          <cell r="U2819" t="str">
            <v/>
          </cell>
        </row>
        <row r="2820">
          <cell r="U2820" t="str">
            <v/>
          </cell>
        </row>
        <row r="2821">
          <cell r="U2821" t="str">
            <v/>
          </cell>
        </row>
        <row r="2822">
          <cell r="U2822" t="str">
            <v/>
          </cell>
        </row>
        <row r="2823">
          <cell r="U2823" t="str">
            <v/>
          </cell>
        </row>
        <row r="2824">
          <cell r="U2824" t="str">
            <v/>
          </cell>
        </row>
        <row r="2825">
          <cell r="U2825" t="str">
            <v/>
          </cell>
        </row>
        <row r="2826">
          <cell r="U2826" t="str">
            <v/>
          </cell>
        </row>
        <row r="2827">
          <cell r="U2827" t="str">
            <v/>
          </cell>
        </row>
        <row r="2828">
          <cell r="U2828" t="str">
            <v/>
          </cell>
        </row>
        <row r="2829">
          <cell r="U2829" t="str">
            <v/>
          </cell>
        </row>
        <row r="2830">
          <cell r="U2830" t="str">
            <v/>
          </cell>
        </row>
        <row r="2831">
          <cell r="U2831" t="str">
            <v/>
          </cell>
        </row>
        <row r="2832">
          <cell r="U2832" t="str">
            <v/>
          </cell>
        </row>
        <row r="2833">
          <cell r="U2833" t="str">
            <v/>
          </cell>
        </row>
        <row r="2834">
          <cell r="U2834" t="str">
            <v/>
          </cell>
        </row>
        <row r="2835">
          <cell r="U2835" t="str">
            <v/>
          </cell>
        </row>
        <row r="2836">
          <cell r="U2836" t="str">
            <v/>
          </cell>
        </row>
        <row r="2837">
          <cell r="U2837" t="str">
            <v/>
          </cell>
        </row>
        <row r="2838">
          <cell r="U2838" t="str">
            <v/>
          </cell>
        </row>
        <row r="2839">
          <cell r="U2839" t="str">
            <v/>
          </cell>
        </row>
        <row r="2840">
          <cell r="U2840" t="str">
            <v/>
          </cell>
        </row>
        <row r="2841">
          <cell r="U2841" t="str">
            <v/>
          </cell>
        </row>
        <row r="2842">
          <cell r="U2842" t="str">
            <v/>
          </cell>
        </row>
        <row r="2843">
          <cell r="U2843" t="str">
            <v/>
          </cell>
        </row>
        <row r="2844">
          <cell r="U2844" t="str">
            <v/>
          </cell>
        </row>
        <row r="2845">
          <cell r="U2845" t="str">
            <v/>
          </cell>
        </row>
        <row r="2846">
          <cell r="U2846" t="str">
            <v/>
          </cell>
        </row>
        <row r="2847">
          <cell r="U2847" t="str">
            <v/>
          </cell>
        </row>
        <row r="2848">
          <cell r="U2848" t="str">
            <v/>
          </cell>
        </row>
        <row r="2849">
          <cell r="U2849" t="str">
            <v/>
          </cell>
        </row>
        <row r="2850">
          <cell r="U2850" t="str">
            <v/>
          </cell>
        </row>
        <row r="2851">
          <cell r="U2851" t="str">
            <v/>
          </cell>
        </row>
        <row r="2852">
          <cell r="U2852" t="str">
            <v/>
          </cell>
        </row>
        <row r="2853">
          <cell r="U2853" t="str">
            <v/>
          </cell>
        </row>
        <row r="2854">
          <cell r="U2854" t="str">
            <v/>
          </cell>
        </row>
        <row r="2855">
          <cell r="U2855" t="str">
            <v/>
          </cell>
        </row>
        <row r="2856">
          <cell r="U2856" t="str">
            <v/>
          </cell>
        </row>
        <row r="2857">
          <cell r="U2857" t="str">
            <v/>
          </cell>
        </row>
        <row r="2858">
          <cell r="U2858" t="str">
            <v/>
          </cell>
        </row>
        <row r="2859">
          <cell r="U2859" t="str">
            <v/>
          </cell>
        </row>
        <row r="2860">
          <cell r="U2860" t="str">
            <v/>
          </cell>
        </row>
        <row r="2861">
          <cell r="U2861" t="str">
            <v/>
          </cell>
        </row>
        <row r="2862">
          <cell r="U2862" t="str">
            <v/>
          </cell>
        </row>
        <row r="2863">
          <cell r="U2863" t="str">
            <v/>
          </cell>
        </row>
        <row r="2864">
          <cell r="U2864" t="str">
            <v/>
          </cell>
        </row>
        <row r="2865">
          <cell r="U2865" t="str">
            <v/>
          </cell>
        </row>
        <row r="2866">
          <cell r="U2866" t="str">
            <v/>
          </cell>
        </row>
        <row r="2867">
          <cell r="U2867" t="str">
            <v/>
          </cell>
        </row>
        <row r="2868">
          <cell r="U2868" t="str">
            <v/>
          </cell>
        </row>
        <row r="2869">
          <cell r="U2869" t="str">
            <v/>
          </cell>
        </row>
        <row r="2870">
          <cell r="U2870" t="str">
            <v/>
          </cell>
        </row>
        <row r="2871">
          <cell r="U2871" t="str">
            <v/>
          </cell>
        </row>
        <row r="2872">
          <cell r="U2872" t="str">
            <v/>
          </cell>
        </row>
        <row r="2873">
          <cell r="U2873" t="str">
            <v/>
          </cell>
        </row>
        <row r="2874">
          <cell r="U2874" t="str">
            <v/>
          </cell>
        </row>
        <row r="2875">
          <cell r="U2875" t="str">
            <v/>
          </cell>
        </row>
        <row r="2876">
          <cell r="U2876" t="str">
            <v/>
          </cell>
        </row>
        <row r="2877">
          <cell r="U2877" t="str">
            <v/>
          </cell>
        </row>
        <row r="2878">
          <cell r="U2878" t="str">
            <v/>
          </cell>
        </row>
        <row r="2879">
          <cell r="U2879" t="str">
            <v/>
          </cell>
        </row>
        <row r="2880">
          <cell r="U2880" t="str">
            <v/>
          </cell>
        </row>
        <row r="2881">
          <cell r="U2881" t="str">
            <v/>
          </cell>
        </row>
        <row r="2882">
          <cell r="U2882" t="str">
            <v/>
          </cell>
        </row>
        <row r="2883">
          <cell r="U2883" t="str">
            <v/>
          </cell>
        </row>
        <row r="2884">
          <cell r="U2884" t="str">
            <v/>
          </cell>
        </row>
        <row r="2885">
          <cell r="U2885" t="str">
            <v/>
          </cell>
        </row>
        <row r="2886">
          <cell r="U2886" t="str">
            <v/>
          </cell>
        </row>
        <row r="2887">
          <cell r="U2887" t="str">
            <v/>
          </cell>
        </row>
        <row r="2888">
          <cell r="U2888" t="str">
            <v/>
          </cell>
        </row>
        <row r="2889">
          <cell r="U2889" t="str">
            <v/>
          </cell>
        </row>
        <row r="2890">
          <cell r="U2890" t="str">
            <v/>
          </cell>
        </row>
        <row r="2891">
          <cell r="U2891" t="str">
            <v/>
          </cell>
        </row>
        <row r="2892">
          <cell r="U2892" t="str">
            <v/>
          </cell>
        </row>
        <row r="2893">
          <cell r="U2893" t="str">
            <v/>
          </cell>
        </row>
        <row r="2894">
          <cell r="U2894" t="str">
            <v/>
          </cell>
        </row>
        <row r="2895">
          <cell r="U2895" t="str">
            <v/>
          </cell>
        </row>
        <row r="2896">
          <cell r="U2896" t="str">
            <v/>
          </cell>
        </row>
        <row r="2897">
          <cell r="U2897" t="str">
            <v/>
          </cell>
        </row>
        <row r="2898">
          <cell r="U2898" t="str">
            <v/>
          </cell>
        </row>
        <row r="2899">
          <cell r="U2899" t="str">
            <v/>
          </cell>
        </row>
        <row r="2900">
          <cell r="U2900" t="str">
            <v/>
          </cell>
        </row>
        <row r="2901">
          <cell r="U2901" t="str">
            <v/>
          </cell>
        </row>
        <row r="2902">
          <cell r="U2902" t="str">
            <v/>
          </cell>
        </row>
        <row r="2903">
          <cell r="U2903" t="str">
            <v/>
          </cell>
        </row>
        <row r="2904">
          <cell r="U2904" t="str">
            <v/>
          </cell>
        </row>
        <row r="2905">
          <cell r="U2905" t="str">
            <v/>
          </cell>
        </row>
        <row r="2906">
          <cell r="U2906" t="str">
            <v/>
          </cell>
        </row>
        <row r="2907">
          <cell r="U2907" t="str">
            <v/>
          </cell>
        </row>
        <row r="2908">
          <cell r="U2908" t="str">
            <v/>
          </cell>
        </row>
        <row r="2909">
          <cell r="U2909" t="str">
            <v/>
          </cell>
        </row>
        <row r="2910">
          <cell r="U2910" t="str">
            <v/>
          </cell>
        </row>
        <row r="2911">
          <cell r="U2911" t="str">
            <v/>
          </cell>
        </row>
        <row r="2912">
          <cell r="U2912" t="str">
            <v/>
          </cell>
        </row>
        <row r="2913">
          <cell r="U2913" t="str">
            <v/>
          </cell>
        </row>
        <row r="2914">
          <cell r="U2914" t="str">
            <v/>
          </cell>
        </row>
        <row r="2915">
          <cell r="U2915" t="str">
            <v/>
          </cell>
        </row>
        <row r="2916">
          <cell r="U2916" t="str">
            <v/>
          </cell>
        </row>
        <row r="2917">
          <cell r="U2917" t="str">
            <v/>
          </cell>
        </row>
        <row r="2918">
          <cell r="U2918" t="str">
            <v/>
          </cell>
        </row>
        <row r="2919">
          <cell r="U2919" t="str">
            <v/>
          </cell>
        </row>
        <row r="2920">
          <cell r="U2920" t="str">
            <v/>
          </cell>
        </row>
        <row r="2921">
          <cell r="U2921" t="str">
            <v/>
          </cell>
        </row>
        <row r="2922">
          <cell r="U2922" t="str">
            <v/>
          </cell>
        </row>
        <row r="2923">
          <cell r="U2923" t="str">
            <v/>
          </cell>
        </row>
        <row r="2924">
          <cell r="U2924" t="str">
            <v/>
          </cell>
        </row>
        <row r="2925">
          <cell r="U2925" t="str">
            <v/>
          </cell>
        </row>
        <row r="2926">
          <cell r="U2926" t="str">
            <v/>
          </cell>
        </row>
        <row r="2927">
          <cell r="U2927" t="str">
            <v/>
          </cell>
        </row>
        <row r="2928">
          <cell r="U2928" t="str">
            <v/>
          </cell>
        </row>
        <row r="2929">
          <cell r="U2929" t="str">
            <v/>
          </cell>
        </row>
        <row r="2930">
          <cell r="U2930" t="str">
            <v/>
          </cell>
        </row>
        <row r="2931">
          <cell r="U2931" t="str">
            <v/>
          </cell>
        </row>
        <row r="2932">
          <cell r="U2932" t="str">
            <v/>
          </cell>
        </row>
        <row r="2933">
          <cell r="U2933" t="str">
            <v/>
          </cell>
        </row>
        <row r="2934">
          <cell r="U2934" t="str">
            <v/>
          </cell>
        </row>
        <row r="2935">
          <cell r="U2935" t="str">
            <v/>
          </cell>
        </row>
        <row r="2936">
          <cell r="U2936" t="str">
            <v/>
          </cell>
        </row>
        <row r="2937">
          <cell r="U2937" t="str">
            <v/>
          </cell>
        </row>
        <row r="2938">
          <cell r="U2938" t="str">
            <v/>
          </cell>
        </row>
        <row r="2939">
          <cell r="U2939" t="str">
            <v/>
          </cell>
        </row>
        <row r="2940">
          <cell r="U2940" t="str">
            <v/>
          </cell>
        </row>
        <row r="2941">
          <cell r="U2941" t="str">
            <v/>
          </cell>
        </row>
        <row r="2942">
          <cell r="U2942" t="str">
            <v/>
          </cell>
        </row>
        <row r="2943">
          <cell r="U2943" t="str">
            <v/>
          </cell>
        </row>
        <row r="2944">
          <cell r="U2944" t="str">
            <v/>
          </cell>
        </row>
        <row r="2945">
          <cell r="U2945" t="str">
            <v/>
          </cell>
        </row>
        <row r="2946">
          <cell r="U2946" t="str">
            <v/>
          </cell>
        </row>
        <row r="2947">
          <cell r="U2947" t="str">
            <v/>
          </cell>
        </row>
        <row r="2948">
          <cell r="U2948" t="str">
            <v/>
          </cell>
        </row>
        <row r="2949">
          <cell r="U2949" t="str">
            <v/>
          </cell>
        </row>
        <row r="2950">
          <cell r="U2950" t="str">
            <v/>
          </cell>
        </row>
        <row r="2951">
          <cell r="U2951" t="str">
            <v/>
          </cell>
        </row>
        <row r="2952">
          <cell r="U2952" t="str">
            <v/>
          </cell>
        </row>
        <row r="2953">
          <cell r="U2953" t="str">
            <v/>
          </cell>
        </row>
        <row r="2954">
          <cell r="U2954" t="str">
            <v/>
          </cell>
        </row>
        <row r="2955">
          <cell r="U2955" t="str">
            <v/>
          </cell>
        </row>
        <row r="2956">
          <cell r="U2956" t="str">
            <v/>
          </cell>
        </row>
        <row r="2957">
          <cell r="U2957" t="str">
            <v/>
          </cell>
        </row>
        <row r="2958">
          <cell r="U2958" t="str">
            <v/>
          </cell>
        </row>
        <row r="2959">
          <cell r="U2959" t="str">
            <v/>
          </cell>
        </row>
        <row r="2960">
          <cell r="U2960" t="str">
            <v/>
          </cell>
        </row>
        <row r="2961">
          <cell r="U2961" t="str">
            <v/>
          </cell>
        </row>
        <row r="2962">
          <cell r="U2962" t="str">
            <v/>
          </cell>
        </row>
        <row r="2963">
          <cell r="U2963" t="str">
            <v/>
          </cell>
        </row>
        <row r="2964">
          <cell r="U2964" t="str">
            <v/>
          </cell>
        </row>
        <row r="2965">
          <cell r="U2965" t="str">
            <v/>
          </cell>
        </row>
        <row r="2966">
          <cell r="U2966" t="str">
            <v/>
          </cell>
        </row>
        <row r="2967">
          <cell r="U2967" t="str">
            <v/>
          </cell>
        </row>
        <row r="2968">
          <cell r="U2968" t="str">
            <v/>
          </cell>
        </row>
        <row r="2969">
          <cell r="U2969" t="str">
            <v/>
          </cell>
        </row>
        <row r="2970">
          <cell r="U2970" t="str">
            <v/>
          </cell>
        </row>
        <row r="2971">
          <cell r="U2971" t="str">
            <v/>
          </cell>
        </row>
        <row r="2972">
          <cell r="U2972" t="str">
            <v/>
          </cell>
        </row>
        <row r="2973">
          <cell r="U2973" t="str">
            <v/>
          </cell>
        </row>
        <row r="2974">
          <cell r="U2974" t="str">
            <v/>
          </cell>
        </row>
        <row r="2975">
          <cell r="U2975" t="str">
            <v/>
          </cell>
        </row>
        <row r="2976">
          <cell r="U2976" t="str">
            <v/>
          </cell>
        </row>
        <row r="2977">
          <cell r="U2977" t="str">
            <v/>
          </cell>
        </row>
        <row r="2978">
          <cell r="U2978" t="str">
            <v/>
          </cell>
        </row>
        <row r="2979">
          <cell r="U2979" t="str">
            <v/>
          </cell>
        </row>
        <row r="2980">
          <cell r="U2980" t="str">
            <v/>
          </cell>
        </row>
        <row r="2981">
          <cell r="U2981" t="str">
            <v/>
          </cell>
        </row>
        <row r="2982">
          <cell r="U2982" t="str">
            <v/>
          </cell>
        </row>
        <row r="2983">
          <cell r="U2983" t="str">
            <v/>
          </cell>
        </row>
        <row r="2984">
          <cell r="U2984" t="str">
            <v/>
          </cell>
        </row>
        <row r="2985">
          <cell r="U2985" t="str">
            <v/>
          </cell>
        </row>
        <row r="2986">
          <cell r="U2986" t="str">
            <v/>
          </cell>
        </row>
        <row r="2987">
          <cell r="U2987" t="str">
            <v/>
          </cell>
        </row>
        <row r="2988">
          <cell r="U2988" t="str">
            <v/>
          </cell>
        </row>
        <row r="2989">
          <cell r="U2989" t="str">
            <v/>
          </cell>
        </row>
        <row r="2990">
          <cell r="U2990" t="str">
            <v/>
          </cell>
        </row>
        <row r="2991">
          <cell r="U2991" t="str">
            <v/>
          </cell>
        </row>
        <row r="2992">
          <cell r="U2992" t="str">
            <v/>
          </cell>
        </row>
        <row r="2993">
          <cell r="U2993" t="str">
            <v/>
          </cell>
        </row>
        <row r="2994">
          <cell r="U2994" t="str">
            <v/>
          </cell>
        </row>
        <row r="2995">
          <cell r="U2995" t="str">
            <v/>
          </cell>
        </row>
        <row r="2996">
          <cell r="U2996" t="str">
            <v/>
          </cell>
        </row>
        <row r="2997">
          <cell r="U2997" t="str">
            <v/>
          </cell>
        </row>
        <row r="2998">
          <cell r="U2998" t="str">
            <v/>
          </cell>
        </row>
        <row r="2999">
          <cell r="U2999" t="str">
            <v/>
          </cell>
        </row>
        <row r="3000">
          <cell r="U3000" t="str">
            <v/>
          </cell>
        </row>
        <row r="3001">
          <cell r="U3001" t="str">
            <v/>
          </cell>
        </row>
        <row r="3002">
          <cell r="U3002" t="str">
            <v/>
          </cell>
        </row>
        <row r="3003">
          <cell r="U3003" t="str">
            <v/>
          </cell>
        </row>
        <row r="3004">
          <cell r="U3004" t="str">
            <v/>
          </cell>
        </row>
        <row r="3005">
          <cell r="U3005" t="str">
            <v/>
          </cell>
        </row>
        <row r="3006">
          <cell r="U3006" t="str">
            <v/>
          </cell>
        </row>
        <row r="3007">
          <cell r="U3007" t="str">
            <v/>
          </cell>
        </row>
        <row r="3008">
          <cell r="U3008" t="str">
            <v/>
          </cell>
        </row>
        <row r="3009">
          <cell r="U3009" t="str">
            <v/>
          </cell>
        </row>
        <row r="3010">
          <cell r="U3010" t="str">
            <v/>
          </cell>
        </row>
        <row r="3011">
          <cell r="U3011" t="str">
            <v/>
          </cell>
        </row>
        <row r="3012">
          <cell r="U3012" t="str">
            <v/>
          </cell>
        </row>
        <row r="3013">
          <cell r="U3013" t="str">
            <v/>
          </cell>
        </row>
        <row r="3014">
          <cell r="U3014" t="str">
            <v/>
          </cell>
        </row>
        <row r="3015">
          <cell r="U3015" t="str">
            <v/>
          </cell>
        </row>
        <row r="3016">
          <cell r="U3016" t="str">
            <v/>
          </cell>
        </row>
        <row r="3017">
          <cell r="U3017" t="str">
            <v/>
          </cell>
        </row>
        <row r="3018">
          <cell r="U3018" t="str">
            <v/>
          </cell>
        </row>
        <row r="3019">
          <cell r="U3019" t="str">
            <v/>
          </cell>
        </row>
        <row r="3020">
          <cell r="U3020" t="str">
            <v/>
          </cell>
        </row>
        <row r="3021">
          <cell r="U3021" t="str">
            <v/>
          </cell>
        </row>
        <row r="3022">
          <cell r="U3022" t="str">
            <v/>
          </cell>
        </row>
        <row r="3023">
          <cell r="U3023" t="str">
            <v/>
          </cell>
        </row>
        <row r="3024">
          <cell r="U3024" t="str">
            <v/>
          </cell>
        </row>
        <row r="3025">
          <cell r="U3025" t="str">
            <v/>
          </cell>
        </row>
        <row r="3026">
          <cell r="U3026" t="str">
            <v/>
          </cell>
        </row>
        <row r="3027">
          <cell r="U3027" t="str">
            <v/>
          </cell>
        </row>
        <row r="3028">
          <cell r="U3028" t="str">
            <v/>
          </cell>
        </row>
        <row r="3029">
          <cell r="U3029" t="str">
            <v/>
          </cell>
        </row>
        <row r="3030">
          <cell r="U3030" t="str">
            <v/>
          </cell>
        </row>
        <row r="3031">
          <cell r="U3031" t="str">
            <v/>
          </cell>
        </row>
        <row r="3032">
          <cell r="U3032" t="str">
            <v/>
          </cell>
        </row>
        <row r="3033">
          <cell r="U3033" t="str">
            <v/>
          </cell>
        </row>
        <row r="3034">
          <cell r="U3034" t="str">
            <v/>
          </cell>
        </row>
        <row r="3035">
          <cell r="U3035" t="str">
            <v/>
          </cell>
        </row>
        <row r="3036">
          <cell r="U3036" t="str">
            <v/>
          </cell>
        </row>
        <row r="3037">
          <cell r="U3037" t="str">
            <v/>
          </cell>
        </row>
        <row r="3038">
          <cell r="U3038" t="str">
            <v/>
          </cell>
        </row>
        <row r="3039">
          <cell r="U3039" t="str">
            <v/>
          </cell>
        </row>
        <row r="3040">
          <cell r="U3040" t="str">
            <v/>
          </cell>
        </row>
        <row r="3041">
          <cell r="U3041" t="str">
            <v/>
          </cell>
        </row>
        <row r="3042">
          <cell r="U3042" t="str">
            <v/>
          </cell>
        </row>
        <row r="3043">
          <cell r="U3043" t="str">
            <v/>
          </cell>
        </row>
        <row r="3044">
          <cell r="U3044" t="str">
            <v/>
          </cell>
        </row>
        <row r="3045">
          <cell r="U3045" t="str">
            <v/>
          </cell>
        </row>
        <row r="3046">
          <cell r="U3046" t="str">
            <v/>
          </cell>
        </row>
        <row r="3047">
          <cell r="U3047" t="str">
            <v/>
          </cell>
        </row>
        <row r="3048">
          <cell r="U3048" t="str">
            <v/>
          </cell>
        </row>
        <row r="3049">
          <cell r="U3049" t="str">
            <v/>
          </cell>
        </row>
        <row r="3050">
          <cell r="U3050" t="str">
            <v/>
          </cell>
        </row>
        <row r="3051">
          <cell r="U3051" t="str">
            <v/>
          </cell>
        </row>
        <row r="3052">
          <cell r="U3052" t="str">
            <v/>
          </cell>
        </row>
        <row r="3053">
          <cell r="U3053" t="str">
            <v/>
          </cell>
        </row>
        <row r="3054">
          <cell r="U3054" t="str">
            <v/>
          </cell>
        </row>
        <row r="3055">
          <cell r="U3055" t="str">
            <v/>
          </cell>
        </row>
        <row r="3056">
          <cell r="U3056" t="str">
            <v/>
          </cell>
        </row>
        <row r="3057">
          <cell r="U3057" t="str">
            <v/>
          </cell>
        </row>
        <row r="3058">
          <cell r="U3058" t="str">
            <v/>
          </cell>
        </row>
        <row r="3059">
          <cell r="U3059" t="str">
            <v/>
          </cell>
        </row>
        <row r="3060">
          <cell r="U3060" t="str">
            <v/>
          </cell>
        </row>
        <row r="3061">
          <cell r="U3061" t="str">
            <v/>
          </cell>
        </row>
        <row r="3062">
          <cell r="U3062" t="str">
            <v/>
          </cell>
        </row>
        <row r="3063">
          <cell r="U3063" t="str">
            <v/>
          </cell>
        </row>
        <row r="3064">
          <cell r="U3064" t="str">
            <v/>
          </cell>
        </row>
        <row r="3065">
          <cell r="U3065" t="str">
            <v/>
          </cell>
        </row>
        <row r="3066">
          <cell r="U3066" t="str">
            <v/>
          </cell>
        </row>
        <row r="3067">
          <cell r="U3067" t="str">
            <v/>
          </cell>
        </row>
        <row r="3068">
          <cell r="U3068" t="str">
            <v/>
          </cell>
        </row>
        <row r="3069">
          <cell r="U3069" t="str">
            <v/>
          </cell>
        </row>
        <row r="3070">
          <cell r="U3070" t="str">
            <v/>
          </cell>
        </row>
        <row r="3071">
          <cell r="U3071" t="str">
            <v/>
          </cell>
        </row>
        <row r="3072">
          <cell r="U3072" t="str">
            <v/>
          </cell>
        </row>
        <row r="3073">
          <cell r="U3073" t="str">
            <v/>
          </cell>
        </row>
        <row r="3074">
          <cell r="U3074" t="str">
            <v/>
          </cell>
        </row>
        <row r="3075">
          <cell r="U3075" t="str">
            <v/>
          </cell>
        </row>
        <row r="3076">
          <cell r="U3076" t="str">
            <v/>
          </cell>
        </row>
        <row r="3077">
          <cell r="U3077" t="str">
            <v/>
          </cell>
        </row>
        <row r="3078">
          <cell r="U3078" t="str">
            <v/>
          </cell>
        </row>
        <row r="3079">
          <cell r="U3079" t="str">
            <v/>
          </cell>
        </row>
        <row r="3080">
          <cell r="U3080" t="str">
            <v/>
          </cell>
        </row>
        <row r="3081">
          <cell r="U3081" t="str">
            <v/>
          </cell>
        </row>
        <row r="3082">
          <cell r="U3082" t="str">
            <v/>
          </cell>
        </row>
        <row r="3083">
          <cell r="U3083" t="str">
            <v/>
          </cell>
        </row>
        <row r="3084">
          <cell r="U3084" t="str">
            <v/>
          </cell>
        </row>
        <row r="3085">
          <cell r="U3085" t="str">
            <v/>
          </cell>
        </row>
        <row r="3086">
          <cell r="U3086" t="str">
            <v/>
          </cell>
        </row>
        <row r="3087">
          <cell r="U3087" t="str">
            <v/>
          </cell>
        </row>
        <row r="3088">
          <cell r="U3088" t="str">
            <v/>
          </cell>
        </row>
        <row r="3089">
          <cell r="U3089" t="str">
            <v/>
          </cell>
        </row>
        <row r="3090">
          <cell r="U3090" t="str">
            <v/>
          </cell>
        </row>
        <row r="3091">
          <cell r="U3091" t="str">
            <v/>
          </cell>
        </row>
        <row r="3092">
          <cell r="U3092" t="str">
            <v/>
          </cell>
        </row>
        <row r="3093">
          <cell r="U3093" t="str">
            <v/>
          </cell>
        </row>
        <row r="3094">
          <cell r="U3094" t="str">
            <v/>
          </cell>
        </row>
        <row r="3095">
          <cell r="U3095" t="str">
            <v/>
          </cell>
        </row>
        <row r="3096">
          <cell r="U3096" t="str">
            <v/>
          </cell>
        </row>
        <row r="3097">
          <cell r="U3097" t="str">
            <v/>
          </cell>
        </row>
        <row r="3098">
          <cell r="U3098" t="str">
            <v/>
          </cell>
        </row>
        <row r="3099">
          <cell r="U3099" t="str">
            <v/>
          </cell>
        </row>
        <row r="3100">
          <cell r="U3100" t="str">
            <v/>
          </cell>
        </row>
        <row r="3101">
          <cell r="U3101" t="str">
            <v/>
          </cell>
        </row>
        <row r="3102">
          <cell r="U3102" t="str">
            <v/>
          </cell>
        </row>
        <row r="3103">
          <cell r="U3103" t="str">
            <v/>
          </cell>
        </row>
        <row r="3104">
          <cell r="U3104" t="str">
            <v/>
          </cell>
        </row>
        <row r="3105">
          <cell r="U3105" t="str">
            <v/>
          </cell>
        </row>
        <row r="3106">
          <cell r="U3106" t="str">
            <v/>
          </cell>
        </row>
        <row r="3107">
          <cell r="U3107" t="str">
            <v/>
          </cell>
        </row>
        <row r="3108">
          <cell r="U3108" t="str">
            <v/>
          </cell>
        </row>
        <row r="3109">
          <cell r="U3109" t="str">
            <v/>
          </cell>
        </row>
        <row r="3110">
          <cell r="U3110" t="str">
            <v/>
          </cell>
        </row>
        <row r="3111">
          <cell r="U3111" t="str">
            <v/>
          </cell>
        </row>
        <row r="3112">
          <cell r="U3112" t="str">
            <v/>
          </cell>
        </row>
        <row r="3113">
          <cell r="U3113" t="str">
            <v/>
          </cell>
        </row>
        <row r="3114">
          <cell r="U3114" t="str">
            <v/>
          </cell>
        </row>
        <row r="3115">
          <cell r="U3115" t="str">
            <v/>
          </cell>
        </row>
        <row r="3116">
          <cell r="U3116" t="str">
            <v/>
          </cell>
        </row>
        <row r="3117">
          <cell r="U3117" t="str">
            <v/>
          </cell>
        </row>
        <row r="3118">
          <cell r="U3118" t="str">
            <v/>
          </cell>
        </row>
        <row r="3119">
          <cell r="U3119" t="str">
            <v/>
          </cell>
        </row>
        <row r="3120">
          <cell r="U3120" t="str">
            <v/>
          </cell>
        </row>
        <row r="3121">
          <cell r="U3121" t="str">
            <v/>
          </cell>
        </row>
        <row r="3122">
          <cell r="U3122" t="str">
            <v/>
          </cell>
        </row>
        <row r="3123">
          <cell r="U3123" t="str">
            <v/>
          </cell>
        </row>
        <row r="3124">
          <cell r="U3124" t="str">
            <v/>
          </cell>
        </row>
        <row r="3125">
          <cell r="U3125" t="str">
            <v/>
          </cell>
        </row>
        <row r="3126">
          <cell r="U3126" t="str">
            <v/>
          </cell>
        </row>
        <row r="3127">
          <cell r="U3127" t="str">
            <v/>
          </cell>
        </row>
        <row r="3128">
          <cell r="U3128" t="str">
            <v/>
          </cell>
        </row>
        <row r="3129">
          <cell r="U3129" t="str">
            <v/>
          </cell>
        </row>
        <row r="3130">
          <cell r="U3130" t="str">
            <v/>
          </cell>
        </row>
        <row r="3131">
          <cell r="U3131" t="str">
            <v/>
          </cell>
        </row>
        <row r="3132">
          <cell r="U3132" t="str">
            <v/>
          </cell>
        </row>
        <row r="3133">
          <cell r="U3133" t="str">
            <v/>
          </cell>
        </row>
        <row r="3134">
          <cell r="U3134" t="str">
            <v/>
          </cell>
        </row>
        <row r="3135">
          <cell r="U3135" t="str">
            <v/>
          </cell>
        </row>
        <row r="3136">
          <cell r="U3136" t="str">
            <v/>
          </cell>
        </row>
        <row r="3137">
          <cell r="U3137" t="str">
            <v/>
          </cell>
        </row>
        <row r="3138">
          <cell r="U3138" t="str">
            <v/>
          </cell>
        </row>
        <row r="3139">
          <cell r="U3139" t="str">
            <v/>
          </cell>
        </row>
        <row r="3140">
          <cell r="U3140" t="str">
            <v/>
          </cell>
        </row>
        <row r="3141">
          <cell r="U3141" t="str">
            <v/>
          </cell>
        </row>
        <row r="3142">
          <cell r="U3142" t="str">
            <v/>
          </cell>
        </row>
        <row r="3143">
          <cell r="U3143" t="str">
            <v/>
          </cell>
        </row>
        <row r="3144">
          <cell r="U3144" t="str">
            <v/>
          </cell>
        </row>
        <row r="3145">
          <cell r="U3145" t="str">
            <v/>
          </cell>
        </row>
        <row r="3146">
          <cell r="U3146" t="str">
            <v/>
          </cell>
        </row>
        <row r="3147">
          <cell r="U3147" t="str">
            <v/>
          </cell>
        </row>
        <row r="3148">
          <cell r="U3148" t="str">
            <v/>
          </cell>
        </row>
        <row r="3149">
          <cell r="U3149" t="str">
            <v/>
          </cell>
        </row>
        <row r="3150">
          <cell r="U3150" t="str">
            <v/>
          </cell>
        </row>
        <row r="3151">
          <cell r="U3151" t="str">
            <v/>
          </cell>
        </row>
        <row r="3152">
          <cell r="U3152" t="str">
            <v/>
          </cell>
        </row>
        <row r="3153">
          <cell r="U3153" t="str">
            <v/>
          </cell>
        </row>
        <row r="3154">
          <cell r="U3154" t="str">
            <v/>
          </cell>
        </row>
        <row r="3155">
          <cell r="U3155" t="str">
            <v/>
          </cell>
        </row>
        <row r="3156">
          <cell r="U3156" t="str">
            <v/>
          </cell>
        </row>
        <row r="3157">
          <cell r="U3157" t="str">
            <v/>
          </cell>
        </row>
        <row r="3158">
          <cell r="U3158" t="str">
            <v/>
          </cell>
        </row>
        <row r="3159">
          <cell r="U3159" t="str">
            <v/>
          </cell>
        </row>
        <row r="3160">
          <cell r="U3160" t="str">
            <v/>
          </cell>
        </row>
        <row r="3161">
          <cell r="U3161" t="str">
            <v/>
          </cell>
        </row>
        <row r="3162">
          <cell r="U3162" t="str">
            <v/>
          </cell>
        </row>
        <row r="3163">
          <cell r="U3163" t="str">
            <v/>
          </cell>
        </row>
        <row r="3164">
          <cell r="U3164" t="str">
            <v/>
          </cell>
        </row>
        <row r="3165">
          <cell r="U3165" t="str">
            <v/>
          </cell>
        </row>
        <row r="3166">
          <cell r="U3166" t="str">
            <v/>
          </cell>
        </row>
        <row r="3167">
          <cell r="U3167" t="str">
            <v/>
          </cell>
        </row>
        <row r="3168">
          <cell r="U3168" t="str">
            <v/>
          </cell>
        </row>
        <row r="3169">
          <cell r="U3169" t="str">
            <v/>
          </cell>
        </row>
        <row r="3170">
          <cell r="U3170" t="str">
            <v/>
          </cell>
        </row>
        <row r="3171">
          <cell r="U3171" t="str">
            <v/>
          </cell>
        </row>
        <row r="3172">
          <cell r="U3172" t="str">
            <v/>
          </cell>
        </row>
        <row r="3173">
          <cell r="U3173" t="str">
            <v/>
          </cell>
        </row>
        <row r="3174">
          <cell r="U3174" t="str">
            <v/>
          </cell>
        </row>
        <row r="3175">
          <cell r="U3175" t="str">
            <v/>
          </cell>
        </row>
        <row r="3176">
          <cell r="U3176" t="str">
            <v/>
          </cell>
        </row>
        <row r="3177">
          <cell r="U3177" t="str">
            <v/>
          </cell>
        </row>
        <row r="3178">
          <cell r="U3178" t="str">
            <v/>
          </cell>
        </row>
        <row r="3179">
          <cell r="U3179" t="str">
            <v/>
          </cell>
        </row>
        <row r="3180">
          <cell r="U3180" t="str">
            <v/>
          </cell>
        </row>
        <row r="3181">
          <cell r="U3181" t="str">
            <v/>
          </cell>
        </row>
        <row r="3182">
          <cell r="U3182" t="str">
            <v/>
          </cell>
        </row>
        <row r="3183">
          <cell r="U3183" t="str">
            <v/>
          </cell>
        </row>
        <row r="3184">
          <cell r="U3184" t="str">
            <v/>
          </cell>
        </row>
        <row r="3185">
          <cell r="U3185" t="str">
            <v/>
          </cell>
        </row>
        <row r="3186">
          <cell r="U3186" t="str">
            <v/>
          </cell>
        </row>
        <row r="3187">
          <cell r="U3187" t="str">
            <v/>
          </cell>
        </row>
        <row r="3188">
          <cell r="U3188" t="str">
            <v/>
          </cell>
        </row>
        <row r="3189">
          <cell r="U3189" t="str">
            <v/>
          </cell>
        </row>
        <row r="3190">
          <cell r="U3190" t="str">
            <v/>
          </cell>
        </row>
        <row r="3191">
          <cell r="U3191" t="str">
            <v/>
          </cell>
        </row>
        <row r="3192">
          <cell r="U3192" t="str">
            <v/>
          </cell>
        </row>
        <row r="3193">
          <cell r="U3193" t="str">
            <v/>
          </cell>
        </row>
        <row r="3194">
          <cell r="U3194" t="str">
            <v/>
          </cell>
        </row>
        <row r="3195">
          <cell r="U3195" t="str">
            <v/>
          </cell>
        </row>
        <row r="3196">
          <cell r="U3196" t="str">
            <v/>
          </cell>
        </row>
        <row r="3197">
          <cell r="U3197" t="str">
            <v/>
          </cell>
        </row>
        <row r="3198">
          <cell r="U3198" t="str">
            <v/>
          </cell>
        </row>
        <row r="3199">
          <cell r="U3199" t="str">
            <v/>
          </cell>
        </row>
        <row r="3200">
          <cell r="U3200" t="str">
            <v/>
          </cell>
        </row>
        <row r="3201">
          <cell r="U3201" t="str">
            <v/>
          </cell>
        </row>
        <row r="3202">
          <cell r="U3202" t="str">
            <v/>
          </cell>
        </row>
        <row r="3203">
          <cell r="U3203" t="str">
            <v/>
          </cell>
        </row>
        <row r="3204">
          <cell r="U3204" t="str">
            <v/>
          </cell>
        </row>
        <row r="3205">
          <cell r="U3205" t="str">
            <v/>
          </cell>
        </row>
        <row r="3206">
          <cell r="U3206" t="str">
            <v/>
          </cell>
        </row>
        <row r="3207">
          <cell r="U3207" t="str">
            <v/>
          </cell>
        </row>
        <row r="3208">
          <cell r="U3208" t="str">
            <v/>
          </cell>
        </row>
        <row r="3209">
          <cell r="U3209" t="str">
            <v/>
          </cell>
        </row>
        <row r="3210">
          <cell r="U3210" t="str">
            <v/>
          </cell>
        </row>
        <row r="3211">
          <cell r="U3211" t="str">
            <v/>
          </cell>
        </row>
        <row r="3212">
          <cell r="U3212" t="str">
            <v/>
          </cell>
        </row>
        <row r="3213">
          <cell r="U3213" t="str">
            <v/>
          </cell>
        </row>
        <row r="3214">
          <cell r="U3214" t="str">
            <v/>
          </cell>
        </row>
        <row r="3215">
          <cell r="U3215" t="str">
            <v/>
          </cell>
        </row>
        <row r="3216">
          <cell r="U3216" t="str">
            <v/>
          </cell>
        </row>
        <row r="3217">
          <cell r="U3217" t="str">
            <v/>
          </cell>
        </row>
        <row r="3218">
          <cell r="U3218" t="str">
            <v/>
          </cell>
        </row>
        <row r="3219">
          <cell r="U3219" t="str">
            <v/>
          </cell>
        </row>
        <row r="3220">
          <cell r="U3220" t="str">
            <v/>
          </cell>
        </row>
        <row r="3221">
          <cell r="U3221" t="str">
            <v/>
          </cell>
        </row>
        <row r="3222">
          <cell r="U3222" t="str">
            <v/>
          </cell>
        </row>
        <row r="3223">
          <cell r="U3223" t="str">
            <v/>
          </cell>
        </row>
        <row r="3224">
          <cell r="U3224" t="str">
            <v/>
          </cell>
        </row>
        <row r="3225">
          <cell r="U3225" t="str">
            <v/>
          </cell>
        </row>
        <row r="3226">
          <cell r="U3226" t="str">
            <v/>
          </cell>
        </row>
        <row r="3227">
          <cell r="U3227" t="str">
            <v/>
          </cell>
        </row>
        <row r="3228">
          <cell r="U3228" t="str">
            <v/>
          </cell>
        </row>
        <row r="3229">
          <cell r="U3229" t="str">
            <v/>
          </cell>
        </row>
        <row r="3230">
          <cell r="U3230" t="str">
            <v/>
          </cell>
        </row>
        <row r="3231">
          <cell r="U3231" t="str">
            <v/>
          </cell>
        </row>
        <row r="3232">
          <cell r="U3232" t="str">
            <v/>
          </cell>
        </row>
        <row r="3233">
          <cell r="U3233" t="str">
            <v/>
          </cell>
        </row>
        <row r="3234">
          <cell r="U3234" t="str">
            <v/>
          </cell>
        </row>
        <row r="3235">
          <cell r="U3235" t="str">
            <v/>
          </cell>
        </row>
        <row r="3236">
          <cell r="U3236" t="str">
            <v/>
          </cell>
        </row>
        <row r="3237">
          <cell r="U3237" t="str">
            <v/>
          </cell>
        </row>
        <row r="3238">
          <cell r="U3238" t="str">
            <v/>
          </cell>
        </row>
        <row r="3239">
          <cell r="U3239" t="str">
            <v/>
          </cell>
        </row>
        <row r="3240">
          <cell r="U3240" t="str">
            <v/>
          </cell>
        </row>
        <row r="3241">
          <cell r="U3241" t="str">
            <v/>
          </cell>
        </row>
        <row r="3242">
          <cell r="U3242" t="str">
            <v/>
          </cell>
        </row>
        <row r="3243">
          <cell r="U3243" t="str">
            <v/>
          </cell>
        </row>
        <row r="3244">
          <cell r="U3244" t="str">
            <v/>
          </cell>
        </row>
        <row r="3245">
          <cell r="U3245" t="str">
            <v/>
          </cell>
        </row>
        <row r="3246">
          <cell r="U3246" t="str">
            <v/>
          </cell>
        </row>
        <row r="3247">
          <cell r="U3247" t="str">
            <v/>
          </cell>
        </row>
        <row r="3248">
          <cell r="U3248" t="str">
            <v/>
          </cell>
        </row>
        <row r="3249">
          <cell r="U3249" t="str">
            <v/>
          </cell>
        </row>
        <row r="3250">
          <cell r="U3250" t="str">
            <v/>
          </cell>
        </row>
        <row r="3251">
          <cell r="U3251" t="str">
            <v/>
          </cell>
        </row>
        <row r="3252">
          <cell r="U3252" t="str">
            <v/>
          </cell>
        </row>
        <row r="3253">
          <cell r="U3253" t="str">
            <v/>
          </cell>
        </row>
        <row r="3254">
          <cell r="U3254" t="str">
            <v/>
          </cell>
        </row>
        <row r="3255">
          <cell r="U3255" t="str">
            <v/>
          </cell>
        </row>
        <row r="3256">
          <cell r="U3256" t="str">
            <v/>
          </cell>
        </row>
        <row r="3257">
          <cell r="U3257" t="str">
            <v/>
          </cell>
        </row>
        <row r="3258">
          <cell r="U3258" t="str">
            <v/>
          </cell>
        </row>
        <row r="3259">
          <cell r="U3259" t="str">
            <v/>
          </cell>
        </row>
        <row r="3260">
          <cell r="U3260" t="str">
            <v/>
          </cell>
        </row>
        <row r="3261">
          <cell r="U3261" t="str">
            <v/>
          </cell>
        </row>
        <row r="3262">
          <cell r="U3262" t="str">
            <v/>
          </cell>
        </row>
        <row r="3263">
          <cell r="U3263" t="str">
            <v/>
          </cell>
        </row>
        <row r="3264">
          <cell r="U3264" t="str">
            <v/>
          </cell>
        </row>
        <row r="3265">
          <cell r="U3265" t="str">
            <v/>
          </cell>
        </row>
        <row r="3266">
          <cell r="U3266" t="str">
            <v/>
          </cell>
        </row>
        <row r="3267">
          <cell r="U3267" t="str">
            <v/>
          </cell>
        </row>
        <row r="3268">
          <cell r="U3268" t="str">
            <v/>
          </cell>
        </row>
        <row r="3269">
          <cell r="U3269" t="str">
            <v/>
          </cell>
        </row>
        <row r="3270">
          <cell r="U3270" t="str">
            <v/>
          </cell>
        </row>
        <row r="3271">
          <cell r="U3271" t="str">
            <v/>
          </cell>
        </row>
        <row r="3272">
          <cell r="U3272" t="str">
            <v/>
          </cell>
        </row>
        <row r="3273">
          <cell r="U3273" t="str">
            <v/>
          </cell>
        </row>
        <row r="3274">
          <cell r="U3274" t="str">
            <v/>
          </cell>
        </row>
        <row r="3275">
          <cell r="U3275" t="str">
            <v/>
          </cell>
        </row>
        <row r="3276">
          <cell r="U3276" t="str">
            <v/>
          </cell>
        </row>
        <row r="3277">
          <cell r="U3277" t="str">
            <v/>
          </cell>
        </row>
        <row r="3278">
          <cell r="U3278" t="str">
            <v/>
          </cell>
        </row>
        <row r="3279">
          <cell r="U3279" t="str">
            <v/>
          </cell>
        </row>
        <row r="3280">
          <cell r="U3280" t="str">
            <v/>
          </cell>
        </row>
        <row r="3281">
          <cell r="U3281" t="str">
            <v/>
          </cell>
        </row>
        <row r="3282">
          <cell r="U3282" t="str">
            <v/>
          </cell>
        </row>
        <row r="3283">
          <cell r="U3283" t="str">
            <v/>
          </cell>
        </row>
        <row r="3284">
          <cell r="U3284" t="str">
            <v/>
          </cell>
        </row>
        <row r="3285">
          <cell r="U3285" t="str">
            <v/>
          </cell>
        </row>
        <row r="3286">
          <cell r="U3286" t="str">
            <v/>
          </cell>
        </row>
        <row r="3287">
          <cell r="U3287" t="str">
            <v/>
          </cell>
        </row>
        <row r="3288">
          <cell r="U3288" t="str">
            <v/>
          </cell>
        </row>
        <row r="3289">
          <cell r="U3289" t="str">
            <v/>
          </cell>
        </row>
        <row r="3290">
          <cell r="U3290" t="str">
            <v/>
          </cell>
        </row>
        <row r="3291">
          <cell r="U3291" t="str">
            <v/>
          </cell>
        </row>
        <row r="3292">
          <cell r="U3292" t="str">
            <v/>
          </cell>
        </row>
        <row r="3293">
          <cell r="U3293" t="str">
            <v/>
          </cell>
        </row>
        <row r="3294">
          <cell r="U3294" t="str">
            <v/>
          </cell>
        </row>
        <row r="3295">
          <cell r="U3295" t="str">
            <v/>
          </cell>
        </row>
        <row r="3296">
          <cell r="U3296" t="str">
            <v/>
          </cell>
        </row>
        <row r="3297">
          <cell r="U3297" t="str">
            <v/>
          </cell>
        </row>
        <row r="3298">
          <cell r="U3298" t="str">
            <v/>
          </cell>
        </row>
        <row r="3299">
          <cell r="U3299" t="str">
            <v/>
          </cell>
        </row>
        <row r="3300">
          <cell r="U3300" t="str">
            <v/>
          </cell>
        </row>
        <row r="3301">
          <cell r="U3301" t="str">
            <v/>
          </cell>
        </row>
        <row r="3302">
          <cell r="U3302" t="str">
            <v/>
          </cell>
        </row>
        <row r="3303">
          <cell r="U3303" t="str">
            <v/>
          </cell>
        </row>
        <row r="3304">
          <cell r="U3304" t="str">
            <v/>
          </cell>
        </row>
        <row r="3305">
          <cell r="U3305" t="str">
            <v/>
          </cell>
        </row>
        <row r="3306">
          <cell r="U3306" t="str">
            <v/>
          </cell>
        </row>
        <row r="3307">
          <cell r="U3307" t="str">
            <v/>
          </cell>
        </row>
        <row r="3308">
          <cell r="U3308" t="str">
            <v/>
          </cell>
        </row>
        <row r="3309">
          <cell r="U3309" t="str">
            <v/>
          </cell>
        </row>
        <row r="3310">
          <cell r="U3310" t="str">
            <v/>
          </cell>
        </row>
        <row r="3311">
          <cell r="U3311" t="str">
            <v/>
          </cell>
        </row>
        <row r="3312">
          <cell r="U3312" t="str">
            <v/>
          </cell>
        </row>
        <row r="3313">
          <cell r="U3313" t="str">
            <v/>
          </cell>
        </row>
        <row r="3314">
          <cell r="U3314" t="str">
            <v/>
          </cell>
        </row>
        <row r="3315">
          <cell r="U3315" t="str">
            <v/>
          </cell>
        </row>
        <row r="3316">
          <cell r="U3316" t="str">
            <v/>
          </cell>
        </row>
        <row r="3317">
          <cell r="U3317" t="str">
            <v/>
          </cell>
        </row>
        <row r="3318">
          <cell r="U3318" t="str">
            <v/>
          </cell>
        </row>
        <row r="3319">
          <cell r="U3319" t="str">
            <v/>
          </cell>
        </row>
        <row r="3320">
          <cell r="U3320" t="str">
            <v/>
          </cell>
        </row>
        <row r="3321">
          <cell r="U3321" t="str">
            <v/>
          </cell>
        </row>
        <row r="3322">
          <cell r="U3322" t="str">
            <v/>
          </cell>
        </row>
        <row r="3323">
          <cell r="U3323" t="str">
            <v/>
          </cell>
        </row>
        <row r="3324">
          <cell r="U3324" t="str">
            <v/>
          </cell>
        </row>
        <row r="3325">
          <cell r="U3325" t="str">
            <v/>
          </cell>
        </row>
        <row r="3326">
          <cell r="U3326" t="str">
            <v/>
          </cell>
        </row>
        <row r="3327">
          <cell r="U3327" t="str">
            <v/>
          </cell>
        </row>
        <row r="3328">
          <cell r="U3328" t="str">
            <v/>
          </cell>
        </row>
        <row r="3329">
          <cell r="U3329" t="str">
            <v/>
          </cell>
        </row>
        <row r="3330">
          <cell r="U3330" t="str">
            <v/>
          </cell>
        </row>
        <row r="3331">
          <cell r="U3331" t="str">
            <v/>
          </cell>
        </row>
        <row r="3332">
          <cell r="U3332" t="str">
            <v/>
          </cell>
        </row>
        <row r="3333">
          <cell r="U3333" t="str">
            <v/>
          </cell>
        </row>
        <row r="3334">
          <cell r="U3334" t="str">
            <v/>
          </cell>
        </row>
        <row r="3335">
          <cell r="U3335" t="str">
            <v/>
          </cell>
        </row>
        <row r="3336">
          <cell r="U3336" t="str">
            <v/>
          </cell>
        </row>
        <row r="3337">
          <cell r="U3337" t="str">
            <v/>
          </cell>
        </row>
        <row r="3338">
          <cell r="U3338" t="str">
            <v/>
          </cell>
        </row>
        <row r="3339">
          <cell r="U3339" t="str">
            <v/>
          </cell>
        </row>
        <row r="3340">
          <cell r="U3340" t="str">
            <v/>
          </cell>
        </row>
        <row r="3341">
          <cell r="U3341" t="str">
            <v/>
          </cell>
        </row>
        <row r="3342">
          <cell r="U3342" t="str">
            <v/>
          </cell>
        </row>
        <row r="3343">
          <cell r="U3343" t="str">
            <v/>
          </cell>
        </row>
        <row r="3344">
          <cell r="U3344" t="str">
            <v/>
          </cell>
        </row>
        <row r="3345">
          <cell r="U3345" t="str">
            <v/>
          </cell>
        </row>
        <row r="3346">
          <cell r="U3346" t="str">
            <v/>
          </cell>
        </row>
        <row r="3347">
          <cell r="U3347" t="str">
            <v/>
          </cell>
        </row>
        <row r="3348">
          <cell r="U3348" t="str">
            <v/>
          </cell>
        </row>
        <row r="3349">
          <cell r="U3349" t="str">
            <v/>
          </cell>
        </row>
        <row r="3350">
          <cell r="U3350" t="str">
            <v/>
          </cell>
        </row>
        <row r="3351">
          <cell r="U3351" t="str">
            <v/>
          </cell>
        </row>
        <row r="3352">
          <cell r="U3352" t="str">
            <v/>
          </cell>
        </row>
        <row r="3353">
          <cell r="U3353" t="str">
            <v/>
          </cell>
        </row>
        <row r="3354">
          <cell r="U3354" t="str">
            <v/>
          </cell>
        </row>
        <row r="3355">
          <cell r="U3355" t="str">
            <v/>
          </cell>
        </row>
        <row r="3356">
          <cell r="U3356" t="str">
            <v/>
          </cell>
        </row>
        <row r="3357">
          <cell r="U3357" t="str">
            <v/>
          </cell>
        </row>
        <row r="3358">
          <cell r="U3358" t="str">
            <v/>
          </cell>
        </row>
        <row r="3359">
          <cell r="U3359" t="str">
            <v/>
          </cell>
        </row>
        <row r="3360">
          <cell r="U3360" t="str">
            <v/>
          </cell>
        </row>
        <row r="3361">
          <cell r="U3361" t="str">
            <v/>
          </cell>
        </row>
        <row r="3362">
          <cell r="U3362" t="str">
            <v/>
          </cell>
        </row>
        <row r="3363">
          <cell r="U3363" t="str">
            <v/>
          </cell>
        </row>
        <row r="3364">
          <cell r="U3364" t="str">
            <v/>
          </cell>
        </row>
        <row r="3365">
          <cell r="U3365" t="str">
            <v/>
          </cell>
        </row>
        <row r="3366">
          <cell r="U3366" t="str">
            <v/>
          </cell>
        </row>
        <row r="3367">
          <cell r="U3367" t="str">
            <v/>
          </cell>
        </row>
        <row r="3368">
          <cell r="U3368" t="str">
            <v/>
          </cell>
        </row>
        <row r="3369">
          <cell r="U3369" t="str">
            <v/>
          </cell>
        </row>
        <row r="3370">
          <cell r="U3370" t="str">
            <v/>
          </cell>
        </row>
        <row r="3371">
          <cell r="U3371" t="str">
            <v/>
          </cell>
        </row>
        <row r="3372">
          <cell r="U3372" t="str">
            <v/>
          </cell>
        </row>
        <row r="3373">
          <cell r="U3373" t="str">
            <v/>
          </cell>
        </row>
        <row r="3374">
          <cell r="U3374" t="str">
            <v/>
          </cell>
        </row>
        <row r="3375">
          <cell r="U3375" t="str">
            <v/>
          </cell>
        </row>
        <row r="3376">
          <cell r="U3376" t="str">
            <v/>
          </cell>
        </row>
        <row r="3377">
          <cell r="U3377" t="str">
            <v/>
          </cell>
        </row>
        <row r="3378">
          <cell r="U3378" t="str">
            <v/>
          </cell>
        </row>
        <row r="3379">
          <cell r="U3379" t="str">
            <v/>
          </cell>
        </row>
        <row r="3380">
          <cell r="U3380" t="str">
            <v/>
          </cell>
        </row>
        <row r="3381">
          <cell r="U3381" t="str">
            <v/>
          </cell>
        </row>
        <row r="3382">
          <cell r="U3382" t="str">
            <v/>
          </cell>
        </row>
        <row r="3383">
          <cell r="U3383" t="str">
            <v/>
          </cell>
        </row>
        <row r="3384">
          <cell r="U3384" t="str">
            <v/>
          </cell>
        </row>
        <row r="3385">
          <cell r="U3385" t="str">
            <v/>
          </cell>
        </row>
        <row r="3386">
          <cell r="U3386" t="str">
            <v/>
          </cell>
        </row>
        <row r="3387">
          <cell r="U3387" t="str">
            <v/>
          </cell>
        </row>
        <row r="3388">
          <cell r="U3388" t="str">
            <v/>
          </cell>
        </row>
        <row r="3389">
          <cell r="U3389" t="str">
            <v/>
          </cell>
        </row>
        <row r="3390">
          <cell r="U3390" t="str">
            <v/>
          </cell>
        </row>
        <row r="3391">
          <cell r="U3391" t="str">
            <v/>
          </cell>
        </row>
        <row r="3392">
          <cell r="U3392" t="str">
            <v/>
          </cell>
        </row>
        <row r="3393">
          <cell r="U3393" t="str">
            <v/>
          </cell>
        </row>
        <row r="3394">
          <cell r="U3394" t="str">
            <v/>
          </cell>
        </row>
        <row r="3395">
          <cell r="U3395" t="str">
            <v/>
          </cell>
        </row>
        <row r="3396">
          <cell r="U3396" t="str">
            <v/>
          </cell>
        </row>
        <row r="3397">
          <cell r="U3397" t="str">
            <v/>
          </cell>
        </row>
        <row r="3398">
          <cell r="U3398" t="str">
            <v/>
          </cell>
        </row>
        <row r="3399">
          <cell r="U3399" t="str">
            <v/>
          </cell>
        </row>
        <row r="3400">
          <cell r="U3400" t="str">
            <v/>
          </cell>
        </row>
        <row r="3401">
          <cell r="U3401" t="str">
            <v/>
          </cell>
        </row>
        <row r="3402">
          <cell r="U3402" t="str">
            <v/>
          </cell>
        </row>
        <row r="3403">
          <cell r="U3403" t="str">
            <v/>
          </cell>
        </row>
        <row r="3404">
          <cell r="U3404" t="str">
            <v/>
          </cell>
        </row>
        <row r="3405">
          <cell r="U3405" t="str">
            <v/>
          </cell>
        </row>
        <row r="3406">
          <cell r="U3406" t="str">
            <v/>
          </cell>
        </row>
        <row r="3407">
          <cell r="U3407" t="str">
            <v/>
          </cell>
        </row>
        <row r="3408">
          <cell r="U3408" t="str">
            <v/>
          </cell>
        </row>
        <row r="3409">
          <cell r="U3409" t="str">
            <v/>
          </cell>
        </row>
        <row r="3410">
          <cell r="U3410" t="str">
            <v/>
          </cell>
        </row>
        <row r="3411">
          <cell r="U3411" t="str">
            <v/>
          </cell>
        </row>
        <row r="3412">
          <cell r="U3412" t="str">
            <v/>
          </cell>
        </row>
        <row r="3413">
          <cell r="U3413" t="str">
            <v/>
          </cell>
        </row>
        <row r="3414">
          <cell r="U3414" t="str">
            <v/>
          </cell>
        </row>
        <row r="3415">
          <cell r="U3415" t="str">
            <v/>
          </cell>
        </row>
        <row r="3416">
          <cell r="U3416" t="str">
            <v/>
          </cell>
        </row>
        <row r="3417">
          <cell r="U3417" t="str">
            <v/>
          </cell>
        </row>
        <row r="3418">
          <cell r="U3418" t="str">
            <v/>
          </cell>
        </row>
        <row r="3419">
          <cell r="U3419" t="str">
            <v/>
          </cell>
        </row>
        <row r="3420">
          <cell r="U3420" t="str">
            <v/>
          </cell>
        </row>
        <row r="3421">
          <cell r="U3421" t="str">
            <v/>
          </cell>
        </row>
        <row r="3422">
          <cell r="U3422" t="str">
            <v/>
          </cell>
        </row>
        <row r="3423">
          <cell r="U3423" t="str">
            <v/>
          </cell>
        </row>
        <row r="3424">
          <cell r="U3424" t="str">
            <v/>
          </cell>
        </row>
        <row r="3425">
          <cell r="U3425" t="str">
            <v/>
          </cell>
        </row>
        <row r="3426">
          <cell r="U3426" t="str">
            <v/>
          </cell>
        </row>
        <row r="3427">
          <cell r="U3427" t="str">
            <v/>
          </cell>
        </row>
        <row r="3428">
          <cell r="U3428" t="str">
            <v/>
          </cell>
        </row>
        <row r="3429">
          <cell r="U3429" t="str">
            <v/>
          </cell>
        </row>
        <row r="3430">
          <cell r="U3430" t="str">
            <v/>
          </cell>
        </row>
        <row r="3431">
          <cell r="U3431" t="str">
            <v/>
          </cell>
        </row>
        <row r="3432">
          <cell r="U3432" t="str">
            <v/>
          </cell>
        </row>
        <row r="3433">
          <cell r="U3433" t="str">
            <v/>
          </cell>
        </row>
        <row r="3434">
          <cell r="U3434" t="str">
            <v/>
          </cell>
        </row>
        <row r="3435">
          <cell r="U3435" t="str">
            <v/>
          </cell>
        </row>
        <row r="3436">
          <cell r="U3436" t="str">
            <v/>
          </cell>
        </row>
        <row r="3437">
          <cell r="U3437" t="str">
            <v/>
          </cell>
        </row>
        <row r="3438">
          <cell r="U3438" t="str">
            <v/>
          </cell>
        </row>
        <row r="3439">
          <cell r="U3439" t="str">
            <v/>
          </cell>
        </row>
        <row r="3440">
          <cell r="U3440" t="str">
            <v/>
          </cell>
        </row>
        <row r="3441">
          <cell r="U3441" t="str">
            <v/>
          </cell>
        </row>
        <row r="3442">
          <cell r="U3442" t="str">
            <v/>
          </cell>
        </row>
        <row r="3443">
          <cell r="U3443" t="str">
            <v/>
          </cell>
        </row>
        <row r="3444">
          <cell r="U3444" t="str">
            <v/>
          </cell>
        </row>
        <row r="3445">
          <cell r="U3445" t="str">
            <v/>
          </cell>
        </row>
        <row r="3446">
          <cell r="U3446" t="str">
            <v/>
          </cell>
        </row>
        <row r="3447">
          <cell r="U3447" t="str">
            <v/>
          </cell>
        </row>
        <row r="3448">
          <cell r="U3448" t="str">
            <v/>
          </cell>
        </row>
        <row r="3449">
          <cell r="U3449" t="str">
            <v/>
          </cell>
        </row>
        <row r="3450">
          <cell r="U3450" t="str">
            <v/>
          </cell>
        </row>
        <row r="3451">
          <cell r="U3451" t="str">
            <v/>
          </cell>
        </row>
        <row r="3452">
          <cell r="U3452" t="str">
            <v/>
          </cell>
        </row>
        <row r="3453">
          <cell r="U3453" t="str">
            <v/>
          </cell>
        </row>
        <row r="3454">
          <cell r="U3454" t="str">
            <v/>
          </cell>
        </row>
        <row r="3455">
          <cell r="U3455" t="str">
            <v/>
          </cell>
        </row>
        <row r="3456">
          <cell r="U3456" t="str">
            <v/>
          </cell>
        </row>
        <row r="3457">
          <cell r="U3457" t="str">
            <v/>
          </cell>
        </row>
        <row r="3458">
          <cell r="U3458" t="str">
            <v/>
          </cell>
        </row>
        <row r="3459">
          <cell r="U3459" t="str">
            <v/>
          </cell>
        </row>
        <row r="3460">
          <cell r="U3460" t="str">
            <v/>
          </cell>
        </row>
        <row r="3461">
          <cell r="U3461" t="str">
            <v/>
          </cell>
        </row>
        <row r="3462">
          <cell r="U3462" t="str">
            <v/>
          </cell>
        </row>
        <row r="3463">
          <cell r="U3463" t="str">
            <v/>
          </cell>
        </row>
        <row r="3464">
          <cell r="U3464" t="str">
            <v/>
          </cell>
        </row>
        <row r="3465">
          <cell r="U3465" t="str">
            <v/>
          </cell>
        </row>
        <row r="3466">
          <cell r="U3466" t="str">
            <v/>
          </cell>
        </row>
        <row r="3467">
          <cell r="U3467" t="str">
            <v/>
          </cell>
        </row>
        <row r="3468">
          <cell r="U3468" t="str">
            <v/>
          </cell>
        </row>
        <row r="3469">
          <cell r="U3469" t="str">
            <v/>
          </cell>
        </row>
        <row r="3470">
          <cell r="U3470" t="str">
            <v/>
          </cell>
        </row>
        <row r="3471">
          <cell r="U3471" t="str">
            <v/>
          </cell>
        </row>
        <row r="3472">
          <cell r="U3472" t="str">
            <v/>
          </cell>
        </row>
        <row r="3473">
          <cell r="U3473" t="str">
            <v/>
          </cell>
        </row>
        <row r="3474">
          <cell r="U3474" t="str">
            <v/>
          </cell>
        </row>
        <row r="3475">
          <cell r="U3475" t="str">
            <v/>
          </cell>
        </row>
        <row r="3476">
          <cell r="U3476" t="str">
            <v/>
          </cell>
        </row>
        <row r="3477">
          <cell r="U3477" t="str">
            <v/>
          </cell>
        </row>
        <row r="3478">
          <cell r="U3478" t="str">
            <v/>
          </cell>
        </row>
        <row r="3479">
          <cell r="U3479" t="str">
            <v/>
          </cell>
        </row>
        <row r="3480">
          <cell r="U3480" t="str">
            <v/>
          </cell>
        </row>
        <row r="3481">
          <cell r="U3481" t="str">
            <v/>
          </cell>
        </row>
        <row r="3482">
          <cell r="U3482" t="str">
            <v/>
          </cell>
        </row>
        <row r="3483">
          <cell r="U3483" t="str">
            <v/>
          </cell>
        </row>
        <row r="3484">
          <cell r="U3484" t="str">
            <v/>
          </cell>
        </row>
        <row r="3485">
          <cell r="U3485" t="str">
            <v/>
          </cell>
        </row>
        <row r="3486">
          <cell r="U3486" t="str">
            <v/>
          </cell>
        </row>
        <row r="3487">
          <cell r="U3487" t="str">
            <v/>
          </cell>
        </row>
        <row r="3488">
          <cell r="U3488" t="str">
            <v/>
          </cell>
        </row>
        <row r="3489">
          <cell r="U3489" t="str">
            <v/>
          </cell>
        </row>
        <row r="3490">
          <cell r="U3490" t="str">
            <v/>
          </cell>
        </row>
        <row r="3491">
          <cell r="U3491" t="str">
            <v/>
          </cell>
        </row>
        <row r="3492">
          <cell r="U3492" t="str">
            <v/>
          </cell>
        </row>
        <row r="3493">
          <cell r="U3493" t="str">
            <v/>
          </cell>
        </row>
        <row r="3494">
          <cell r="U3494" t="str">
            <v/>
          </cell>
        </row>
        <row r="3495">
          <cell r="U3495" t="str">
            <v/>
          </cell>
        </row>
        <row r="3496">
          <cell r="U3496" t="str">
            <v/>
          </cell>
        </row>
        <row r="3497">
          <cell r="U3497" t="str">
            <v/>
          </cell>
        </row>
        <row r="3498">
          <cell r="U3498" t="str">
            <v/>
          </cell>
        </row>
        <row r="3499">
          <cell r="U3499" t="str">
            <v/>
          </cell>
        </row>
        <row r="3500">
          <cell r="U3500" t="str">
            <v/>
          </cell>
        </row>
        <row r="3501">
          <cell r="U3501" t="str">
            <v/>
          </cell>
        </row>
        <row r="3502">
          <cell r="U3502" t="str">
            <v/>
          </cell>
        </row>
        <row r="3503">
          <cell r="U3503" t="str">
            <v/>
          </cell>
        </row>
        <row r="3504">
          <cell r="U3504" t="str">
            <v/>
          </cell>
        </row>
        <row r="3505">
          <cell r="U3505" t="str">
            <v/>
          </cell>
        </row>
        <row r="3506">
          <cell r="U3506" t="str">
            <v/>
          </cell>
        </row>
        <row r="3507">
          <cell r="U3507" t="str">
            <v/>
          </cell>
        </row>
        <row r="3508">
          <cell r="U3508" t="str">
            <v/>
          </cell>
        </row>
        <row r="3509">
          <cell r="U3509" t="str">
            <v/>
          </cell>
        </row>
        <row r="3510">
          <cell r="U3510" t="str">
            <v/>
          </cell>
        </row>
        <row r="3511">
          <cell r="U3511" t="str">
            <v/>
          </cell>
        </row>
        <row r="3512">
          <cell r="U3512" t="str">
            <v/>
          </cell>
        </row>
        <row r="3513">
          <cell r="U3513" t="str">
            <v/>
          </cell>
        </row>
        <row r="3514">
          <cell r="U3514" t="str">
            <v/>
          </cell>
        </row>
        <row r="3515">
          <cell r="U3515" t="str">
            <v/>
          </cell>
        </row>
        <row r="3516">
          <cell r="U3516" t="str">
            <v/>
          </cell>
        </row>
        <row r="3517">
          <cell r="U3517" t="str">
            <v/>
          </cell>
        </row>
        <row r="3518">
          <cell r="U3518" t="str">
            <v/>
          </cell>
        </row>
        <row r="3519">
          <cell r="U3519" t="str">
            <v/>
          </cell>
        </row>
        <row r="3520">
          <cell r="U3520" t="str">
            <v/>
          </cell>
        </row>
        <row r="3521">
          <cell r="U3521" t="str">
            <v/>
          </cell>
        </row>
        <row r="3522">
          <cell r="U3522" t="str">
            <v/>
          </cell>
        </row>
        <row r="3523">
          <cell r="U3523" t="str">
            <v/>
          </cell>
        </row>
        <row r="3524">
          <cell r="U3524" t="str">
            <v/>
          </cell>
        </row>
        <row r="3525">
          <cell r="U3525" t="str">
            <v/>
          </cell>
        </row>
        <row r="3526">
          <cell r="U3526" t="str">
            <v/>
          </cell>
        </row>
        <row r="3527">
          <cell r="U3527" t="str">
            <v/>
          </cell>
        </row>
        <row r="3528">
          <cell r="U3528" t="str">
            <v/>
          </cell>
        </row>
        <row r="3529">
          <cell r="U3529" t="str">
            <v/>
          </cell>
        </row>
        <row r="3530">
          <cell r="U3530" t="str">
            <v/>
          </cell>
        </row>
        <row r="3531">
          <cell r="U3531" t="str">
            <v/>
          </cell>
        </row>
        <row r="3532">
          <cell r="U3532" t="str">
            <v/>
          </cell>
        </row>
        <row r="3533">
          <cell r="U3533" t="str">
            <v/>
          </cell>
        </row>
        <row r="3534">
          <cell r="U3534" t="str">
            <v/>
          </cell>
        </row>
        <row r="3535">
          <cell r="U3535" t="str">
            <v/>
          </cell>
        </row>
        <row r="3536">
          <cell r="U3536" t="str">
            <v/>
          </cell>
        </row>
        <row r="3537">
          <cell r="U3537" t="str">
            <v/>
          </cell>
        </row>
        <row r="3538">
          <cell r="U3538" t="str">
            <v/>
          </cell>
        </row>
        <row r="3539">
          <cell r="U3539" t="str">
            <v/>
          </cell>
        </row>
        <row r="3540">
          <cell r="U3540" t="str">
            <v/>
          </cell>
        </row>
        <row r="3541">
          <cell r="U3541" t="str">
            <v/>
          </cell>
        </row>
        <row r="3542">
          <cell r="U3542" t="str">
            <v/>
          </cell>
        </row>
        <row r="3543">
          <cell r="U3543" t="str">
            <v/>
          </cell>
        </row>
        <row r="3544">
          <cell r="U3544" t="str">
            <v/>
          </cell>
        </row>
        <row r="3545">
          <cell r="U3545" t="str">
            <v/>
          </cell>
        </row>
        <row r="3546">
          <cell r="U3546" t="str">
            <v/>
          </cell>
        </row>
        <row r="3547">
          <cell r="U3547" t="str">
            <v/>
          </cell>
        </row>
        <row r="3548">
          <cell r="U3548" t="str">
            <v/>
          </cell>
        </row>
        <row r="3549">
          <cell r="U3549" t="str">
            <v/>
          </cell>
        </row>
        <row r="3550">
          <cell r="U3550" t="str">
            <v/>
          </cell>
        </row>
        <row r="3551">
          <cell r="U3551" t="str">
            <v/>
          </cell>
        </row>
        <row r="3552">
          <cell r="U3552" t="str">
            <v/>
          </cell>
        </row>
        <row r="3553">
          <cell r="U3553" t="str">
            <v/>
          </cell>
        </row>
        <row r="3554">
          <cell r="U3554" t="str">
            <v/>
          </cell>
        </row>
        <row r="3555">
          <cell r="U3555" t="str">
            <v/>
          </cell>
        </row>
        <row r="3556">
          <cell r="U3556" t="str">
            <v/>
          </cell>
        </row>
        <row r="3557">
          <cell r="U3557" t="str">
            <v/>
          </cell>
        </row>
        <row r="3558">
          <cell r="U3558" t="str">
            <v/>
          </cell>
        </row>
        <row r="3559">
          <cell r="U3559" t="str">
            <v/>
          </cell>
        </row>
        <row r="3560">
          <cell r="U3560" t="str">
            <v/>
          </cell>
        </row>
        <row r="3561">
          <cell r="U3561" t="str">
            <v/>
          </cell>
        </row>
        <row r="3562">
          <cell r="U3562" t="str">
            <v/>
          </cell>
        </row>
        <row r="3563">
          <cell r="U3563" t="str">
            <v/>
          </cell>
        </row>
        <row r="3564">
          <cell r="U3564" t="str">
            <v/>
          </cell>
        </row>
        <row r="3565">
          <cell r="U3565" t="str">
            <v/>
          </cell>
        </row>
        <row r="3566">
          <cell r="U3566" t="str">
            <v/>
          </cell>
        </row>
        <row r="3567">
          <cell r="U3567" t="str">
            <v/>
          </cell>
        </row>
        <row r="3568">
          <cell r="U3568" t="str">
            <v/>
          </cell>
        </row>
        <row r="3569">
          <cell r="U3569" t="str">
            <v/>
          </cell>
        </row>
        <row r="3570">
          <cell r="U3570" t="str">
            <v/>
          </cell>
        </row>
        <row r="3571">
          <cell r="U3571" t="str">
            <v/>
          </cell>
        </row>
        <row r="3572">
          <cell r="U3572" t="str">
            <v/>
          </cell>
        </row>
        <row r="3573">
          <cell r="U3573" t="str">
            <v/>
          </cell>
        </row>
        <row r="3574">
          <cell r="U3574" t="str">
            <v/>
          </cell>
        </row>
        <row r="3575">
          <cell r="U3575" t="str">
            <v/>
          </cell>
        </row>
        <row r="3576">
          <cell r="U3576" t="str">
            <v/>
          </cell>
        </row>
        <row r="3577">
          <cell r="U3577" t="str">
            <v/>
          </cell>
        </row>
        <row r="3578">
          <cell r="U3578" t="str">
            <v/>
          </cell>
        </row>
        <row r="3579">
          <cell r="U3579" t="str">
            <v/>
          </cell>
        </row>
        <row r="3580">
          <cell r="U3580" t="str">
            <v/>
          </cell>
        </row>
        <row r="3581">
          <cell r="U3581" t="str">
            <v/>
          </cell>
        </row>
        <row r="3582">
          <cell r="U3582" t="str">
            <v/>
          </cell>
        </row>
        <row r="3583">
          <cell r="U3583" t="str">
            <v/>
          </cell>
        </row>
        <row r="3584">
          <cell r="U3584" t="str">
            <v/>
          </cell>
        </row>
        <row r="3585">
          <cell r="U3585" t="str">
            <v/>
          </cell>
        </row>
        <row r="3586">
          <cell r="U3586" t="str">
            <v/>
          </cell>
        </row>
        <row r="3587">
          <cell r="U3587" t="str">
            <v/>
          </cell>
        </row>
        <row r="3588">
          <cell r="U3588" t="str">
            <v/>
          </cell>
        </row>
        <row r="3589">
          <cell r="U3589" t="str">
            <v/>
          </cell>
        </row>
        <row r="3590">
          <cell r="U3590" t="str">
            <v/>
          </cell>
        </row>
        <row r="3591">
          <cell r="U3591" t="str">
            <v/>
          </cell>
        </row>
        <row r="3592">
          <cell r="U3592" t="str">
            <v/>
          </cell>
        </row>
        <row r="3593">
          <cell r="U3593" t="str">
            <v/>
          </cell>
        </row>
        <row r="3594">
          <cell r="U3594" t="str">
            <v/>
          </cell>
        </row>
        <row r="3595">
          <cell r="U3595" t="str">
            <v/>
          </cell>
        </row>
        <row r="3596">
          <cell r="U3596" t="str">
            <v/>
          </cell>
        </row>
        <row r="3597">
          <cell r="U3597" t="str">
            <v/>
          </cell>
        </row>
        <row r="3598">
          <cell r="U3598" t="str">
            <v/>
          </cell>
        </row>
        <row r="3599">
          <cell r="U3599" t="str">
            <v/>
          </cell>
        </row>
        <row r="3600">
          <cell r="U3600" t="str">
            <v/>
          </cell>
        </row>
        <row r="3601">
          <cell r="U3601" t="str">
            <v/>
          </cell>
        </row>
        <row r="3602">
          <cell r="U3602" t="str">
            <v/>
          </cell>
        </row>
        <row r="3603">
          <cell r="U3603" t="str">
            <v/>
          </cell>
        </row>
        <row r="3604">
          <cell r="U3604" t="str">
            <v/>
          </cell>
        </row>
        <row r="3605">
          <cell r="U3605" t="str">
            <v/>
          </cell>
        </row>
        <row r="3606">
          <cell r="U3606" t="str">
            <v/>
          </cell>
        </row>
        <row r="3607">
          <cell r="U3607" t="str">
            <v/>
          </cell>
        </row>
        <row r="3608">
          <cell r="U3608" t="str">
            <v/>
          </cell>
        </row>
        <row r="3609">
          <cell r="U3609" t="str">
            <v/>
          </cell>
        </row>
        <row r="3610">
          <cell r="U3610" t="str">
            <v/>
          </cell>
        </row>
        <row r="3611">
          <cell r="U3611" t="str">
            <v/>
          </cell>
        </row>
        <row r="3612">
          <cell r="U3612" t="str">
            <v/>
          </cell>
        </row>
        <row r="3613">
          <cell r="U3613" t="str">
            <v/>
          </cell>
        </row>
        <row r="3614">
          <cell r="U3614" t="str">
            <v/>
          </cell>
        </row>
        <row r="3615">
          <cell r="U3615" t="str">
            <v/>
          </cell>
        </row>
        <row r="3616">
          <cell r="U3616" t="str">
            <v/>
          </cell>
        </row>
        <row r="3617">
          <cell r="U3617" t="str">
            <v/>
          </cell>
        </row>
        <row r="3618">
          <cell r="U3618" t="str">
            <v/>
          </cell>
        </row>
        <row r="3619">
          <cell r="U3619" t="str">
            <v/>
          </cell>
        </row>
        <row r="3620">
          <cell r="U3620" t="str">
            <v/>
          </cell>
        </row>
        <row r="3621">
          <cell r="U3621" t="str">
            <v/>
          </cell>
        </row>
        <row r="3622">
          <cell r="U3622" t="str">
            <v/>
          </cell>
        </row>
        <row r="3623">
          <cell r="U3623" t="str">
            <v/>
          </cell>
        </row>
        <row r="3624">
          <cell r="U3624" t="str">
            <v/>
          </cell>
        </row>
        <row r="3625">
          <cell r="U3625" t="str">
            <v/>
          </cell>
        </row>
        <row r="3626">
          <cell r="U3626" t="str">
            <v/>
          </cell>
        </row>
        <row r="3627">
          <cell r="U3627" t="str">
            <v/>
          </cell>
        </row>
        <row r="3628">
          <cell r="U3628" t="str">
            <v/>
          </cell>
        </row>
        <row r="3629">
          <cell r="U3629" t="str">
            <v/>
          </cell>
        </row>
        <row r="3630">
          <cell r="U3630" t="str">
            <v/>
          </cell>
        </row>
        <row r="3631">
          <cell r="U3631" t="str">
            <v/>
          </cell>
        </row>
        <row r="3632">
          <cell r="U3632" t="str">
            <v/>
          </cell>
        </row>
        <row r="3633">
          <cell r="U3633" t="str">
            <v/>
          </cell>
        </row>
        <row r="3634">
          <cell r="U3634" t="str">
            <v/>
          </cell>
        </row>
        <row r="3635">
          <cell r="U3635" t="str">
            <v/>
          </cell>
        </row>
        <row r="3636">
          <cell r="U3636" t="str">
            <v/>
          </cell>
        </row>
        <row r="3637">
          <cell r="U3637" t="str">
            <v/>
          </cell>
        </row>
        <row r="3638">
          <cell r="U3638" t="str">
            <v/>
          </cell>
        </row>
        <row r="3639">
          <cell r="U3639" t="str">
            <v/>
          </cell>
        </row>
        <row r="3640">
          <cell r="U3640" t="str">
            <v/>
          </cell>
        </row>
        <row r="3641">
          <cell r="U3641" t="str">
            <v/>
          </cell>
        </row>
        <row r="3642">
          <cell r="U3642" t="str">
            <v/>
          </cell>
        </row>
        <row r="3643">
          <cell r="U3643" t="str">
            <v/>
          </cell>
        </row>
        <row r="3644">
          <cell r="U3644" t="str">
            <v/>
          </cell>
        </row>
        <row r="3645">
          <cell r="U3645" t="str">
            <v/>
          </cell>
        </row>
        <row r="3646">
          <cell r="U3646" t="str">
            <v/>
          </cell>
        </row>
        <row r="3647">
          <cell r="U3647" t="str">
            <v/>
          </cell>
        </row>
        <row r="3648">
          <cell r="U3648" t="str">
            <v/>
          </cell>
        </row>
        <row r="3649">
          <cell r="U3649" t="str">
            <v/>
          </cell>
        </row>
        <row r="3650">
          <cell r="U3650" t="str">
            <v/>
          </cell>
        </row>
        <row r="3651">
          <cell r="U3651" t="str">
            <v/>
          </cell>
        </row>
        <row r="3652">
          <cell r="U3652" t="str">
            <v/>
          </cell>
        </row>
        <row r="3653">
          <cell r="U3653" t="str">
            <v/>
          </cell>
        </row>
        <row r="3654">
          <cell r="U3654" t="str">
            <v/>
          </cell>
        </row>
        <row r="3655">
          <cell r="U3655" t="str">
            <v/>
          </cell>
        </row>
        <row r="3656">
          <cell r="U3656" t="str">
            <v/>
          </cell>
        </row>
        <row r="3657">
          <cell r="U3657" t="str">
            <v/>
          </cell>
        </row>
        <row r="3658">
          <cell r="U3658" t="str">
            <v/>
          </cell>
        </row>
        <row r="3659">
          <cell r="U3659" t="str">
            <v/>
          </cell>
        </row>
        <row r="3660">
          <cell r="U3660" t="str">
            <v/>
          </cell>
        </row>
        <row r="3661">
          <cell r="U3661" t="str">
            <v/>
          </cell>
        </row>
        <row r="3662">
          <cell r="U3662" t="str">
            <v/>
          </cell>
        </row>
        <row r="3663">
          <cell r="U3663" t="str">
            <v/>
          </cell>
        </row>
        <row r="3664">
          <cell r="U3664" t="str">
            <v/>
          </cell>
        </row>
        <row r="3665">
          <cell r="U3665" t="str">
            <v/>
          </cell>
        </row>
        <row r="3666">
          <cell r="U3666" t="str">
            <v/>
          </cell>
        </row>
        <row r="3667">
          <cell r="U3667" t="str">
            <v/>
          </cell>
        </row>
        <row r="3668">
          <cell r="U3668" t="str">
            <v/>
          </cell>
        </row>
        <row r="3669">
          <cell r="U3669" t="str">
            <v/>
          </cell>
        </row>
        <row r="3670">
          <cell r="U3670" t="str">
            <v/>
          </cell>
        </row>
        <row r="3671">
          <cell r="U3671" t="str">
            <v/>
          </cell>
        </row>
        <row r="3672">
          <cell r="U3672" t="str">
            <v/>
          </cell>
        </row>
        <row r="3673">
          <cell r="U3673" t="str">
            <v/>
          </cell>
        </row>
        <row r="3674">
          <cell r="U3674" t="str">
            <v/>
          </cell>
        </row>
        <row r="3675">
          <cell r="U3675" t="str">
            <v/>
          </cell>
        </row>
        <row r="3676">
          <cell r="U3676" t="str">
            <v/>
          </cell>
        </row>
        <row r="3677">
          <cell r="U3677" t="str">
            <v/>
          </cell>
        </row>
        <row r="3678">
          <cell r="U3678" t="str">
            <v/>
          </cell>
        </row>
        <row r="3679">
          <cell r="U3679" t="str">
            <v/>
          </cell>
        </row>
        <row r="3680">
          <cell r="U3680" t="str">
            <v/>
          </cell>
        </row>
        <row r="3681">
          <cell r="U3681" t="str">
            <v/>
          </cell>
        </row>
        <row r="3682">
          <cell r="U3682" t="str">
            <v/>
          </cell>
        </row>
        <row r="3683">
          <cell r="U3683" t="str">
            <v/>
          </cell>
        </row>
        <row r="3684">
          <cell r="U3684" t="str">
            <v/>
          </cell>
        </row>
        <row r="3685">
          <cell r="U3685" t="str">
            <v/>
          </cell>
        </row>
        <row r="3686">
          <cell r="U3686" t="str">
            <v/>
          </cell>
        </row>
        <row r="3687">
          <cell r="U3687" t="str">
            <v/>
          </cell>
        </row>
        <row r="3688">
          <cell r="U3688" t="str">
            <v/>
          </cell>
        </row>
        <row r="3689">
          <cell r="U3689" t="str">
            <v/>
          </cell>
        </row>
        <row r="3690">
          <cell r="U3690" t="str">
            <v/>
          </cell>
        </row>
        <row r="3691">
          <cell r="U3691" t="str">
            <v/>
          </cell>
        </row>
        <row r="3692">
          <cell r="U3692" t="str">
            <v/>
          </cell>
        </row>
        <row r="3693">
          <cell r="U3693" t="str">
            <v/>
          </cell>
        </row>
        <row r="3694">
          <cell r="U3694" t="str">
            <v/>
          </cell>
        </row>
        <row r="3695">
          <cell r="U3695" t="str">
            <v/>
          </cell>
        </row>
        <row r="3696">
          <cell r="U3696" t="str">
            <v/>
          </cell>
        </row>
        <row r="3697">
          <cell r="U3697" t="str">
            <v/>
          </cell>
        </row>
        <row r="3698">
          <cell r="U3698" t="str">
            <v/>
          </cell>
        </row>
        <row r="3699">
          <cell r="U3699" t="str">
            <v/>
          </cell>
        </row>
        <row r="3700">
          <cell r="U3700" t="str">
            <v/>
          </cell>
        </row>
        <row r="3701">
          <cell r="U3701" t="str">
            <v/>
          </cell>
        </row>
        <row r="3702">
          <cell r="U3702" t="str">
            <v/>
          </cell>
        </row>
        <row r="3703">
          <cell r="U3703" t="str">
            <v/>
          </cell>
        </row>
        <row r="3704">
          <cell r="U3704" t="str">
            <v/>
          </cell>
        </row>
        <row r="3705">
          <cell r="U3705" t="str">
            <v/>
          </cell>
        </row>
        <row r="3706">
          <cell r="U3706" t="str">
            <v/>
          </cell>
        </row>
        <row r="3707">
          <cell r="U3707" t="str">
            <v/>
          </cell>
        </row>
        <row r="3708">
          <cell r="U3708" t="str">
            <v/>
          </cell>
        </row>
        <row r="3709">
          <cell r="U3709" t="str">
            <v/>
          </cell>
        </row>
        <row r="3710">
          <cell r="U3710" t="str">
            <v/>
          </cell>
        </row>
        <row r="3711">
          <cell r="U3711" t="str">
            <v/>
          </cell>
        </row>
        <row r="3712">
          <cell r="U3712" t="str">
            <v/>
          </cell>
        </row>
        <row r="3713">
          <cell r="U3713" t="str">
            <v/>
          </cell>
        </row>
        <row r="3714">
          <cell r="U3714" t="str">
            <v/>
          </cell>
        </row>
        <row r="3715">
          <cell r="U3715" t="str">
            <v/>
          </cell>
        </row>
        <row r="3716">
          <cell r="U3716" t="str">
            <v/>
          </cell>
        </row>
        <row r="3717">
          <cell r="U3717" t="str">
            <v/>
          </cell>
        </row>
        <row r="3718">
          <cell r="U3718" t="str">
            <v/>
          </cell>
        </row>
        <row r="3719">
          <cell r="U3719" t="str">
            <v/>
          </cell>
        </row>
        <row r="3720">
          <cell r="U3720" t="str">
            <v/>
          </cell>
        </row>
        <row r="3721">
          <cell r="U3721" t="str">
            <v/>
          </cell>
        </row>
        <row r="3722">
          <cell r="U3722" t="str">
            <v/>
          </cell>
        </row>
        <row r="3723">
          <cell r="U3723" t="str">
            <v/>
          </cell>
        </row>
        <row r="3724">
          <cell r="U3724" t="str">
            <v/>
          </cell>
        </row>
        <row r="3725">
          <cell r="U3725" t="str">
            <v/>
          </cell>
        </row>
        <row r="3726">
          <cell r="U3726" t="str">
            <v/>
          </cell>
        </row>
        <row r="3727">
          <cell r="U3727" t="str">
            <v/>
          </cell>
        </row>
        <row r="3728">
          <cell r="U3728" t="str">
            <v/>
          </cell>
        </row>
        <row r="3729">
          <cell r="U3729" t="str">
            <v/>
          </cell>
        </row>
        <row r="3730">
          <cell r="U3730" t="str">
            <v/>
          </cell>
        </row>
        <row r="3731">
          <cell r="U3731" t="str">
            <v/>
          </cell>
        </row>
        <row r="3732">
          <cell r="U3732" t="str">
            <v/>
          </cell>
        </row>
        <row r="3733">
          <cell r="U3733" t="str">
            <v/>
          </cell>
        </row>
        <row r="3734">
          <cell r="U3734" t="str">
            <v/>
          </cell>
        </row>
        <row r="3735">
          <cell r="U3735" t="str">
            <v/>
          </cell>
        </row>
        <row r="3736">
          <cell r="U3736" t="str">
            <v/>
          </cell>
        </row>
        <row r="3737">
          <cell r="U3737" t="str">
            <v/>
          </cell>
        </row>
        <row r="3738">
          <cell r="U3738" t="str">
            <v/>
          </cell>
        </row>
        <row r="3739">
          <cell r="U3739" t="str">
            <v/>
          </cell>
        </row>
        <row r="3740">
          <cell r="U3740" t="str">
            <v/>
          </cell>
        </row>
        <row r="3741">
          <cell r="U3741" t="str">
            <v/>
          </cell>
        </row>
        <row r="3742">
          <cell r="U3742" t="str">
            <v/>
          </cell>
        </row>
        <row r="3743">
          <cell r="U3743" t="str">
            <v/>
          </cell>
        </row>
        <row r="3744">
          <cell r="U3744" t="str">
            <v/>
          </cell>
        </row>
        <row r="3745">
          <cell r="U3745" t="str">
            <v/>
          </cell>
        </row>
        <row r="3746">
          <cell r="U3746" t="str">
            <v/>
          </cell>
        </row>
        <row r="3747">
          <cell r="U3747" t="str">
            <v/>
          </cell>
        </row>
        <row r="3748">
          <cell r="U3748" t="str">
            <v/>
          </cell>
        </row>
        <row r="3749">
          <cell r="U3749" t="str">
            <v/>
          </cell>
        </row>
        <row r="3750">
          <cell r="U3750" t="str">
            <v/>
          </cell>
        </row>
        <row r="3751">
          <cell r="U3751" t="str">
            <v/>
          </cell>
        </row>
        <row r="3752">
          <cell r="U3752" t="str">
            <v/>
          </cell>
        </row>
        <row r="3753">
          <cell r="U3753" t="str">
            <v/>
          </cell>
        </row>
        <row r="3754">
          <cell r="U3754" t="str">
            <v/>
          </cell>
        </row>
        <row r="3755">
          <cell r="U3755" t="str">
            <v/>
          </cell>
        </row>
        <row r="3756">
          <cell r="U3756" t="str">
            <v/>
          </cell>
        </row>
        <row r="3757">
          <cell r="U3757" t="str">
            <v/>
          </cell>
        </row>
        <row r="3758">
          <cell r="U3758" t="str">
            <v/>
          </cell>
        </row>
        <row r="3759">
          <cell r="U3759" t="str">
            <v/>
          </cell>
        </row>
        <row r="3760">
          <cell r="U3760" t="str">
            <v/>
          </cell>
        </row>
        <row r="3761">
          <cell r="U3761" t="str">
            <v/>
          </cell>
        </row>
        <row r="3762">
          <cell r="U3762" t="str">
            <v/>
          </cell>
        </row>
        <row r="3763">
          <cell r="U3763" t="str">
            <v/>
          </cell>
        </row>
        <row r="3764">
          <cell r="U3764" t="str">
            <v/>
          </cell>
        </row>
        <row r="3765">
          <cell r="U3765" t="str">
            <v/>
          </cell>
        </row>
        <row r="3766">
          <cell r="U3766" t="str">
            <v/>
          </cell>
        </row>
        <row r="3767">
          <cell r="U3767" t="str">
            <v/>
          </cell>
        </row>
        <row r="3768">
          <cell r="U3768" t="str">
            <v/>
          </cell>
        </row>
        <row r="3769">
          <cell r="U3769" t="str">
            <v/>
          </cell>
        </row>
        <row r="3770">
          <cell r="U3770" t="str">
            <v/>
          </cell>
        </row>
        <row r="3771">
          <cell r="U3771" t="str">
            <v/>
          </cell>
        </row>
        <row r="3772">
          <cell r="U3772" t="str">
            <v/>
          </cell>
        </row>
        <row r="3773">
          <cell r="U3773" t="str">
            <v/>
          </cell>
        </row>
        <row r="3774">
          <cell r="U3774" t="str">
            <v/>
          </cell>
        </row>
        <row r="3775">
          <cell r="U3775" t="str">
            <v/>
          </cell>
        </row>
        <row r="3776">
          <cell r="U3776" t="str">
            <v/>
          </cell>
        </row>
        <row r="3777">
          <cell r="U3777" t="str">
            <v/>
          </cell>
        </row>
        <row r="3778">
          <cell r="U3778" t="str">
            <v/>
          </cell>
        </row>
        <row r="3779">
          <cell r="U3779" t="str">
            <v/>
          </cell>
        </row>
        <row r="3780">
          <cell r="U3780" t="str">
            <v/>
          </cell>
        </row>
        <row r="3781">
          <cell r="U3781" t="str">
            <v/>
          </cell>
        </row>
        <row r="3782">
          <cell r="U3782" t="str">
            <v/>
          </cell>
        </row>
        <row r="3783">
          <cell r="U3783" t="str">
            <v/>
          </cell>
        </row>
        <row r="3784">
          <cell r="U3784" t="str">
            <v/>
          </cell>
        </row>
        <row r="3785">
          <cell r="U3785" t="str">
            <v/>
          </cell>
        </row>
        <row r="3786">
          <cell r="U3786" t="str">
            <v/>
          </cell>
        </row>
        <row r="3787">
          <cell r="U3787" t="str">
            <v/>
          </cell>
        </row>
        <row r="3788">
          <cell r="U3788" t="str">
            <v/>
          </cell>
        </row>
        <row r="3789">
          <cell r="U3789" t="str">
            <v/>
          </cell>
        </row>
        <row r="3790">
          <cell r="U3790" t="str">
            <v/>
          </cell>
        </row>
        <row r="3791">
          <cell r="U3791" t="str">
            <v/>
          </cell>
        </row>
        <row r="3792">
          <cell r="U3792" t="str">
            <v/>
          </cell>
        </row>
        <row r="3793">
          <cell r="U3793" t="str">
            <v/>
          </cell>
        </row>
        <row r="3794">
          <cell r="U3794" t="str">
            <v/>
          </cell>
        </row>
        <row r="3795">
          <cell r="U3795" t="str">
            <v/>
          </cell>
        </row>
        <row r="3796">
          <cell r="U3796" t="str">
            <v/>
          </cell>
        </row>
        <row r="3797">
          <cell r="U3797" t="str">
            <v/>
          </cell>
        </row>
        <row r="3798">
          <cell r="U3798" t="str">
            <v/>
          </cell>
        </row>
        <row r="3799">
          <cell r="U3799" t="str">
            <v/>
          </cell>
        </row>
        <row r="3800">
          <cell r="U3800" t="str">
            <v/>
          </cell>
        </row>
        <row r="3801">
          <cell r="U3801" t="str">
            <v/>
          </cell>
        </row>
        <row r="3802">
          <cell r="U3802" t="str">
            <v/>
          </cell>
        </row>
        <row r="3803">
          <cell r="U3803" t="str">
            <v/>
          </cell>
        </row>
        <row r="3804">
          <cell r="U3804" t="str">
            <v/>
          </cell>
        </row>
        <row r="3805">
          <cell r="U3805" t="str">
            <v/>
          </cell>
        </row>
        <row r="3806">
          <cell r="U3806" t="str">
            <v/>
          </cell>
        </row>
        <row r="3807">
          <cell r="U3807" t="str">
            <v/>
          </cell>
        </row>
        <row r="3808">
          <cell r="U3808" t="str">
            <v/>
          </cell>
        </row>
        <row r="3809">
          <cell r="U3809" t="str">
            <v/>
          </cell>
        </row>
        <row r="3810">
          <cell r="U3810" t="str">
            <v/>
          </cell>
        </row>
        <row r="3811">
          <cell r="U3811" t="str">
            <v/>
          </cell>
        </row>
        <row r="3812">
          <cell r="U3812" t="str">
            <v/>
          </cell>
        </row>
        <row r="3813">
          <cell r="U3813" t="str">
            <v/>
          </cell>
        </row>
        <row r="3814">
          <cell r="U3814" t="str">
            <v/>
          </cell>
        </row>
        <row r="3815">
          <cell r="U3815" t="str">
            <v/>
          </cell>
        </row>
        <row r="3816">
          <cell r="U3816" t="str">
            <v/>
          </cell>
        </row>
        <row r="3817">
          <cell r="U3817" t="str">
            <v/>
          </cell>
        </row>
        <row r="3818">
          <cell r="U3818" t="str">
            <v/>
          </cell>
        </row>
        <row r="3819">
          <cell r="U3819" t="str">
            <v/>
          </cell>
        </row>
        <row r="3820">
          <cell r="U3820" t="str">
            <v/>
          </cell>
        </row>
        <row r="3821">
          <cell r="U3821" t="str">
            <v/>
          </cell>
        </row>
        <row r="3822">
          <cell r="U3822" t="str">
            <v/>
          </cell>
        </row>
        <row r="3823">
          <cell r="U3823" t="str">
            <v/>
          </cell>
        </row>
        <row r="3824">
          <cell r="U3824" t="str">
            <v/>
          </cell>
        </row>
        <row r="3825">
          <cell r="U3825" t="str">
            <v/>
          </cell>
        </row>
        <row r="3826">
          <cell r="U3826" t="str">
            <v/>
          </cell>
        </row>
        <row r="3827">
          <cell r="U3827" t="str">
            <v/>
          </cell>
        </row>
        <row r="3828">
          <cell r="U3828" t="str">
            <v/>
          </cell>
        </row>
        <row r="3829">
          <cell r="U3829" t="str">
            <v/>
          </cell>
        </row>
        <row r="3830">
          <cell r="U3830" t="str">
            <v/>
          </cell>
        </row>
        <row r="3831">
          <cell r="U3831" t="str">
            <v/>
          </cell>
        </row>
        <row r="3832">
          <cell r="U3832" t="str">
            <v/>
          </cell>
        </row>
        <row r="3833">
          <cell r="U3833" t="str">
            <v/>
          </cell>
        </row>
        <row r="3834">
          <cell r="U3834" t="str">
            <v/>
          </cell>
        </row>
        <row r="3835">
          <cell r="U3835" t="str">
            <v/>
          </cell>
        </row>
        <row r="3836">
          <cell r="U3836" t="str">
            <v/>
          </cell>
        </row>
        <row r="3837">
          <cell r="U3837" t="str">
            <v/>
          </cell>
        </row>
        <row r="3838">
          <cell r="U3838" t="str">
            <v/>
          </cell>
        </row>
        <row r="3839">
          <cell r="U3839" t="str">
            <v/>
          </cell>
        </row>
        <row r="3840">
          <cell r="U3840" t="str">
            <v/>
          </cell>
        </row>
        <row r="3841">
          <cell r="U3841" t="str">
            <v/>
          </cell>
        </row>
        <row r="3842">
          <cell r="U3842" t="str">
            <v/>
          </cell>
        </row>
        <row r="3843">
          <cell r="U3843" t="str">
            <v/>
          </cell>
        </row>
        <row r="3844">
          <cell r="U3844" t="str">
            <v/>
          </cell>
        </row>
        <row r="3845">
          <cell r="U3845" t="str">
            <v/>
          </cell>
        </row>
        <row r="3846">
          <cell r="U3846" t="str">
            <v/>
          </cell>
        </row>
        <row r="3847">
          <cell r="U3847" t="str">
            <v/>
          </cell>
        </row>
        <row r="3848">
          <cell r="U3848" t="str">
            <v/>
          </cell>
        </row>
        <row r="3849">
          <cell r="U3849" t="str">
            <v/>
          </cell>
        </row>
        <row r="3850">
          <cell r="U3850" t="str">
            <v/>
          </cell>
        </row>
        <row r="3851">
          <cell r="U3851" t="str">
            <v/>
          </cell>
        </row>
        <row r="3852">
          <cell r="U3852" t="str">
            <v/>
          </cell>
        </row>
        <row r="3853">
          <cell r="U3853" t="str">
            <v/>
          </cell>
        </row>
        <row r="3854">
          <cell r="U3854" t="str">
            <v/>
          </cell>
        </row>
        <row r="3855">
          <cell r="U3855" t="str">
            <v/>
          </cell>
        </row>
        <row r="3856">
          <cell r="U3856" t="str">
            <v/>
          </cell>
        </row>
        <row r="3857">
          <cell r="U3857" t="str">
            <v/>
          </cell>
        </row>
        <row r="3858">
          <cell r="U3858" t="str">
            <v/>
          </cell>
        </row>
        <row r="3859">
          <cell r="U3859" t="str">
            <v/>
          </cell>
        </row>
        <row r="3860">
          <cell r="U3860" t="str">
            <v/>
          </cell>
        </row>
        <row r="3861">
          <cell r="U3861" t="str">
            <v/>
          </cell>
        </row>
        <row r="3862">
          <cell r="U3862" t="str">
            <v/>
          </cell>
        </row>
        <row r="3863">
          <cell r="U3863" t="str">
            <v/>
          </cell>
        </row>
        <row r="3864">
          <cell r="U3864" t="str">
            <v/>
          </cell>
        </row>
        <row r="3865">
          <cell r="U3865" t="str">
            <v/>
          </cell>
        </row>
        <row r="3866">
          <cell r="U3866" t="str">
            <v/>
          </cell>
        </row>
        <row r="3867">
          <cell r="U3867" t="str">
            <v/>
          </cell>
        </row>
        <row r="3868">
          <cell r="U3868" t="str">
            <v/>
          </cell>
        </row>
        <row r="3869">
          <cell r="U3869" t="str">
            <v/>
          </cell>
        </row>
        <row r="3870">
          <cell r="U3870" t="str">
            <v/>
          </cell>
        </row>
        <row r="3871">
          <cell r="U3871" t="str">
            <v/>
          </cell>
        </row>
        <row r="3872">
          <cell r="U3872" t="str">
            <v/>
          </cell>
        </row>
        <row r="3873">
          <cell r="U3873" t="str">
            <v/>
          </cell>
        </row>
        <row r="3874">
          <cell r="U3874" t="str">
            <v/>
          </cell>
        </row>
        <row r="3875">
          <cell r="U3875" t="str">
            <v/>
          </cell>
        </row>
        <row r="3876">
          <cell r="U3876" t="str">
            <v/>
          </cell>
        </row>
        <row r="3877">
          <cell r="U3877" t="str">
            <v/>
          </cell>
        </row>
        <row r="3878">
          <cell r="U3878" t="str">
            <v/>
          </cell>
        </row>
        <row r="3879">
          <cell r="U3879" t="str">
            <v/>
          </cell>
        </row>
        <row r="3880">
          <cell r="U3880" t="str">
            <v/>
          </cell>
        </row>
        <row r="3881">
          <cell r="U3881" t="str">
            <v/>
          </cell>
        </row>
        <row r="3882">
          <cell r="U3882" t="str">
            <v/>
          </cell>
        </row>
        <row r="3883">
          <cell r="U3883" t="str">
            <v/>
          </cell>
        </row>
        <row r="3884">
          <cell r="U3884" t="str">
            <v/>
          </cell>
        </row>
        <row r="3885">
          <cell r="U3885" t="str">
            <v/>
          </cell>
        </row>
        <row r="3886">
          <cell r="U3886" t="str">
            <v/>
          </cell>
        </row>
        <row r="3887">
          <cell r="U3887" t="str">
            <v/>
          </cell>
        </row>
        <row r="3888">
          <cell r="U3888" t="str">
            <v/>
          </cell>
        </row>
        <row r="3889">
          <cell r="U3889" t="str">
            <v/>
          </cell>
        </row>
        <row r="3890">
          <cell r="U3890" t="str">
            <v/>
          </cell>
        </row>
        <row r="3891">
          <cell r="U3891" t="str">
            <v/>
          </cell>
        </row>
        <row r="3892">
          <cell r="U3892" t="str">
            <v/>
          </cell>
        </row>
        <row r="3893">
          <cell r="U3893" t="str">
            <v/>
          </cell>
        </row>
        <row r="3894">
          <cell r="U3894" t="str">
            <v/>
          </cell>
        </row>
        <row r="3895">
          <cell r="U3895" t="str">
            <v/>
          </cell>
        </row>
        <row r="3896">
          <cell r="U3896" t="str">
            <v/>
          </cell>
        </row>
        <row r="3897">
          <cell r="U3897" t="str">
            <v/>
          </cell>
        </row>
        <row r="3898">
          <cell r="U3898" t="str">
            <v/>
          </cell>
        </row>
        <row r="3899">
          <cell r="U3899" t="str">
            <v/>
          </cell>
        </row>
        <row r="3900">
          <cell r="U3900" t="str">
            <v/>
          </cell>
        </row>
        <row r="3901">
          <cell r="U3901" t="str">
            <v/>
          </cell>
        </row>
        <row r="3902">
          <cell r="U3902" t="str">
            <v/>
          </cell>
        </row>
        <row r="3903">
          <cell r="U3903" t="str">
            <v/>
          </cell>
        </row>
        <row r="3904">
          <cell r="U3904" t="str">
            <v/>
          </cell>
        </row>
        <row r="3905">
          <cell r="U3905" t="str">
            <v/>
          </cell>
        </row>
        <row r="3906">
          <cell r="U3906" t="str">
            <v/>
          </cell>
        </row>
        <row r="3907">
          <cell r="U3907" t="str">
            <v/>
          </cell>
        </row>
        <row r="3908">
          <cell r="U3908" t="str">
            <v/>
          </cell>
        </row>
        <row r="3909">
          <cell r="U3909" t="str">
            <v/>
          </cell>
        </row>
        <row r="3910">
          <cell r="U3910" t="str">
            <v/>
          </cell>
        </row>
        <row r="3911">
          <cell r="U3911" t="str">
            <v/>
          </cell>
        </row>
        <row r="3912">
          <cell r="U3912" t="str">
            <v/>
          </cell>
        </row>
        <row r="3913">
          <cell r="U3913" t="str">
            <v/>
          </cell>
        </row>
        <row r="3914">
          <cell r="U3914" t="str">
            <v/>
          </cell>
        </row>
        <row r="3915">
          <cell r="U3915" t="str">
            <v/>
          </cell>
        </row>
        <row r="3916">
          <cell r="U3916" t="str">
            <v/>
          </cell>
        </row>
        <row r="3917">
          <cell r="U3917" t="str">
            <v/>
          </cell>
        </row>
        <row r="3918">
          <cell r="U3918" t="str">
            <v/>
          </cell>
        </row>
        <row r="3919">
          <cell r="U3919" t="str">
            <v/>
          </cell>
        </row>
        <row r="3920">
          <cell r="U3920" t="str">
            <v/>
          </cell>
        </row>
        <row r="3921">
          <cell r="U3921" t="str">
            <v/>
          </cell>
        </row>
        <row r="3922">
          <cell r="U3922" t="str">
            <v/>
          </cell>
        </row>
        <row r="3923">
          <cell r="U3923" t="str">
            <v/>
          </cell>
        </row>
        <row r="3924">
          <cell r="U3924" t="str">
            <v/>
          </cell>
        </row>
        <row r="3925">
          <cell r="U3925" t="str">
            <v/>
          </cell>
        </row>
        <row r="3926">
          <cell r="U3926" t="str">
            <v/>
          </cell>
        </row>
        <row r="3927">
          <cell r="U3927" t="str">
            <v/>
          </cell>
        </row>
        <row r="3928">
          <cell r="U3928" t="str">
            <v/>
          </cell>
        </row>
        <row r="3929">
          <cell r="U3929" t="str">
            <v/>
          </cell>
        </row>
        <row r="3930">
          <cell r="U3930" t="str">
            <v/>
          </cell>
        </row>
        <row r="3931">
          <cell r="U3931" t="str">
            <v/>
          </cell>
        </row>
        <row r="3932">
          <cell r="U3932" t="str">
            <v/>
          </cell>
        </row>
        <row r="3933">
          <cell r="U3933" t="str">
            <v/>
          </cell>
        </row>
        <row r="3934">
          <cell r="U3934" t="str">
            <v/>
          </cell>
        </row>
        <row r="3935">
          <cell r="U3935" t="str">
            <v/>
          </cell>
        </row>
        <row r="3936">
          <cell r="U3936" t="str">
            <v/>
          </cell>
        </row>
        <row r="3937">
          <cell r="U3937" t="str">
            <v/>
          </cell>
        </row>
        <row r="3938">
          <cell r="U3938" t="str">
            <v/>
          </cell>
        </row>
        <row r="3939">
          <cell r="U3939" t="str">
            <v/>
          </cell>
        </row>
        <row r="3940">
          <cell r="U3940" t="str">
            <v/>
          </cell>
        </row>
        <row r="3941">
          <cell r="U3941" t="str">
            <v/>
          </cell>
        </row>
        <row r="3942">
          <cell r="U3942" t="str">
            <v/>
          </cell>
        </row>
        <row r="3943">
          <cell r="U3943" t="str">
            <v/>
          </cell>
        </row>
        <row r="3944">
          <cell r="U3944" t="str">
            <v/>
          </cell>
        </row>
        <row r="3945">
          <cell r="U3945" t="str">
            <v/>
          </cell>
        </row>
        <row r="3946">
          <cell r="U3946" t="str">
            <v/>
          </cell>
        </row>
        <row r="3947">
          <cell r="U3947" t="str">
            <v/>
          </cell>
        </row>
        <row r="3948">
          <cell r="U3948" t="str">
            <v/>
          </cell>
        </row>
        <row r="3949">
          <cell r="U3949" t="str">
            <v/>
          </cell>
        </row>
        <row r="3950">
          <cell r="U3950" t="str">
            <v/>
          </cell>
        </row>
        <row r="3951">
          <cell r="U3951" t="str">
            <v/>
          </cell>
        </row>
        <row r="3952">
          <cell r="U3952" t="str">
            <v/>
          </cell>
        </row>
        <row r="3953">
          <cell r="U3953" t="str">
            <v/>
          </cell>
        </row>
        <row r="3954">
          <cell r="U3954" t="str">
            <v/>
          </cell>
        </row>
        <row r="3955">
          <cell r="U3955" t="str">
            <v/>
          </cell>
        </row>
        <row r="3956">
          <cell r="U3956" t="str">
            <v/>
          </cell>
        </row>
        <row r="3957">
          <cell r="U3957" t="str">
            <v/>
          </cell>
        </row>
        <row r="3958">
          <cell r="U3958" t="str">
            <v/>
          </cell>
        </row>
        <row r="3959">
          <cell r="U3959" t="str">
            <v/>
          </cell>
        </row>
        <row r="3960">
          <cell r="U3960" t="str">
            <v/>
          </cell>
        </row>
        <row r="3961">
          <cell r="U3961" t="str">
            <v/>
          </cell>
        </row>
        <row r="3962">
          <cell r="U3962" t="str">
            <v/>
          </cell>
        </row>
        <row r="3963">
          <cell r="U3963" t="str">
            <v/>
          </cell>
        </row>
        <row r="3964">
          <cell r="U3964" t="str">
            <v/>
          </cell>
        </row>
        <row r="3965">
          <cell r="U3965" t="str">
            <v/>
          </cell>
        </row>
        <row r="3966">
          <cell r="U3966" t="str">
            <v/>
          </cell>
        </row>
        <row r="3967">
          <cell r="U3967" t="str">
            <v/>
          </cell>
        </row>
        <row r="3968">
          <cell r="U3968" t="str">
            <v/>
          </cell>
        </row>
        <row r="3969">
          <cell r="U3969" t="str">
            <v/>
          </cell>
        </row>
        <row r="3970">
          <cell r="U3970" t="str">
            <v/>
          </cell>
        </row>
        <row r="3971">
          <cell r="U3971" t="str">
            <v/>
          </cell>
        </row>
        <row r="3972">
          <cell r="U3972" t="str">
            <v/>
          </cell>
        </row>
        <row r="3973">
          <cell r="U3973" t="str">
            <v/>
          </cell>
        </row>
        <row r="3974">
          <cell r="U3974" t="str">
            <v/>
          </cell>
        </row>
        <row r="3975">
          <cell r="U3975" t="str">
            <v/>
          </cell>
        </row>
        <row r="3976">
          <cell r="U3976" t="str">
            <v/>
          </cell>
        </row>
        <row r="3977">
          <cell r="U3977" t="str">
            <v/>
          </cell>
        </row>
        <row r="3978">
          <cell r="U3978" t="str">
            <v/>
          </cell>
        </row>
        <row r="3979">
          <cell r="U3979" t="str">
            <v/>
          </cell>
        </row>
        <row r="3980">
          <cell r="U3980" t="str">
            <v/>
          </cell>
        </row>
        <row r="3981">
          <cell r="U3981" t="str">
            <v/>
          </cell>
        </row>
        <row r="3982">
          <cell r="U3982" t="str">
            <v/>
          </cell>
        </row>
        <row r="3983">
          <cell r="U3983" t="str">
            <v/>
          </cell>
        </row>
        <row r="3984">
          <cell r="U3984" t="str">
            <v/>
          </cell>
        </row>
        <row r="3985">
          <cell r="U3985" t="str">
            <v/>
          </cell>
        </row>
        <row r="3986">
          <cell r="U3986" t="str">
            <v/>
          </cell>
        </row>
        <row r="3987">
          <cell r="U3987" t="str">
            <v/>
          </cell>
        </row>
        <row r="3988">
          <cell r="U3988" t="str">
            <v/>
          </cell>
        </row>
        <row r="3989">
          <cell r="U3989" t="str">
            <v/>
          </cell>
        </row>
        <row r="3990">
          <cell r="U3990" t="str">
            <v/>
          </cell>
        </row>
        <row r="3991">
          <cell r="U3991" t="str">
            <v/>
          </cell>
        </row>
        <row r="3992">
          <cell r="U3992" t="str">
            <v/>
          </cell>
        </row>
        <row r="3993">
          <cell r="U3993" t="str">
            <v/>
          </cell>
        </row>
        <row r="3994">
          <cell r="U3994" t="str">
            <v/>
          </cell>
        </row>
        <row r="3995">
          <cell r="U3995" t="str">
            <v/>
          </cell>
        </row>
        <row r="3996">
          <cell r="U3996" t="str">
            <v/>
          </cell>
        </row>
        <row r="3997">
          <cell r="U3997" t="str">
            <v/>
          </cell>
        </row>
        <row r="3998">
          <cell r="U3998" t="str">
            <v/>
          </cell>
        </row>
        <row r="3999">
          <cell r="U3999" t="str">
            <v/>
          </cell>
        </row>
        <row r="4000">
          <cell r="U4000" t="str">
            <v/>
          </cell>
        </row>
        <row r="4001">
          <cell r="U4001" t="str">
            <v/>
          </cell>
        </row>
        <row r="4002">
          <cell r="U4002" t="str">
            <v/>
          </cell>
        </row>
        <row r="4003">
          <cell r="U4003" t="str">
            <v/>
          </cell>
        </row>
        <row r="4004">
          <cell r="U4004" t="str">
            <v/>
          </cell>
        </row>
        <row r="4005">
          <cell r="U4005" t="str">
            <v/>
          </cell>
        </row>
        <row r="4006">
          <cell r="U4006" t="str">
            <v/>
          </cell>
        </row>
        <row r="4007">
          <cell r="U4007" t="str">
            <v/>
          </cell>
        </row>
        <row r="4008">
          <cell r="U4008" t="str">
            <v/>
          </cell>
        </row>
        <row r="4009">
          <cell r="U4009" t="str">
            <v/>
          </cell>
        </row>
        <row r="4010">
          <cell r="U4010" t="str">
            <v/>
          </cell>
        </row>
        <row r="4011">
          <cell r="U4011" t="str">
            <v/>
          </cell>
        </row>
        <row r="4012">
          <cell r="U4012" t="str">
            <v/>
          </cell>
        </row>
        <row r="4013">
          <cell r="U4013" t="str">
            <v/>
          </cell>
        </row>
        <row r="4014">
          <cell r="U4014" t="str">
            <v/>
          </cell>
        </row>
        <row r="4015">
          <cell r="U4015" t="str">
            <v/>
          </cell>
        </row>
        <row r="4016">
          <cell r="U4016" t="str">
            <v/>
          </cell>
        </row>
        <row r="4017">
          <cell r="U4017" t="str">
            <v/>
          </cell>
        </row>
        <row r="4018">
          <cell r="U4018" t="str">
            <v/>
          </cell>
        </row>
        <row r="4019">
          <cell r="U4019" t="str">
            <v/>
          </cell>
        </row>
        <row r="4020">
          <cell r="U4020" t="str">
            <v/>
          </cell>
        </row>
        <row r="4021">
          <cell r="U4021" t="str">
            <v/>
          </cell>
        </row>
        <row r="4022">
          <cell r="U4022" t="str">
            <v/>
          </cell>
        </row>
        <row r="4023">
          <cell r="U4023" t="str">
            <v/>
          </cell>
        </row>
        <row r="4024">
          <cell r="U4024" t="str">
            <v/>
          </cell>
        </row>
        <row r="4025">
          <cell r="U4025" t="str">
            <v/>
          </cell>
        </row>
        <row r="4026">
          <cell r="U4026" t="str">
            <v/>
          </cell>
        </row>
        <row r="4027">
          <cell r="U4027" t="str">
            <v/>
          </cell>
        </row>
        <row r="4028">
          <cell r="U4028" t="str">
            <v/>
          </cell>
        </row>
        <row r="4029">
          <cell r="U4029" t="str">
            <v/>
          </cell>
        </row>
        <row r="4030">
          <cell r="U4030" t="str">
            <v/>
          </cell>
        </row>
        <row r="4031">
          <cell r="U4031" t="str">
            <v/>
          </cell>
        </row>
        <row r="4032">
          <cell r="U4032" t="str">
            <v/>
          </cell>
        </row>
        <row r="4033">
          <cell r="U4033" t="str">
            <v/>
          </cell>
        </row>
        <row r="4034">
          <cell r="U4034" t="str">
            <v/>
          </cell>
        </row>
        <row r="4035">
          <cell r="U4035" t="str">
            <v/>
          </cell>
        </row>
        <row r="4036">
          <cell r="U4036" t="str">
            <v/>
          </cell>
        </row>
        <row r="4037">
          <cell r="U4037" t="str">
            <v/>
          </cell>
        </row>
        <row r="4038">
          <cell r="U4038" t="str">
            <v/>
          </cell>
        </row>
        <row r="4039">
          <cell r="U4039" t="str">
            <v/>
          </cell>
        </row>
        <row r="4040">
          <cell r="U4040" t="str">
            <v/>
          </cell>
        </row>
        <row r="4041">
          <cell r="U4041" t="str">
            <v/>
          </cell>
        </row>
        <row r="4042">
          <cell r="U4042" t="str">
            <v/>
          </cell>
        </row>
        <row r="4043">
          <cell r="U4043" t="str">
            <v/>
          </cell>
        </row>
        <row r="4044">
          <cell r="U4044" t="str">
            <v/>
          </cell>
        </row>
        <row r="4045">
          <cell r="U4045" t="str">
            <v/>
          </cell>
        </row>
        <row r="4046">
          <cell r="U4046" t="str">
            <v/>
          </cell>
        </row>
        <row r="4047">
          <cell r="U4047" t="str">
            <v/>
          </cell>
        </row>
        <row r="4048">
          <cell r="U4048" t="str">
            <v/>
          </cell>
        </row>
        <row r="4049">
          <cell r="U4049" t="str">
            <v/>
          </cell>
        </row>
        <row r="4050">
          <cell r="U4050" t="str">
            <v/>
          </cell>
        </row>
        <row r="4051">
          <cell r="U4051" t="str">
            <v/>
          </cell>
        </row>
        <row r="4052">
          <cell r="U4052" t="str">
            <v/>
          </cell>
        </row>
        <row r="4053">
          <cell r="U4053" t="str">
            <v/>
          </cell>
        </row>
        <row r="4054">
          <cell r="U4054" t="str">
            <v/>
          </cell>
        </row>
        <row r="4055">
          <cell r="U4055" t="str">
            <v/>
          </cell>
        </row>
        <row r="4056">
          <cell r="U4056" t="str">
            <v/>
          </cell>
        </row>
        <row r="4057">
          <cell r="U4057" t="str">
            <v/>
          </cell>
        </row>
        <row r="4058">
          <cell r="U4058" t="str">
            <v/>
          </cell>
        </row>
        <row r="4059">
          <cell r="U4059" t="str">
            <v/>
          </cell>
        </row>
        <row r="4060">
          <cell r="U4060" t="str">
            <v/>
          </cell>
        </row>
        <row r="4061">
          <cell r="U4061" t="str">
            <v/>
          </cell>
        </row>
        <row r="4062">
          <cell r="U4062" t="str">
            <v/>
          </cell>
        </row>
        <row r="4063">
          <cell r="U4063" t="str">
            <v/>
          </cell>
        </row>
        <row r="4064">
          <cell r="U4064" t="str">
            <v/>
          </cell>
        </row>
        <row r="4065">
          <cell r="U4065" t="str">
            <v/>
          </cell>
        </row>
        <row r="4066">
          <cell r="U4066" t="str">
            <v/>
          </cell>
        </row>
        <row r="4067">
          <cell r="U4067" t="str">
            <v/>
          </cell>
        </row>
        <row r="4068">
          <cell r="U4068" t="str">
            <v/>
          </cell>
        </row>
        <row r="4069">
          <cell r="U4069" t="str">
            <v/>
          </cell>
        </row>
        <row r="4070">
          <cell r="U4070" t="str">
            <v/>
          </cell>
        </row>
        <row r="4071">
          <cell r="U4071" t="str">
            <v/>
          </cell>
        </row>
        <row r="4072">
          <cell r="U4072" t="str">
            <v/>
          </cell>
        </row>
        <row r="4073">
          <cell r="U4073" t="str">
            <v/>
          </cell>
        </row>
        <row r="4074">
          <cell r="U4074" t="str">
            <v/>
          </cell>
        </row>
        <row r="4075">
          <cell r="U4075" t="str">
            <v/>
          </cell>
        </row>
        <row r="4076">
          <cell r="U4076" t="str">
            <v/>
          </cell>
        </row>
        <row r="4077">
          <cell r="U4077" t="str">
            <v/>
          </cell>
        </row>
        <row r="4078">
          <cell r="U4078" t="str">
            <v/>
          </cell>
        </row>
        <row r="4079">
          <cell r="U4079" t="str">
            <v/>
          </cell>
        </row>
        <row r="4080">
          <cell r="U4080" t="str">
            <v/>
          </cell>
        </row>
        <row r="4081">
          <cell r="U4081" t="str">
            <v/>
          </cell>
        </row>
        <row r="4082">
          <cell r="U4082" t="str">
            <v/>
          </cell>
        </row>
        <row r="4083">
          <cell r="U4083" t="str">
            <v/>
          </cell>
        </row>
        <row r="4084">
          <cell r="U4084" t="str">
            <v/>
          </cell>
        </row>
        <row r="4085">
          <cell r="U4085" t="str">
            <v/>
          </cell>
        </row>
        <row r="4086">
          <cell r="U4086" t="str">
            <v/>
          </cell>
        </row>
        <row r="4087">
          <cell r="U4087" t="str">
            <v/>
          </cell>
        </row>
        <row r="4088">
          <cell r="U4088" t="str">
            <v/>
          </cell>
        </row>
        <row r="4089">
          <cell r="U4089" t="str">
            <v/>
          </cell>
        </row>
        <row r="4090">
          <cell r="U4090" t="str">
            <v/>
          </cell>
        </row>
        <row r="4091">
          <cell r="U4091" t="str">
            <v/>
          </cell>
        </row>
        <row r="4092">
          <cell r="U4092" t="str">
            <v/>
          </cell>
        </row>
        <row r="4093">
          <cell r="U4093" t="str">
            <v/>
          </cell>
        </row>
        <row r="4094">
          <cell r="U4094" t="str">
            <v/>
          </cell>
        </row>
        <row r="4095">
          <cell r="U4095" t="str">
            <v/>
          </cell>
        </row>
        <row r="4096">
          <cell r="U4096" t="str">
            <v/>
          </cell>
        </row>
        <row r="4097">
          <cell r="U4097" t="str">
            <v/>
          </cell>
        </row>
        <row r="4098">
          <cell r="U4098" t="str">
            <v/>
          </cell>
        </row>
        <row r="4099">
          <cell r="U4099" t="str">
            <v/>
          </cell>
        </row>
        <row r="4100">
          <cell r="U4100" t="str">
            <v/>
          </cell>
        </row>
        <row r="4101">
          <cell r="U4101" t="str">
            <v/>
          </cell>
        </row>
        <row r="4102">
          <cell r="U4102" t="str">
            <v/>
          </cell>
        </row>
        <row r="4103">
          <cell r="U4103" t="str">
            <v/>
          </cell>
        </row>
        <row r="4104">
          <cell r="U4104" t="str">
            <v/>
          </cell>
        </row>
        <row r="4105">
          <cell r="U4105" t="str">
            <v/>
          </cell>
        </row>
        <row r="4106">
          <cell r="U4106" t="str">
            <v/>
          </cell>
        </row>
        <row r="4107">
          <cell r="U4107" t="str">
            <v/>
          </cell>
        </row>
        <row r="4108">
          <cell r="U4108" t="str">
            <v/>
          </cell>
        </row>
        <row r="4109">
          <cell r="U4109" t="str">
            <v/>
          </cell>
        </row>
        <row r="4110">
          <cell r="U4110" t="str">
            <v/>
          </cell>
        </row>
        <row r="4111">
          <cell r="U4111" t="str">
            <v/>
          </cell>
        </row>
        <row r="4112">
          <cell r="U4112" t="str">
            <v/>
          </cell>
        </row>
        <row r="4113">
          <cell r="U4113" t="str">
            <v/>
          </cell>
        </row>
        <row r="4114">
          <cell r="U4114" t="str">
            <v/>
          </cell>
        </row>
        <row r="4115">
          <cell r="U4115" t="str">
            <v/>
          </cell>
        </row>
        <row r="4116">
          <cell r="U4116" t="str">
            <v/>
          </cell>
        </row>
        <row r="4117">
          <cell r="U4117" t="str">
            <v/>
          </cell>
        </row>
        <row r="4118">
          <cell r="U4118" t="str">
            <v/>
          </cell>
        </row>
        <row r="4119">
          <cell r="U4119" t="str">
            <v/>
          </cell>
        </row>
        <row r="4120">
          <cell r="U4120" t="str">
            <v/>
          </cell>
        </row>
        <row r="4121">
          <cell r="U4121" t="str">
            <v/>
          </cell>
        </row>
        <row r="4122">
          <cell r="U4122" t="str">
            <v/>
          </cell>
        </row>
        <row r="4123">
          <cell r="U4123" t="str">
            <v/>
          </cell>
        </row>
        <row r="4124">
          <cell r="U4124" t="str">
            <v/>
          </cell>
        </row>
        <row r="4125">
          <cell r="U4125" t="str">
            <v/>
          </cell>
        </row>
        <row r="4126">
          <cell r="U4126" t="str">
            <v/>
          </cell>
        </row>
        <row r="4127">
          <cell r="U4127" t="str">
            <v/>
          </cell>
        </row>
        <row r="4128">
          <cell r="U4128" t="str">
            <v/>
          </cell>
        </row>
        <row r="4129">
          <cell r="U4129" t="str">
            <v/>
          </cell>
        </row>
        <row r="4130">
          <cell r="U4130" t="str">
            <v/>
          </cell>
        </row>
        <row r="4131">
          <cell r="U4131" t="str">
            <v/>
          </cell>
        </row>
        <row r="4132">
          <cell r="U4132" t="str">
            <v/>
          </cell>
        </row>
        <row r="4133">
          <cell r="U4133" t="str">
            <v/>
          </cell>
        </row>
        <row r="4134">
          <cell r="U4134" t="str">
            <v/>
          </cell>
        </row>
        <row r="4135">
          <cell r="U4135" t="str">
            <v/>
          </cell>
        </row>
        <row r="4136">
          <cell r="U4136" t="str">
            <v/>
          </cell>
        </row>
        <row r="4137">
          <cell r="U4137" t="str">
            <v/>
          </cell>
        </row>
        <row r="4138">
          <cell r="U4138" t="str">
            <v/>
          </cell>
        </row>
        <row r="4139">
          <cell r="U4139" t="str">
            <v/>
          </cell>
        </row>
        <row r="4140">
          <cell r="U4140" t="str">
            <v/>
          </cell>
        </row>
        <row r="4141">
          <cell r="U4141" t="str">
            <v/>
          </cell>
        </row>
        <row r="4142">
          <cell r="U4142" t="str">
            <v/>
          </cell>
        </row>
        <row r="4143">
          <cell r="U4143" t="str">
            <v/>
          </cell>
        </row>
        <row r="4144">
          <cell r="U4144" t="str">
            <v/>
          </cell>
        </row>
        <row r="4145">
          <cell r="U4145" t="str">
            <v/>
          </cell>
        </row>
        <row r="4146">
          <cell r="U4146" t="str">
            <v/>
          </cell>
        </row>
        <row r="4147">
          <cell r="U4147" t="str">
            <v/>
          </cell>
        </row>
        <row r="4148">
          <cell r="U4148" t="str">
            <v/>
          </cell>
        </row>
        <row r="4149">
          <cell r="U4149" t="str">
            <v/>
          </cell>
        </row>
        <row r="4150">
          <cell r="U4150" t="str">
            <v/>
          </cell>
        </row>
        <row r="4151">
          <cell r="U4151" t="str">
            <v/>
          </cell>
        </row>
        <row r="4152">
          <cell r="U4152" t="str">
            <v/>
          </cell>
        </row>
        <row r="4153">
          <cell r="U4153" t="str">
            <v/>
          </cell>
        </row>
        <row r="4154">
          <cell r="U4154" t="str">
            <v/>
          </cell>
        </row>
        <row r="4155">
          <cell r="U4155" t="str">
            <v/>
          </cell>
        </row>
        <row r="4156">
          <cell r="U4156" t="str">
            <v/>
          </cell>
        </row>
        <row r="4157">
          <cell r="U4157" t="str">
            <v/>
          </cell>
        </row>
        <row r="4158">
          <cell r="U4158" t="str">
            <v/>
          </cell>
        </row>
        <row r="4159">
          <cell r="U4159" t="str">
            <v/>
          </cell>
        </row>
        <row r="4160">
          <cell r="U4160" t="str">
            <v/>
          </cell>
        </row>
        <row r="4161">
          <cell r="U4161" t="str">
            <v/>
          </cell>
        </row>
        <row r="4162">
          <cell r="U4162" t="str">
            <v/>
          </cell>
        </row>
        <row r="4163">
          <cell r="U4163" t="str">
            <v/>
          </cell>
        </row>
        <row r="4164">
          <cell r="U4164" t="str">
            <v/>
          </cell>
        </row>
        <row r="4165">
          <cell r="U4165" t="str">
            <v/>
          </cell>
        </row>
        <row r="4166">
          <cell r="U4166" t="str">
            <v/>
          </cell>
        </row>
        <row r="4167">
          <cell r="U4167" t="str">
            <v/>
          </cell>
        </row>
        <row r="4168">
          <cell r="U4168" t="str">
            <v/>
          </cell>
        </row>
        <row r="4169">
          <cell r="U4169" t="str">
            <v/>
          </cell>
        </row>
        <row r="4170">
          <cell r="U4170" t="str">
            <v/>
          </cell>
        </row>
        <row r="4171">
          <cell r="U4171" t="str">
            <v/>
          </cell>
        </row>
        <row r="4172">
          <cell r="U4172" t="str">
            <v/>
          </cell>
        </row>
        <row r="4173">
          <cell r="U4173" t="str">
            <v/>
          </cell>
        </row>
        <row r="4174">
          <cell r="U4174" t="str">
            <v/>
          </cell>
        </row>
        <row r="4175">
          <cell r="U4175" t="str">
            <v/>
          </cell>
        </row>
        <row r="4176">
          <cell r="U4176" t="str">
            <v/>
          </cell>
        </row>
        <row r="4177">
          <cell r="U4177" t="str">
            <v/>
          </cell>
        </row>
        <row r="4178">
          <cell r="U4178" t="str">
            <v/>
          </cell>
        </row>
        <row r="4179">
          <cell r="U4179" t="str">
            <v/>
          </cell>
        </row>
        <row r="4180">
          <cell r="U4180" t="str">
            <v/>
          </cell>
        </row>
        <row r="4181">
          <cell r="U4181" t="str">
            <v/>
          </cell>
        </row>
        <row r="4182">
          <cell r="U4182" t="str">
            <v/>
          </cell>
        </row>
        <row r="4183">
          <cell r="U4183" t="str">
            <v/>
          </cell>
        </row>
        <row r="4184">
          <cell r="U4184" t="str">
            <v/>
          </cell>
        </row>
        <row r="4185">
          <cell r="U4185" t="str">
            <v/>
          </cell>
        </row>
        <row r="4186">
          <cell r="U4186" t="str">
            <v/>
          </cell>
        </row>
        <row r="4187">
          <cell r="U4187" t="str">
            <v/>
          </cell>
        </row>
        <row r="4188">
          <cell r="U4188" t="str">
            <v/>
          </cell>
        </row>
        <row r="4189">
          <cell r="U4189" t="str">
            <v/>
          </cell>
        </row>
        <row r="4190">
          <cell r="U4190" t="str">
            <v/>
          </cell>
        </row>
        <row r="4191">
          <cell r="U4191" t="str">
            <v/>
          </cell>
        </row>
        <row r="4192">
          <cell r="U4192" t="str">
            <v/>
          </cell>
        </row>
        <row r="4193">
          <cell r="U4193" t="str">
            <v/>
          </cell>
        </row>
        <row r="4194">
          <cell r="U4194" t="str">
            <v/>
          </cell>
        </row>
        <row r="4195">
          <cell r="U4195" t="str">
            <v/>
          </cell>
        </row>
        <row r="4196">
          <cell r="U4196" t="str">
            <v/>
          </cell>
        </row>
        <row r="4197">
          <cell r="U4197" t="str">
            <v/>
          </cell>
        </row>
        <row r="4198">
          <cell r="U4198" t="str">
            <v/>
          </cell>
        </row>
        <row r="4199">
          <cell r="U4199" t="str">
            <v/>
          </cell>
        </row>
        <row r="4200">
          <cell r="U4200" t="str">
            <v/>
          </cell>
        </row>
        <row r="4201">
          <cell r="U4201" t="str">
            <v/>
          </cell>
        </row>
        <row r="4202">
          <cell r="U4202" t="str">
            <v/>
          </cell>
        </row>
        <row r="4203">
          <cell r="U4203" t="str">
            <v/>
          </cell>
        </row>
        <row r="4204">
          <cell r="U4204" t="str">
            <v/>
          </cell>
        </row>
        <row r="4205">
          <cell r="U4205" t="str">
            <v/>
          </cell>
        </row>
        <row r="4206">
          <cell r="U4206" t="str">
            <v/>
          </cell>
        </row>
        <row r="4207">
          <cell r="U4207" t="str">
            <v/>
          </cell>
        </row>
        <row r="4208">
          <cell r="U4208" t="str">
            <v/>
          </cell>
        </row>
        <row r="4209">
          <cell r="U4209" t="str">
            <v/>
          </cell>
        </row>
        <row r="4210">
          <cell r="U4210" t="str">
            <v/>
          </cell>
        </row>
        <row r="4211">
          <cell r="U4211" t="str">
            <v/>
          </cell>
        </row>
        <row r="4212">
          <cell r="U4212" t="str">
            <v/>
          </cell>
        </row>
        <row r="4213">
          <cell r="U4213" t="str">
            <v/>
          </cell>
        </row>
        <row r="4214">
          <cell r="U4214" t="str">
            <v/>
          </cell>
        </row>
        <row r="4215">
          <cell r="U4215" t="str">
            <v/>
          </cell>
        </row>
        <row r="4216">
          <cell r="U4216" t="str">
            <v/>
          </cell>
        </row>
        <row r="4217">
          <cell r="U4217" t="str">
            <v/>
          </cell>
        </row>
        <row r="4218">
          <cell r="U4218" t="str">
            <v/>
          </cell>
        </row>
        <row r="4219">
          <cell r="U4219" t="str">
            <v/>
          </cell>
        </row>
        <row r="4220">
          <cell r="U4220" t="str">
            <v/>
          </cell>
        </row>
        <row r="4221">
          <cell r="U4221" t="str">
            <v/>
          </cell>
        </row>
        <row r="4222">
          <cell r="U4222" t="str">
            <v/>
          </cell>
        </row>
        <row r="4223">
          <cell r="U4223" t="str">
            <v/>
          </cell>
        </row>
        <row r="4224">
          <cell r="U4224" t="str">
            <v/>
          </cell>
        </row>
        <row r="4225">
          <cell r="U4225" t="str">
            <v/>
          </cell>
        </row>
        <row r="4226">
          <cell r="U4226" t="str">
            <v/>
          </cell>
        </row>
        <row r="4227">
          <cell r="U4227" t="str">
            <v/>
          </cell>
        </row>
        <row r="4228">
          <cell r="U4228" t="str">
            <v/>
          </cell>
        </row>
        <row r="4229">
          <cell r="U4229" t="str">
            <v/>
          </cell>
        </row>
        <row r="4230">
          <cell r="U4230" t="str">
            <v/>
          </cell>
        </row>
        <row r="4231">
          <cell r="U4231" t="str">
            <v/>
          </cell>
        </row>
        <row r="4232">
          <cell r="U4232" t="str">
            <v/>
          </cell>
        </row>
        <row r="4233">
          <cell r="U4233" t="str">
            <v/>
          </cell>
        </row>
        <row r="4234">
          <cell r="U4234" t="str">
            <v/>
          </cell>
        </row>
        <row r="4235">
          <cell r="U4235" t="str">
            <v/>
          </cell>
        </row>
        <row r="4236">
          <cell r="U4236" t="str">
            <v/>
          </cell>
        </row>
        <row r="4237">
          <cell r="U4237" t="str">
            <v/>
          </cell>
        </row>
        <row r="4238">
          <cell r="U4238" t="str">
            <v/>
          </cell>
        </row>
        <row r="4239">
          <cell r="U4239" t="str">
            <v/>
          </cell>
        </row>
        <row r="4240">
          <cell r="U4240" t="str">
            <v/>
          </cell>
        </row>
        <row r="4241">
          <cell r="U4241" t="str">
            <v/>
          </cell>
        </row>
        <row r="4242">
          <cell r="U4242" t="str">
            <v/>
          </cell>
        </row>
        <row r="4243">
          <cell r="U4243" t="str">
            <v/>
          </cell>
        </row>
        <row r="4244">
          <cell r="U4244" t="str">
            <v/>
          </cell>
        </row>
        <row r="4245">
          <cell r="U4245" t="str">
            <v/>
          </cell>
        </row>
        <row r="4246">
          <cell r="U4246" t="str">
            <v/>
          </cell>
        </row>
        <row r="4247">
          <cell r="U4247" t="str">
            <v/>
          </cell>
        </row>
        <row r="4248">
          <cell r="U4248" t="str">
            <v/>
          </cell>
        </row>
        <row r="4249">
          <cell r="U4249" t="str">
            <v/>
          </cell>
        </row>
        <row r="4250">
          <cell r="U4250" t="str">
            <v/>
          </cell>
        </row>
        <row r="4251">
          <cell r="U4251" t="str">
            <v/>
          </cell>
        </row>
        <row r="4252">
          <cell r="U4252" t="str">
            <v/>
          </cell>
        </row>
        <row r="4253">
          <cell r="U4253" t="str">
            <v/>
          </cell>
        </row>
        <row r="4254">
          <cell r="U4254" t="str">
            <v/>
          </cell>
        </row>
        <row r="4255">
          <cell r="U4255" t="str">
            <v/>
          </cell>
        </row>
        <row r="4256">
          <cell r="U4256" t="str">
            <v/>
          </cell>
        </row>
        <row r="4257">
          <cell r="U4257" t="str">
            <v/>
          </cell>
        </row>
        <row r="4258">
          <cell r="U4258" t="str">
            <v/>
          </cell>
        </row>
        <row r="4259">
          <cell r="U4259" t="str">
            <v/>
          </cell>
        </row>
        <row r="4260">
          <cell r="U4260" t="str">
            <v/>
          </cell>
        </row>
        <row r="4261">
          <cell r="U4261" t="str">
            <v/>
          </cell>
        </row>
        <row r="4262">
          <cell r="U4262" t="str">
            <v/>
          </cell>
        </row>
        <row r="4263">
          <cell r="U4263" t="str">
            <v/>
          </cell>
        </row>
        <row r="4264">
          <cell r="U4264" t="str">
            <v/>
          </cell>
        </row>
        <row r="4265">
          <cell r="U4265" t="str">
            <v/>
          </cell>
        </row>
        <row r="4266">
          <cell r="U4266" t="str">
            <v/>
          </cell>
        </row>
        <row r="4267">
          <cell r="U4267" t="str">
            <v/>
          </cell>
        </row>
        <row r="4268">
          <cell r="U4268" t="str">
            <v/>
          </cell>
        </row>
        <row r="4269">
          <cell r="U4269" t="str">
            <v/>
          </cell>
        </row>
        <row r="4270">
          <cell r="U4270" t="str">
            <v/>
          </cell>
        </row>
        <row r="4271">
          <cell r="U4271" t="str">
            <v/>
          </cell>
        </row>
        <row r="4272">
          <cell r="U4272" t="str">
            <v/>
          </cell>
        </row>
        <row r="4273">
          <cell r="U4273" t="str">
            <v/>
          </cell>
        </row>
        <row r="4274">
          <cell r="U4274" t="str">
            <v/>
          </cell>
        </row>
        <row r="4275">
          <cell r="U4275" t="str">
            <v/>
          </cell>
        </row>
        <row r="4276">
          <cell r="U4276" t="str">
            <v/>
          </cell>
        </row>
        <row r="4277">
          <cell r="U4277" t="str">
            <v/>
          </cell>
        </row>
        <row r="4278">
          <cell r="U4278" t="str">
            <v/>
          </cell>
        </row>
        <row r="4279">
          <cell r="U4279" t="str">
            <v/>
          </cell>
        </row>
        <row r="4280">
          <cell r="U4280" t="str">
            <v/>
          </cell>
        </row>
        <row r="4281">
          <cell r="U4281" t="str">
            <v/>
          </cell>
        </row>
        <row r="4282">
          <cell r="U4282" t="str">
            <v/>
          </cell>
        </row>
        <row r="4283">
          <cell r="U4283" t="str">
            <v/>
          </cell>
        </row>
        <row r="4284">
          <cell r="U4284" t="str">
            <v/>
          </cell>
        </row>
        <row r="4285">
          <cell r="U4285" t="str">
            <v/>
          </cell>
        </row>
        <row r="4286">
          <cell r="U4286" t="str">
            <v/>
          </cell>
        </row>
        <row r="4287">
          <cell r="U4287" t="str">
            <v/>
          </cell>
        </row>
        <row r="4288">
          <cell r="U4288" t="str">
            <v/>
          </cell>
        </row>
        <row r="4289">
          <cell r="U4289" t="str">
            <v/>
          </cell>
        </row>
        <row r="4290">
          <cell r="U4290" t="str">
            <v/>
          </cell>
        </row>
        <row r="4291">
          <cell r="U4291" t="str">
            <v/>
          </cell>
        </row>
        <row r="4292">
          <cell r="U4292" t="str">
            <v/>
          </cell>
        </row>
        <row r="4293">
          <cell r="U4293" t="str">
            <v/>
          </cell>
        </row>
        <row r="4294">
          <cell r="U4294" t="str">
            <v/>
          </cell>
        </row>
        <row r="4295">
          <cell r="U4295" t="str">
            <v/>
          </cell>
        </row>
        <row r="4296">
          <cell r="U4296" t="str">
            <v/>
          </cell>
        </row>
        <row r="4297">
          <cell r="U4297" t="str">
            <v/>
          </cell>
        </row>
        <row r="4298">
          <cell r="U4298" t="str">
            <v/>
          </cell>
        </row>
        <row r="4299">
          <cell r="U4299" t="str">
            <v/>
          </cell>
        </row>
        <row r="4300">
          <cell r="U4300" t="str">
            <v/>
          </cell>
        </row>
        <row r="4301">
          <cell r="U4301" t="str">
            <v/>
          </cell>
        </row>
        <row r="4302">
          <cell r="U4302" t="str">
            <v/>
          </cell>
        </row>
        <row r="4303">
          <cell r="U4303" t="str">
            <v/>
          </cell>
        </row>
        <row r="4304">
          <cell r="U4304" t="str">
            <v/>
          </cell>
        </row>
        <row r="4305">
          <cell r="U4305" t="str">
            <v/>
          </cell>
        </row>
        <row r="4306">
          <cell r="U4306" t="str">
            <v/>
          </cell>
        </row>
        <row r="4307">
          <cell r="U4307" t="str">
            <v/>
          </cell>
        </row>
        <row r="4308">
          <cell r="U4308" t="str">
            <v/>
          </cell>
        </row>
        <row r="4309">
          <cell r="U4309" t="str">
            <v/>
          </cell>
        </row>
        <row r="4310">
          <cell r="U4310" t="str">
            <v/>
          </cell>
        </row>
        <row r="4311">
          <cell r="U4311" t="str">
            <v/>
          </cell>
        </row>
        <row r="4312">
          <cell r="U4312" t="str">
            <v/>
          </cell>
        </row>
        <row r="4313">
          <cell r="U4313" t="str">
            <v/>
          </cell>
        </row>
        <row r="4314">
          <cell r="U4314" t="str">
            <v/>
          </cell>
        </row>
        <row r="4315">
          <cell r="U4315" t="str">
            <v/>
          </cell>
        </row>
        <row r="4316">
          <cell r="U4316" t="str">
            <v/>
          </cell>
        </row>
        <row r="4317">
          <cell r="U4317" t="str">
            <v/>
          </cell>
        </row>
        <row r="4318">
          <cell r="U4318" t="str">
            <v/>
          </cell>
        </row>
        <row r="4319">
          <cell r="U4319" t="str">
            <v/>
          </cell>
        </row>
        <row r="4320">
          <cell r="U4320" t="str">
            <v/>
          </cell>
        </row>
        <row r="4321">
          <cell r="U4321" t="str">
            <v/>
          </cell>
        </row>
        <row r="4322">
          <cell r="U4322" t="str">
            <v/>
          </cell>
        </row>
        <row r="4323">
          <cell r="U4323" t="str">
            <v/>
          </cell>
        </row>
        <row r="4324">
          <cell r="U4324" t="str">
            <v/>
          </cell>
        </row>
        <row r="4325">
          <cell r="U4325" t="str">
            <v/>
          </cell>
        </row>
        <row r="4326">
          <cell r="U4326" t="str">
            <v/>
          </cell>
        </row>
        <row r="4327">
          <cell r="U4327" t="str">
            <v/>
          </cell>
        </row>
        <row r="4328">
          <cell r="U4328" t="str">
            <v/>
          </cell>
        </row>
        <row r="4329">
          <cell r="U4329" t="str">
            <v/>
          </cell>
        </row>
        <row r="4330">
          <cell r="U4330" t="str">
            <v/>
          </cell>
        </row>
        <row r="4331">
          <cell r="U4331" t="str">
            <v/>
          </cell>
        </row>
        <row r="4332">
          <cell r="U4332" t="str">
            <v/>
          </cell>
        </row>
        <row r="4333">
          <cell r="U4333" t="str">
            <v/>
          </cell>
        </row>
        <row r="4334">
          <cell r="U4334" t="str">
            <v/>
          </cell>
        </row>
        <row r="4335">
          <cell r="U4335" t="str">
            <v/>
          </cell>
        </row>
        <row r="4336">
          <cell r="U4336" t="str">
            <v/>
          </cell>
        </row>
        <row r="4337">
          <cell r="U4337" t="str">
            <v/>
          </cell>
        </row>
        <row r="4338">
          <cell r="U4338" t="str">
            <v/>
          </cell>
        </row>
        <row r="4339">
          <cell r="U4339" t="str">
            <v/>
          </cell>
        </row>
        <row r="4340">
          <cell r="U4340" t="str">
            <v/>
          </cell>
        </row>
        <row r="4341">
          <cell r="U4341" t="str">
            <v/>
          </cell>
        </row>
        <row r="4342">
          <cell r="U4342" t="str">
            <v/>
          </cell>
        </row>
        <row r="4343">
          <cell r="U4343" t="str">
            <v/>
          </cell>
        </row>
        <row r="4344">
          <cell r="U4344" t="str">
            <v/>
          </cell>
        </row>
        <row r="4345">
          <cell r="U4345" t="str">
            <v/>
          </cell>
        </row>
        <row r="4346">
          <cell r="U4346" t="str">
            <v/>
          </cell>
        </row>
        <row r="4347">
          <cell r="U4347" t="str">
            <v/>
          </cell>
        </row>
        <row r="4348">
          <cell r="U4348" t="str">
            <v/>
          </cell>
        </row>
        <row r="4349">
          <cell r="U4349" t="str">
            <v/>
          </cell>
        </row>
        <row r="4350">
          <cell r="U4350" t="str">
            <v/>
          </cell>
        </row>
        <row r="4351">
          <cell r="U4351" t="str">
            <v/>
          </cell>
        </row>
        <row r="4352">
          <cell r="U4352" t="str">
            <v/>
          </cell>
        </row>
        <row r="4353">
          <cell r="U4353" t="str">
            <v/>
          </cell>
        </row>
        <row r="4354">
          <cell r="U4354" t="str">
            <v/>
          </cell>
        </row>
        <row r="4355">
          <cell r="U4355" t="str">
            <v/>
          </cell>
        </row>
        <row r="4356">
          <cell r="U4356" t="str">
            <v/>
          </cell>
        </row>
        <row r="4357">
          <cell r="U4357" t="str">
            <v/>
          </cell>
        </row>
        <row r="4358">
          <cell r="U4358" t="str">
            <v/>
          </cell>
        </row>
        <row r="4359">
          <cell r="U4359" t="str">
            <v/>
          </cell>
        </row>
        <row r="4360">
          <cell r="U4360" t="str">
            <v/>
          </cell>
        </row>
        <row r="4361">
          <cell r="U4361" t="str">
            <v/>
          </cell>
        </row>
        <row r="4362">
          <cell r="U4362" t="str">
            <v/>
          </cell>
        </row>
        <row r="4363">
          <cell r="U4363" t="str">
            <v/>
          </cell>
        </row>
        <row r="4364">
          <cell r="U4364" t="str">
            <v/>
          </cell>
        </row>
        <row r="4365">
          <cell r="U4365" t="str">
            <v/>
          </cell>
        </row>
        <row r="4366">
          <cell r="U4366" t="str">
            <v/>
          </cell>
        </row>
        <row r="4367">
          <cell r="U4367" t="str">
            <v/>
          </cell>
        </row>
        <row r="4368">
          <cell r="U4368" t="str">
            <v/>
          </cell>
        </row>
        <row r="4369">
          <cell r="U4369" t="str">
            <v/>
          </cell>
        </row>
        <row r="4370">
          <cell r="U4370" t="str">
            <v/>
          </cell>
        </row>
        <row r="4371">
          <cell r="U4371" t="str">
            <v/>
          </cell>
        </row>
        <row r="4372">
          <cell r="U4372" t="str">
            <v/>
          </cell>
        </row>
        <row r="4373">
          <cell r="U4373" t="str">
            <v/>
          </cell>
        </row>
        <row r="4374">
          <cell r="U4374" t="str">
            <v/>
          </cell>
        </row>
        <row r="4375">
          <cell r="U4375" t="str">
            <v/>
          </cell>
        </row>
        <row r="4376">
          <cell r="U4376" t="str">
            <v/>
          </cell>
        </row>
        <row r="4377">
          <cell r="U4377" t="str">
            <v/>
          </cell>
        </row>
        <row r="4378">
          <cell r="U4378" t="str">
            <v/>
          </cell>
        </row>
        <row r="4379">
          <cell r="U4379" t="str">
            <v/>
          </cell>
        </row>
        <row r="4380">
          <cell r="U4380" t="str">
            <v/>
          </cell>
        </row>
        <row r="4381">
          <cell r="U4381" t="str">
            <v/>
          </cell>
        </row>
        <row r="4382">
          <cell r="U4382" t="str">
            <v/>
          </cell>
        </row>
        <row r="4383">
          <cell r="U4383" t="str">
            <v/>
          </cell>
        </row>
        <row r="4384">
          <cell r="U4384" t="str">
            <v/>
          </cell>
        </row>
        <row r="4385">
          <cell r="U4385" t="str">
            <v/>
          </cell>
        </row>
        <row r="4386">
          <cell r="U4386" t="str">
            <v/>
          </cell>
        </row>
        <row r="4387">
          <cell r="U4387" t="str">
            <v/>
          </cell>
        </row>
        <row r="4388">
          <cell r="U4388" t="str">
            <v/>
          </cell>
        </row>
        <row r="4389">
          <cell r="U4389" t="str">
            <v/>
          </cell>
        </row>
        <row r="4390">
          <cell r="U4390" t="str">
            <v/>
          </cell>
        </row>
        <row r="4391">
          <cell r="U4391" t="str">
            <v/>
          </cell>
        </row>
        <row r="4392">
          <cell r="U4392" t="str">
            <v/>
          </cell>
        </row>
        <row r="4393">
          <cell r="U4393" t="str">
            <v/>
          </cell>
        </row>
        <row r="4394">
          <cell r="U4394" t="str">
            <v/>
          </cell>
        </row>
        <row r="4395">
          <cell r="U4395" t="str">
            <v/>
          </cell>
        </row>
        <row r="4396">
          <cell r="U4396" t="str">
            <v/>
          </cell>
        </row>
        <row r="4397">
          <cell r="U4397" t="str">
            <v/>
          </cell>
        </row>
        <row r="4398">
          <cell r="U4398" t="str">
            <v/>
          </cell>
        </row>
        <row r="4399">
          <cell r="U4399" t="str">
            <v/>
          </cell>
        </row>
        <row r="4400">
          <cell r="U4400" t="str">
            <v/>
          </cell>
        </row>
        <row r="4401">
          <cell r="U4401" t="str">
            <v/>
          </cell>
        </row>
        <row r="4402">
          <cell r="U4402" t="str">
            <v/>
          </cell>
        </row>
        <row r="4403">
          <cell r="U4403" t="str">
            <v/>
          </cell>
        </row>
        <row r="4404">
          <cell r="U4404" t="str">
            <v/>
          </cell>
        </row>
        <row r="4405">
          <cell r="U4405" t="str">
            <v/>
          </cell>
        </row>
        <row r="4406">
          <cell r="U4406" t="str">
            <v/>
          </cell>
        </row>
        <row r="4407">
          <cell r="U4407" t="str">
            <v/>
          </cell>
        </row>
        <row r="4408">
          <cell r="U4408" t="str">
            <v/>
          </cell>
        </row>
        <row r="4409">
          <cell r="U4409" t="str">
            <v/>
          </cell>
        </row>
        <row r="4410">
          <cell r="U4410" t="str">
            <v/>
          </cell>
        </row>
        <row r="4411">
          <cell r="U4411" t="str">
            <v/>
          </cell>
        </row>
        <row r="4412">
          <cell r="U4412" t="str">
            <v/>
          </cell>
        </row>
        <row r="4413">
          <cell r="U4413" t="str">
            <v/>
          </cell>
        </row>
        <row r="4414">
          <cell r="U4414" t="str">
            <v/>
          </cell>
        </row>
        <row r="4415">
          <cell r="U4415" t="str">
            <v/>
          </cell>
        </row>
        <row r="4416">
          <cell r="U4416" t="str">
            <v/>
          </cell>
        </row>
        <row r="4417">
          <cell r="U4417" t="str">
            <v/>
          </cell>
        </row>
        <row r="4418">
          <cell r="U4418" t="str">
            <v/>
          </cell>
        </row>
        <row r="4419">
          <cell r="U4419" t="str">
            <v/>
          </cell>
        </row>
        <row r="4420">
          <cell r="U4420" t="str">
            <v/>
          </cell>
        </row>
        <row r="4421">
          <cell r="U4421" t="str">
            <v/>
          </cell>
        </row>
        <row r="4422">
          <cell r="U4422" t="str">
            <v/>
          </cell>
        </row>
        <row r="4423">
          <cell r="U4423" t="str">
            <v/>
          </cell>
        </row>
        <row r="4424">
          <cell r="U4424" t="str">
            <v/>
          </cell>
        </row>
        <row r="4425">
          <cell r="U4425" t="str">
            <v/>
          </cell>
        </row>
        <row r="4426">
          <cell r="U4426" t="str">
            <v/>
          </cell>
        </row>
        <row r="4427">
          <cell r="U4427" t="str">
            <v/>
          </cell>
        </row>
        <row r="4428">
          <cell r="U4428" t="str">
            <v/>
          </cell>
        </row>
        <row r="4429">
          <cell r="U4429" t="str">
            <v/>
          </cell>
        </row>
        <row r="4430">
          <cell r="U4430" t="str">
            <v/>
          </cell>
        </row>
        <row r="4431">
          <cell r="U4431" t="str">
            <v/>
          </cell>
        </row>
        <row r="4432">
          <cell r="U4432" t="str">
            <v/>
          </cell>
        </row>
        <row r="4433">
          <cell r="U4433" t="str">
            <v/>
          </cell>
        </row>
        <row r="4434">
          <cell r="U4434" t="str">
            <v/>
          </cell>
        </row>
        <row r="4435">
          <cell r="U4435" t="str">
            <v/>
          </cell>
        </row>
        <row r="4436">
          <cell r="U4436" t="str">
            <v/>
          </cell>
        </row>
        <row r="4437">
          <cell r="U4437" t="str">
            <v/>
          </cell>
        </row>
        <row r="4438">
          <cell r="U4438" t="str">
            <v/>
          </cell>
        </row>
        <row r="4439">
          <cell r="U4439" t="str">
            <v/>
          </cell>
        </row>
        <row r="4440">
          <cell r="U4440" t="str">
            <v/>
          </cell>
        </row>
        <row r="4441">
          <cell r="U4441" t="str">
            <v/>
          </cell>
        </row>
        <row r="4442">
          <cell r="U4442" t="str">
            <v/>
          </cell>
        </row>
        <row r="4443">
          <cell r="U4443" t="str">
            <v/>
          </cell>
        </row>
        <row r="4444">
          <cell r="U4444" t="str">
            <v/>
          </cell>
        </row>
        <row r="4445">
          <cell r="U4445" t="str">
            <v/>
          </cell>
        </row>
        <row r="4446">
          <cell r="U4446" t="str">
            <v/>
          </cell>
        </row>
        <row r="4447">
          <cell r="U4447" t="str">
            <v/>
          </cell>
        </row>
        <row r="4448">
          <cell r="U4448" t="str">
            <v/>
          </cell>
        </row>
        <row r="4449">
          <cell r="U4449" t="str">
            <v/>
          </cell>
        </row>
        <row r="4450">
          <cell r="U4450" t="str">
            <v/>
          </cell>
        </row>
        <row r="4451">
          <cell r="U4451" t="str">
            <v/>
          </cell>
        </row>
        <row r="4452">
          <cell r="U4452" t="str">
            <v/>
          </cell>
        </row>
        <row r="4453">
          <cell r="U4453" t="str">
            <v/>
          </cell>
        </row>
        <row r="4454">
          <cell r="U4454" t="str">
            <v/>
          </cell>
        </row>
        <row r="4455">
          <cell r="U4455" t="str">
            <v/>
          </cell>
        </row>
        <row r="4456">
          <cell r="U4456" t="str">
            <v/>
          </cell>
        </row>
        <row r="4457">
          <cell r="U4457" t="str">
            <v/>
          </cell>
        </row>
        <row r="4458">
          <cell r="U4458" t="str">
            <v/>
          </cell>
        </row>
        <row r="4459">
          <cell r="U4459" t="str">
            <v/>
          </cell>
        </row>
        <row r="4460">
          <cell r="U4460" t="str">
            <v/>
          </cell>
        </row>
        <row r="4461">
          <cell r="U4461" t="str">
            <v/>
          </cell>
        </row>
        <row r="4462">
          <cell r="U4462" t="str">
            <v/>
          </cell>
        </row>
        <row r="4463">
          <cell r="U4463" t="str">
            <v/>
          </cell>
        </row>
        <row r="4464">
          <cell r="U4464" t="str">
            <v/>
          </cell>
        </row>
        <row r="4465">
          <cell r="U4465" t="str">
            <v/>
          </cell>
        </row>
        <row r="4466">
          <cell r="U4466" t="str">
            <v/>
          </cell>
        </row>
        <row r="4467">
          <cell r="U4467" t="str">
            <v/>
          </cell>
        </row>
        <row r="4468">
          <cell r="U4468" t="str">
            <v/>
          </cell>
        </row>
        <row r="4469">
          <cell r="U4469" t="str">
            <v/>
          </cell>
        </row>
        <row r="4470">
          <cell r="U4470" t="str">
            <v/>
          </cell>
        </row>
        <row r="4471">
          <cell r="U4471" t="str">
            <v/>
          </cell>
        </row>
        <row r="4472">
          <cell r="U4472" t="str">
            <v/>
          </cell>
        </row>
        <row r="4473">
          <cell r="U4473" t="str">
            <v/>
          </cell>
        </row>
        <row r="4474">
          <cell r="U4474" t="str">
            <v/>
          </cell>
        </row>
        <row r="4475">
          <cell r="U4475" t="str">
            <v/>
          </cell>
        </row>
        <row r="4476">
          <cell r="U4476" t="str">
            <v/>
          </cell>
        </row>
        <row r="4477">
          <cell r="U4477" t="str">
            <v/>
          </cell>
        </row>
        <row r="4478">
          <cell r="U4478" t="str">
            <v/>
          </cell>
        </row>
        <row r="4479">
          <cell r="U4479" t="str">
            <v/>
          </cell>
        </row>
        <row r="4480">
          <cell r="U4480" t="str">
            <v/>
          </cell>
        </row>
        <row r="4481">
          <cell r="U4481" t="str">
            <v/>
          </cell>
        </row>
        <row r="4482">
          <cell r="U4482" t="str">
            <v/>
          </cell>
        </row>
        <row r="4483">
          <cell r="U4483" t="str">
            <v/>
          </cell>
        </row>
        <row r="4484">
          <cell r="U4484" t="str">
            <v/>
          </cell>
        </row>
        <row r="4485">
          <cell r="U4485" t="str">
            <v/>
          </cell>
        </row>
        <row r="4486">
          <cell r="U4486" t="str">
            <v/>
          </cell>
        </row>
        <row r="4487">
          <cell r="U4487" t="str">
            <v/>
          </cell>
        </row>
        <row r="4488">
          <cell r="U4488" t="str">
            <v/>
          </cell>
        </row>
        <row r="4489">
          <cell r="U4489" t="str">
            <v/>
          </cell>
        </row>
        <row r="4490">
          <cell r="U4490" t="str">
            <v/>
          </cell>
        </row>
        <row r="4491">
          <cell r="U4491" t="str">
            <v/>
          </cell>
        </row>
        <row r="4492">
          <cell r="U4492" t="str">
            <v/>
          </cell>
        </row>
        <row r="4493">
          <cell r="U4493" t="str">
            <v/>
          </cell>
        </row>
        <row r="4494">
          <cell r="U4494" t="str">
            <v/>
          </cell>
        </row>
        <row r="4495">
          <cell r="U4495" t="str">
            <v/>
          </cell>
        </row>
        <row r="4496">
          <cell r="U4496" t="str">
            <v/>
          </cell>
        </row>
        <row r="4497">
          <cell r="U4497" t="str">
            <v/>
          </cell>
        </row>
        <row r="4498">
          <cell r="U4498" t="str">
            <v/>
          </cell>
        </row>
        <row r="4499">
          <cell r="U4499" t="str">
            <v/>
          </cell>
        </row>
        <row r="4500">
          <cell r="U4500" t="str">
            <v/>
          </cell>
        </row>
        <row r="4501">
          <cell r="U4501" t="str">
            <v/>
          </cell>
        </row>
        <row r="4502">
          <cell r="U4502" t="str">
            <v/>
          </cell>
        </row>
        <row r="4503">
          <cell r="U4503" t="str">
            <v/>
          </cell>
        </row>
        <row r="4504">
          <cell r="U4504" t="str">
            <v/>
          </cell>
        </row>
        <row r="4505">
          <cell r="U4505" t="str">
            <v/>
          </cell>
        </row>
        <row r="4506">
          <cell r="U4506" t="str">
            <v/>
          </cell>
        </row>
        <row r="4507">
          <cell r="U4507" t="str">
            <v/>
          </cell>
        </row>
        <row r="4508">
          <cell r="U4508" t="str">
            <v/>
          </cell>
        </row>
        <row r="4509">
          <cell r="U4509" t="str">
            <v/>
          </cell>
        </row>
        <row r="4510">
          <cell r="U4510" t="str">
            <v/>
          </cell>
        </row>
        <row r="4511">
          <cell r="U4511" t="str">
            <v/>
          </cell>
        </row>
        <row r="4512">
          <cell r="U4512" t="str">
            <v/>
          </cell>
        </row>
        <row r="4513">
          <cell r="U4513" t="str">
            <v/>
          </cell>
        </row>
        <row r="4514">
          <cell r="U4514" t="str">
            <v/>
          </cell>
        </row>
        <row r="4515">
          <cell r="U4515" t="str">
            <v/>
          </cell>
        </row>
        <row r="4516">
          <cell r="U4516" t="str">
            <v/>
          </cell>
        </row>
        <row r="4517">
          <cell r="U4517" t="str">
            <v/>
          </cell>
        </row>
        <row r="4518">
          <cell r="U4518" t="str">
            <v/>
          </cell>
        </row>
        <row r="4519">
          <cell r="U4519" t="str">
            <v/>
          </cell>
        </row>
        <row r="4520">
          <cell r="U4520" t="str">
            <v/>
          </cell>
        </row>
        <row r="4521">
          <cell r="U4521" t="str">
            <v/>
          </cell>
        </row>
        <row r="4522">
          <cell r="U4522" t="str">
            <v/>
          </cell>
        </row>
        <row r="4523">
          <cell r="U4523" t="str">
            <v/>
          </cell>
        </row>
        <row r="4524">
          <cell r="U4524" t="str">
            <v/>
          </cell>
        </row>
        <row r="4525">
          <cell r="U4525" t="str">
            <v/>
          </cell>
        </row>
        <row r="4526">
          <cell r="U4526" t="str">
            <v/>
          </cell>
        </row>
        <row r="4527">
          <cell r="U4527" t="str">
            <v/>
          </cell>
        </row>
        <row r="4528">
          <cell r="U4528" t="str">
            <v/>
          </cell>
        </row>
        <row r="4529">
          <cell r="U4529" t="str">
            <v/>
          </cell>
        </row>
        <row r="4530">
          <cell r="U4530" t="str">
            <v/>
          </cell>
        </row>
        <row r="4531">
          <cell r="U4531" t="str">
            <v/>
          </cell>
        </row>
        <row r="4532">
          <cell r="U4532" t="str">
            <v/>
          </cell>
        </row>
        <row r="4533">
          <cell r="U4533" t="str">
            <v/>
          </cell>
        </row>
        <row r="4534">
          <cell r="U4534" t="str">
            <v/>
          </cell>
        </row>
        <row r="4535">
          <cell r="U4535" t="str">
            <v/>
          </cell>
        </row>
        <row r="4536">
          <cell r="U4536" t="str">
            <v/>
          </cell>
        </row>
        <row r="4537">
          <cell r="U4537" t="str">
            <v/>
          </cell>
        </row>
        <row r="4538">
          <cell r="U4538" t="str">
            <v/>
          </cell>
        </row>
        <row r="4539">
          <cell r="U4539" t="str">
            <v/>
          </cell>
        </row>
        <row r="4540">
          <cell r="U4540" t="str">
            <v/>
          </cell>
        </row>
        <row r="4541">
          <cell r="U4541" t="str">
            <v/>
          </cell>
        </row>
        <row r="4542">
          <cell r="U4542" t="str">
            <v/>
          </cell>
        </row>
        <row r="4543">
          <cell r="U4543" t="str">
            <v/>
          </cell>
        </row>
        <row r="4544">
          <cell r="U4544" t="str">
            <v/>
          </cell>
        </row>
        <row r="4545">
          <cell r="U4545" t="str">
            <v/>
          </cell>
        </row>
        <row r="4546">
          <cell r="U4546" t="str">
            <v/>
          </cell>
        </row>
        <row r="4547">
          <cell r="U4547" t="str">
            <v/>
          </cell>
        </row>
        <row r="4548">
          <cell r="U4548" t="str">
            <v/>
          </cell>
        </row>
        <row r="4549">
          <cell r="U4549" t="str">
            <v/>
          </cell>
        </row>
        <row r="4550">
          <cell r="U4550" t="str">
            <v/>
          </cell>
        </row>
        <row r="4551">
          <cell r="U4551" t="str">
            <v/>
          </cell>
        </row>
        <row r="4552">
          <cell r="U4552" t="str">
            <v/>
          </cell>
        </row>
        <row r="4553">
          <cell r="U4553" t="str">
            <v/>
          </cell>
        </row>
        <row r="4554">
          <cell r="U4554" t="str">
            <v/>
          </cell>
        </row>
        <row r="4555">
          <cell r="U4555" t="str">
            <v/>
          </cell>
        </row>
        <row r="4556">
          <cell r="U4556" t="str">
            <v/>
          </cell>
        </row>
        <row r="4557">
          <cell r="U4557" t="str">
            <v/>
          </cell>
        </row>
        <row r="4558">
          <cell r="U4558" t="str">
            <v/>
          </cell>
        </row>
        <row r="4559">
          <cell r="U4559" t="str">
            <v/>
          </cell>
        </row>
        <row r="4560">
          <cell r="U4560" t="str">
            <v/>
          </cell>
        </row>
        <row r="4561">
          <cell r="U4561" t="str">
            <v/>
          </cell>
        </row>
        <row r="4562">
          <cell r="U4562" t="str">
            <v/>
          </cell>
        </row>
        <row r="4563">
          <cell r="U4563" t="str">
            <v/>
          </cell>
        </row>
        <row r="4564">
          <cell r="U4564" t="str">
            <v/>
          </cell>
        </row>
        <row r="4565">
          <cell r="U4565" t="str">
            <v/>
          </cell>
        </row>
        <row r="4566">
          <cell r="U4566" t="str">
            <v/>
          </cell>
        </row>
        <row r="4567">
          <cell r="U4567" t="str">
            <v/>
          </cell>
        </row>
        <row r="4568">
          <cell r="U4568" t="str">
            <v/>
          </cell>
        </row>
        <row r="4569">
          <cell r="U4569" t="str">
            <v/>
          </cell>
        </row>
        <row r="4570">
          <cell r="U4570" t="str">
            <v/>
          </cell>
        </row>
        <row r="4571">
          <cell r="U4571" t="str">
            <v/>
          </cell>
        </row>
        <row r="4572">
          <cell r="U4572" t="str">
            <v/>
          </cell>
        </row>
        <row r="4573">
          <cell r="U4573" t="str">
            <v/>
          </cell>
        </row>
        <row r="4574">
          <cell r="U4574" t="str">
            <v/>
          </cell>
        </row>
        <row r="4575">
          <cell r="U4575" t="str">
            <v/>
          </cell>
        </row>
        <row r="4576">
          <cell r="U4576" t="str">
            <v/>
          </cell>
        </row>
        <row r="4577">
          <cell r="U4577" t="str">
            <v/>
          </cell>
        </row>
        <row r="4578">
          <cell r="U4578" t="str">
            <v/>
          </cell>
        </row>
        <row r="4579">
          <cell r="U4579" t="str">
            <v/>
          </cell>
        </row>
        <row r="4580">
          <cell r="U4580" t="str">
            <v/>
          </cell>
        </row>
        <row r="4581">
          <cell r="U4581" t="str">
            <v/>
          </cell>
        </row>
        <row r="4582">
          <cell r="U4582" t="str">
            <v/>
          </cell>
        </row>
        <row r="4583">
          <cell r="U4583" t="str">
            <v/>
          </cell>
        </row>
        <row r="4584">
          <cell r="U4584" t="str">
            <v/>
          </cell>
        </row>
        <row r="4585">
          <cell r="U4585" t="str">
            <v/>
          </cell>
        </row>
        <row r="4586">
          <cell r="U4586" t="str">
            <v/>
          </cell>
        </row>
        <row r="4587">
          <cell r="U4587" t="str">
            <v/>
          </cell>
        </row>
        <row r="4588">
          <cell r="U4588" t="str">
            <v/>
          </cell>
        </row>
        <row r="4589">
          <cell r="U4589" t="str">
            <v/>
          </cell>
        </row>
        <row r="4590">
          <cell r="U4590" t="str">
            <v/>
          </cell>
        </row>
        <row r="4591">
          <cell r="U4591" t="str">
            <v/>
          </cell>
        </row>
        <row r="4592">
          <cell r="U4592" t="str">
            <v/>
          </cell>
        </row>
        <row r="4593">
          <cell r="U4593" t="str">
            <v/>
          </cell>
        </row>
        <row r="4594">
          <cell r="U4594" t="str">
            <v/>
          </cell>
        </row>
        <row r="4595">
          <cell r="U4595" t="str">
            <v/>
          </cell>
        </row>
        <row r="4596">
          <cell r="U4596" t="str">
            <v/>
          </cell>
        </row>
        <row r="4597">
          <cell r="U4597" t="str">
            <v/>
          </cell>
        </row>
        <row r="4598">
          <cell r="U4598" t="str">
            <v/>
          </cell>
        </row>
        <row r="4599">
          <cell r="U4599" t="str">
            <v/>
          </cell>
        </row>
        <row r="4600">
          <cell r="U4600" t="str">
            <v/>
          </cell>
        </row>
        <row r="4601">
          <cell r="U4601" t="str">
            <v/>
          </cell>
        </row>
        <row r="4602">
          <cell r="U4602" t="str">
            <v/>
          </cell>
        </row>
        <row r="4603">
          <cell r="U4603" t="str">
            <v/>
          </cell>
        </row>
        <row r="4604">
          <cell r="U4604" t="str">
            <v/>
          </cell>
        </row>
        <row r="4605">
          <cell r="U4605" t="str">
            <v/>
          </cell>
        </row>
        <row r="4606">
          <cell r="U4606" t="str">
            <v/>
          </cell>
        </row>
        <row r="4607">
          <cell r="U4607" t="str">
            <v/>
          </cell>
        </row>
        <row r="4608">
          <cell r="U4608" t="str">
            <v/>
          </cell>
        </row>
        <row r="4609">
          <cell r="U4609" t="str">
            <v/>
          </cell>
        </row>
        <row r="4610">
          <cell r="U4610" t="str">
            <v/>
          </cell>
        </row>
        <row r="4611">
          <cell r="U4611" t="str">
            <v/>
          </cell>
        </row>
        <row r="4612">
          <cell r="U4612" t="str">
            <v/>
          </cell>
        </row>
        <row r="4613">
          <cell r="U4613" t="str">
            <v/>
          </cell>
        </row>
        <row r="4614">
          <cell r="U4614" t="str">
            <v/>
          </cell>
        </row>
        <row r="4615">
          <cell r="U4615" t="str">
            <v/>
          </cell>
        </row>
        <row r="4616">
          <cell r="U4616" t="str">
            <v/>
          </cell>
        </row>
        <row r="4617">
          <cell r="U4617" t="str">
            <v/>
          </cell>
        </row>
        <row r="4618">
          <cell r="U4618" t="str">
            <v/>
          </cell>
        </row>
        <row r="4619">
          <cell r="U4619" t="str">
            <v/>
          </cell>
        </row>
        <row r="4620">
          <cell r="U4620" t="str">
            <v/>
          </cell>
        </row>
        <row r="4621">
          <cell r="U4621" t="str">
            <v/>
          </cell>
        </row>
        <row r="4622">
          <cell r="U4622" t="str">
            <v/>
          </cell>
        </row>
        <row r="4623">
          <cell r="U4623" t="str">
            <v/>
          </cell>
        </row>
        <row r="4624">
          <cell r="U4624" t="str">
            <v/>
          </cell>
        </row>
        <row r="4625">
          <cell r="U4625" t="str">
            <v/>
          </cell>
        </row>
        <row r="4626">
          <cell r="U4626" t="str">
            <v/>
          </cell>
        </row>
        <row r="4627">
          <cell r="U4627" t="str">
            <v/>
          </cell>
        </row>
        <row r="4628">
          <cell r="U4628" t="str">
            <v/>
          </cell>
        </row>
        <row r="4629">
          <cell r="U4629" t="str">
            <v/>
          </cell>
        </row>
        <row r="4630">
          <cell r="U4630" t="str">
            <v/>
          </cell>
        </row>
        <row r="4631">
          <cell r="U4631" t="str">
            <v/>
          </cell>
        </row>
        <row r="4632">
          <cell r="U4632" t="str">
            <v/>
          </cell>
        </row>
        <row r="4633">
          <cell r="U4633" t="str">
            <v/>
          </cell>
        </row>
        <row r="4634">
          <cell r="U4634" t="str">
            <v/>
          </cell>
        </row>
        <row r="4635">
          <cell r="U4635" t="str">
            <v/>
          </cell>
        </row>
        <row r="4636">
          <cell r="U4636" t="str">
            <v/>
          </cell>
        </row>
        <row r="4637">
          <cell r="U4637" t="str">
            <v/>
          </cell>
        </row>
        <row r="4638">
          <cell r="U4638" t="str">
            <v/>
          </cell>
        </row>
        <row r="4639">
          <cell r="U4639" t="str">
            <v/>
          </cell>
        </row>
        <row r="4640">
          <cell r="U4640" t="str">
            <v/>
          </cell>
        </row>
        <row r="4641">
          <cell r="U4641" t="str">
            <v/>
          </cell>
        </row>
        <row r="4642">
          <cell r="U4642" t="str">
            <v/>
          </cell>
        </row>
        <row r="4643">
          <cell r="U4643" t="str">
            <v/>
          </cell>
        </row>
        <row r="4644">
          <cell r="U4644" t="str">
            <v/>
          </cell>
        </row>
        <row r="4645">
          <cell r="U4645" t="str">
            <v/>
          </cell>
        </row>
        <row r="4646">
          <cell r="U4646" t="str">
            <v/>
          </cell>
        </row>
        <row r="4647">
          <cell r="U4647" t="str">
            <v/>
          </cell>
        </row>
        <row r="4648">
          <cell r="U4648" t="str">
            <v/>
          </cell>
        </row>
        <row r="4649">
          <cell r="U4649" t="str">
            <v/>
          </cell>
        </row>
        <row r="4650">
          <cell r="U4650" t="str">
            <v/>
          </cell>
        </row>
        <row r="4651">
          <cell r="U4651" t="str">
            <v/>
          </cell>
        </row>
        <row r="4652">
          <cell r="U4652" t="str">
            <v/>
          </cell>
        </row>
        <row r="4653">
          <cell r="U4653" t="str">
            <v/>
          </cell>
        </row>
        <row r="4654">
          <cell r="U4654" t="str">
            <v/>
          </cell>
        </row>
        <row r="4655">
          <cell r="U4655" t="str">
            <v/>
          </cell>
        </row>
        <row r="4656">
          <cell r="U4656" t="str">
            <v/>
          </cell>
        </row>
        <row r="4657">
          <cell r="U4657" t="str">
            <v/>
          </cell>
        </row>
        <row r="4658">
          <cell r="U4658" t="str">
            <v/>
          </cell>
        </row>
        <row r="4659">
          <cell r="U4659" t="str">
            <v/>
          </cell>
        </row>
        <row r="4660">
          <cell r="U4660" t="str">
            <v/>
          </cell>
        </row>
        <row r="4661">
          <cell r="U4661" t="str">
            <v/>
          </cell>
        </row>
        <row r="4662">
          <cell r="U4662" t="str">
            <v/>
          </cell>
        </row>
        <row r="4663">
          <cell r="U4663" t="str">
            <v/>
          </cell>
        </row>
        <row r="4664">
          <cell r="U4664" t="str">
            <v/>
          </cell>
        </row>
        <row r="4665">
          <cell r="U4665" t="str">
            <v/>
          </cell>
        </row>
        <row r="4666">
          <cell r="U4666" t="str">
            <v/>
          </cell>
        </row>
        <row r="4667">
          <cell r="U4667" t="str">
            <v/>
          </cell>
        </row>
        <row r="4668">
          <cell r="U4668" t="str">
            <v/>
          </cell>
        </row>
        <row r="4669">
          <cell r="U4669" t="str">
            <v/>
          </cell>
        </row>
        <row r="4670">
          <cell r="U4670" t="str">
            <v/>
          </cell>
        </row>
        <row r="4671">
          <cell r="U4671" t="str">
            <v/>
          </cell>
        </row>
        <row r="4672">
          <cell r="U4672" t="str">
            <v/>
          </cell>
        </row>
        <row r="4673">
          <cell r="U4673" t="str">
            <v/>
          </cell>
        </row>
        <row r="4674">
          <cell r="U4674" t="str">
            <v/>
          </cell>
        </row>
        <row r="4675">
          <cell r="U4675" t="str">
            <v/>
          </cell>
        </row>
        <row r="4676">
          <cell r="U4676" t="str">
            <v/>
          </cell>
        </row>
        <row r="4677">
          <cell r="U4677" t="str">
            <v/>
          </cell>
        </row>
        <row r="4678">
          <cell r="U4678" t="str">
            <v/>
          </cell>
        </row>
        <row r="4679">
          <cell r="U4679" t="str">
            <v/>
          </cell>
        </row>
        <row r="4680">
          <cell r="U4680" t="str">
            <v/>
          </cell>
        </row>
        <row r="4681">
          <cell r="U4681" t="str">
            <v/>
          </cell>
        </row>
        <row r="4682">
          <cell r="U4682" t="str">
            <v/>
          </cell>
        </row>
        <row r="4683">
          <cell r="U4683" t="str">
            <v/>
          </cell>
        </row>
        <row r="4684">
          <cell r="U4684" t="str">
            <v/>
          </cell>
        </row>
        <row r="4685">
          <cell r="U4685" t="str">
            <v/>
          </cell>
        </row>
        <row r="4686">
          <cell r="U4686" t="str">
            <v/>
          </cell>
        </row>
        <row r="4687">
          <cell r="U4687" t="str">
            <v/>
          </cell>
        </row>
        <row r="4688">
          <cell r="U4688" t="str">
            <v/>
          </cell>
        </row>
        <row r="4689">
          <cell r="U4689" t="str">
            <v/>
          </cell>
        </row>
        <row r="4690">
          <cell r="U4690" t="str">
            <v/>
          </cell>
        </row>
        <row r="4691">
          <cell r="U4691" t="str">
            <v/>
          </cell>
        </row>
        <row r="4692">
          <cell r="U4692" t="str">
            <v/>
          </cell>
        </row>
        <row r="4693">
          <cell r="U4693" t="str">
            <v/>
          </cell>
        </row>
        <row r="4694">
          <cell r="U4694" t="str">
            <v/>
          </cell>
        </row>
        <row r="4695">
          <cell r="U4695" t="str">
            <v/>
          </cell>
        </row>
        <row r="4696">
          <cell r="U4696" t="str">
            <v/>
          </cell>
        </row>
        <row r="4697">
          <cell r="U4697" t="str">
            <v/>
          </cell>
        </row>
        <row r="4698">
          <cell r="U4698" t="str">
            <v/>
          </cell>
        </row>
        <row r="4699">
          <cell r="U4699" t="str">
            <v/>
          </cell>
        </row>
        <row r="4700">
          <cell r="U4700" t="str">
            <v/>
          </cell>
        </row>
        <row r="4701">
          <cell r="U4701" t="str">
            <v/>
          </cell>
        </row>
        <row r="4702">
          <cell r="U4702" t="str">
            <v/>
          </cell>
        </row>
        <row r="4703">
          <cell r="U4703" t="str">
            <v/>
          </cell>
        </row>
        <row r="4704">
          <cell r="U4704" t="str">
            <v/>
          </cell>
        </row>
        <row r="4705">
          <cell r="U4705" t="str">
            <v/>
          </cell>
        </row>
        <row r="4706">
          <cell r="U4706" t="str">
            <v/>
          </cell>
        </row>
        <row r="4707">
          <cell r="U4707" t="str">
            <v/>
          </cell>
        </row>
        <row r="4708">
          <cell r="U4708" t="str">
            <v/>
          </cell>
        </row>
        <row r="4709">
          <cell r="U4709" t="str">
            <v/>
          </cell>
        </row>
        <row r="4710">
          <cell r="U4710" t="str">
            <v/>
          </cell>
        </row>
        <row r="4711">
          <cell r="U4711" t="str">
            <v/>
          </cell>
        </row>
        <row r="4712">
          <cell r="U4712" t="str">
            <v/>
          </cell>
        </row>
        <row r="4713">
          <cell r="U4713" t="str">
            <v/>
          </cell>
        </row>
        <row r="4714">
          <cell r="U4714" t="str">
            <v/>
          </cell>
        </row>
        <row r="4715">
          <cell r="U4715" t="str">
            <v/>
          </cell>
        </row>
        <row r="4716">
          <cell r="U4716" t="str">
            <v/>
          </cell>
        </row>
        <row r="4717">
          <cell r="U4717" t="str">
            <v/>
          </cell>
        </row>
        <row r="4718">
          <cell r="U4718" t="str">
            <v/>
          </cell>
        </row>
        <row r="4719">
          <cell r="U4719" t="str">
            <v/>
          </cell>
        </row>
        <row r="4720">
          <cell r="U4720" t="str">
            <v/>
          </cell>
        </row>
        <row r="4721">
          <cell r="U4721" t="str">
            <v/>
          </cell>
        </row>
        <row r="4722">
          <cell r="U4722" t="str">
            <v/>
          </cell>
        </row>
        <row r="4723">
          <cell r="U4723" t="str">
            <v/>
          </cell>
        </row>
        <row r="4724">
          <cell r="U4724" t="str">
            <v/>
          </cell>
        </row>
        <row r="4725">
          <cell r="U4725" t="str">
            <v/>
          </cell>
        </row>
        <row r="4726">
          <cell r="U4726" t="str">
            <v/>
          </cell>
        </row>
        <row r="4727">
          <cell r="U4727" t="str">
            <v/>
          </cell>
        </row>
        <row r="4728">
          <cell r="U4728" t="str">
            <v/>
          </cell>
        </row>
        <row r="4729">
          <cell r="U4729" t="str">
            <v/>
          </cell>
        </row>
        <row r="4730">
          <cell r="U4730" t="str">
            <v/>
          </cell>
        </row>
        <row r="4731">
          <cell r="U4731" t="str">
            <v/>
          </cell>
        </row>
        <row r="4732">
          <cell r="U4732" t="str">
            <v/>
          </cell>
        </row>
        <row r="4733">
          <cell r="U4733" t="str">
            <v/>
          </cell>
        </row>
        <row r="4734">
          <cell r="U4734" t="str">
            <v/>
          </cell>
        </row>
        <row r="4735">
          <cell r="U4735" t="str">
            <v/>
          </cell>
        </row>
        <row r="4736">
          <cell r="U4736" t="str">
            <v/>
          </cell>
        </row>
        <row r="4737">
          <cell r="U4737" t="str">
            <v/>
          </cell>
        </row>
        <row r="4738">
          <cell r="U4738" t="str">
            <v/>
          </cell>
        </row>
        <row r="4739">
          <cell r="U4739" t="str">
            <v/>
          </cell>
        </row>
        <row r="4740">
          <cell r="U4740" t="str">
            <v/>
          </cell>
        </row>
        <row r="4741">
          <cell r="U4741" t="str">
            <v/>
          </cell>
        </row>
        <row r="4742">
          <cell r="U4742" t="str">
            <v/>
          </cell>
        </row>
        <row r="4743">
          <cell r="U4743" t="str">
            <v/>
          </cell>
        </row>
        <row r="4744">
          <cell r="U4744" t="str">
            <v/>
          </cell>
        </row>
        <row r="4745">
          <cell r="U4745" t="str">
            <v/>
          </cell>
        </row>
        <row r="4746">
          <cell r="U4746" t="str">
            <v/>
          </cell>
        </row>
        <row r="4747">
          <cell r="U4747" t="str">
            <v/>
          </cell>
        </row>
        <row r="4748">
          <cell r="U4748" t="str">
            <v/>
          </cell>
        </row>
        <row r="4749">
          <cell r="U4749" t="str">
            <v/>
          </cell>
        </row>
        <row r="4750">
          <cell r="U4750" t="str">
            <v/>
          </cell>
        </row>
        <row r="4751">
          <cell r="U4751" t="str">
            <v/>
          </cell>
        </row>
        <row r="4752">
          <cell r="U4752" t="str">
            <v/>
          </cell>
        </row>
        <row r="4753">
          <cell r="U4753" t="str">
            <v/>
          </cell>
        </row>
        <row r="4754">
          <cell r="U4754" t="str">
            <v/>
          </cell>
        </row>
        <row r="4755">
          <cell r="U4755" t="str">
            <v/>
          </cell>
        </row>
        <row r="4756">
          <cell r="U4756" t="str">
            <v/>
          </cell>
        </row>
        <row r="4757">
          <cell r="U4757" t="str">
            <v/>
          </cell>
        </row>
        <row r="4758">
          <cell r="U4758" t="str">
            <v/>
          </cell>
        </row>
        <row r="4759">
          <cell r="U4759" t="str">
            <v/>
          </cell>
        </row>
        <row r="4760">
          <cell r="U4760" t="str">
            <v/>
          </cell>
        </row>
        <row r="4761">
          <cell r="U4761" t="str">
            <v/>
          </cell>
        </row>
        <row r="4762">
          <cell r="U4762" t="str">
            <v/>
          </cell>
        </row>
        <row r="4763">
          <cell r="U4763" t="str">
            <v/>
          </cell>
        </row>
        <row r="4764">
          <cell r="U4764" t="str">
            <v/>
          </cell>
        </row>
        <row r="4765">
          <cell r="U4765" t="str">
            <v/>
          </cell>
        </row>
        <row r="4766">
          <cell r="U4766" t="str">
            <v/>
          </cell>
        </row>
        <row r="4767">
          <cell r="U4767" t="str">
            <v/>
          </cell>
        </row>
        <row r="4768">
          <cell r="U4768" t="str">
            <v/>
          </cell>
        </row>
        <row r="4769">
          <cell r="U4769" t="str">
            <v/>
          </cell>
        </row>
        <row r="4770">
          <cell r="U4770" t="str">
            <v/>
          </cell>
        </row>
        <row r="4771">
          <cell r="U4771" t="str">
            <v/>
          </cell>
        </row>
        <row r="4772">
          <cell r="U4772" t="str">
            <v/>
          </cell>
        </row>
        <row r="4773">
          <cell r="U4773" t="str">
            <v/>
          </cell>
        </row>
        <row r="4774">
          <cell r="U4774" t="str">
            <v/>
          </cell>
        </row>
        <row r="4775">
          <cell r="U4775" t="str">
            <v/>
          </cell>
        </row>
        <row r="4776">
          <cell r="U4776" t="str">
            <v/>
          </cell>
        </row>
        <row r="4777">
          <cell r="U4777" t="str">
            <v/>
          </cell>
        </row>
        <row r="4778">
          <cell r="U4778" t="str">
            <v/>
          </cell>
        </row>
        <row r="4779">
          <cell r="U4779" t="str">
            <v/>
          </cell>
        </row>
        <row r="4780">
          <cell r="U4780" t="str">
            <v/>
          </cell>
        </row>
        <row r="4781">
          <cell r="U4781" t="str">
            <v/>
          </cell>
        </row>
        <row r="4782">
          <cell r="U4782" t="str">
            <v/>
          </cell>
        </row>
        <row r="4783">
          <cell r="U4783" t="str">
            <v/>
          </cell>
        </row>
        <row r="4784">
          <cell r="U4784" t="str">
            <v/>
          </cell>
        </row>
        <row r="4785">
          <cell r="U4785" t="str">
            <v/>
          </cell>
        </row>
        <row r="4786">
          <cell r="U4786" t="str">
            <v/>
          </cell>
        </row>
        <row r="4787">
          <cell r="U4787" t="str">
            <v/>
          </cell>
        </row>
        <row r="4788">
          <cell r="U4788" t="str">
            <v/>
          </cell>
        </row>
        <row r="4789">
          <cell r="U4789" t="str">
            <v/>
          </cell>
        </row>
        <row r="4790">
          <cell r="U4790" t="str">
            <v/>
          </cell>
        </row>
        <row r="4791">
          <cell r="U4791" t="str">
            <v/>
          </cell>
        </row>
        <row r="4792">
          <cell r="U4792" t="str">
            <v/>
          </cell>
        </row>
        <row r="4793">
          <cell r="U4793" t="str">
            <v/>
          </cell>
        </row>
        <row r="4794">
          <cell r="U4794" t="str">
            <v/>
          </cell>
        </row>
        <row r="4795">
          <cell r="U4795" t="str">
            <v/>
          </cell>
        </row>
        <row r="4796">
          <cell r="U4796" t="str">
            <v/>
          </cell>
        </row>
        <row r="4797">
          <cell r="U4797" t="str">
            <v/>
          </cell>
        </row>
        <row r="4798">
          <cell r="U4798" t="str">
            <v/>
          </cell>
        </row>
        <row r="4799">
          <cell r="U4799" t="str">
            <v/>
          </cell>
        </row>
        <row r="4800">
          <cell r="U4800" t="str">
            <v/>
          </cell>
        </row>
        <row r="4801">
          <cell r="U4801" t="str">
            <v/>
          </cell>
        </row>
        <row r="4802">
          <cell r="U4802" t="str">
            <v/>
          </cell>
        </row>
        <row r="4803">
          <cell r="U4803" t="str">
            <v/>
          </cell>
        </row>
        <row r="4804">
          <cell r="U4804" t="str">
            <v/>
          </cell>
        </row>
        <row r="4805">
          <cell r="U4805" t="str">
            <v/>
          </cell>
        </row>
        <row r="4806">
          <cell r="U4806" t="str">
            <v/>
          </cell>
        </row>
        <row r="4807">
          <cell r="U4807" t="str">
            <v/>
          </cell>
        </row>
        <row r="4808">
          <cell r="U4808" t="str">
            <v/>
          </cell>
        </row>
        <row r="4809">
          <cell r="U4809" t="str">
            <v/>
          </cell>
        </row>
        <row r="4810">
          <cell r="U4810" t="str">
            <v/>
          </cell>
        </row>
        <row r="4811">
          <cell r="U4811" t="str">
            <v/>
          </cell>
        </row>
        <row r="4812">
          <cell r="U4812" t="str">
            <v/>
          </cell>
        </row>
        <row r="4813">
          <cell r="U4813" t="str">
            <v/>
          </cell>
        </row>
        <row r="4814">
          <cell r="U4814" t="str">
            <v/>
          </cell>
        </row>
        <row r="4815">
          <cell r="U4815" t="str">
            <v/>
          </cell>
        </row>
        <row r="4816">
          <cell r="U4816" t="str">
            <v/>
          </cell>
        </row>
        <row r="4817">
          <cell r="U4817" t="str">
            <v/>
          </cell>
        </row>
        <row r="4818">
          <cell r="U4818" t="str">
            <v/>
          </cell>
        </row>
        <row r="4819">
          <cell r="U4819" t="str">
            <v/>
          </cell>
        </row>
        <row r="4820">
          <cell r="U4820" t="str">
            <v/>
          </cell>
        </row>
        <row r="4821">
          <cell r="U4821" t="str">
            <v/>
          </cell>
        </row>
        <row r="4822">
          <cell r="U4822" t="str">
            <v/>
          </cell>
        </row>
        <row r="4823">
          <cell r="U4823" t="str">
            <v/>
          </cell>
        </row>
        <row r="4824">
          <cell r="U4824" t="str">
            <v/>
          </cell>
        </row>
        <row r="4825">
          <cell r="U4825" t="str">
            <v/>
          </cell>
        </row>
        <row r="4826">
          <cell r="U4826" t="str">
            <v/>
          </cell>
        </row>
        <row r="4827">
          <cell r="U4827" t="str">
            <v/>
          </cell>
        </row>
        <row r="4828">
          <cell r="U4828" t="str">
            <v/>
          </cell>
        </row>
        <row r="4829">
          <cell r="U4829" t="str">
            <v/>
          </cell>
        </row>
        <row r="4830">
          <cell r="U4830" t="str">
            <v/>
          </cell>
        </row>
        <row r="4831">
          <cell r="U4831" t="str">
            <v/>
          </cell>
        </row>
        <row r="4832">
          <cell r="U4832" t="str">
            <v/>
          </cell>
        </row>
        <row r="4833">
          <cell r="U4833" t="str">
            <v/>
          </cell>
        </row>
        <row r="4834">
          <cell r="U4834" t="str">
            <v/>
          </cell>
        </row>
        <row r="4835">
          <cell r="U4835" t="str">
            <v/>
          </cell>
        </row>
        <row r="4836">
          <cell r="U4836" t="str">
            <v/>
          </cell>
        </row>
        <row r="4837">
          <cell r="U4837" t="str">
            <v/>
          </cell>
        </row>
        <row r="4838">
          <cell r="U4838" t="str">
            <v/>
          </cell>
        </row>
        <row r="4839">
          <cell r="U4839" t="str">
            <v/>
          </cell>
        </row>
        <row r="4840">
          <cell r="U4840" t="str">
            <v/>
          </cell>
        </row>
        <row r="4841">
          <cell r="U4841" t="str">
            <v/>
          </cell>
        </row>
        <row r="4842">
          <cell r="U4842" t="str">
            <v/>
          </cell>
        </row>
        <row r="4843">
          <cell r="U4843" t="str">
            <v/>
          </cell>
        </row>
        <row r="4844">
          <cell r="U4844" t="str">
            <v/>
          </cell>
        </row>
        <row r="4845">
          <cell r="U4845" t="str">
            <v/>
          </cell>
        </row>
        <row r="4846">
          <cell r="U4846" t="str">
            <v/>
          </cell>
        </row>
        <row r="4847">
          <cell r="U4847" t="str">
            <v/>
          </cell>
        </row>
        <row r="4848">
          <cell r="U4848" t="str">
            <v/>
          </cell>
        </row>
        <row r="4849">
          <cell r="U4849" t="str">
            <v/>
          </cell>
        </row>
        <row r="4850">
          <cell r="U4850" t="str">
            <v/>
          </cell>
        </row>
        <row r="4851">
          <cell r="U4851" t="str">
            <v/>
          </cell>
        </row>
        <row r="4852">
          <cell r="U4852" t="str">
            <v/>
          </cell>
        </row>
        <row r="4853">
          <cell r="U4853" t="str">
            <v/>
          </cell>
        </row>
        <row r="4854">
          <cell r="U4854" t="str">
            <v/>
          </cell>
        </row>
        <row r="4855">
          <cell r="U4855" t="str">
            <v/>
          </cell>
        </row>
        <row r="4856">
          <cell r="U4856" t="str">
            <v/>
          </cell>
        </row>
        <row r="4857">
          <cell r="U4857" t="str">
            <v/>
          </cell>
        </row>
        <row r="4858">
          <cell r="U4858" t="str">
            <v/>
          </cell>
        </row>
        <row r="4859">
          <cell r="U4859" t="str">
            <v/>
          </cell>
        </row>
        <row r="4860">
          <cell r="U4860" t="str">
            <v/>
          </cell>
        </row>
        <row r="4861">
          <cell r="U4861" t="str">
            <v/>
          </cell>
        </row>
        <row r="4862">
          <cell r="U4862" t="str">
            <v/>
          </cell>
        </row>
        <row r="4863">
          <cell r="U4863" t="str">
            <v/>
          </cell>
        </row>
        <row r="4864">
          <cell r="U4864" t="str">
            <v/>
          </cell>
        </row>
        <row r="4865">
          <cell r="U4865" t="str">
            <v/>
          </cell>
        </row>
        <row r="4866">
          <cell r="U4866" t="str">
            <v/>
          </cell>
        </row>
        <row r="4867">
          <cell r="U4867" t="str">
            <v/>
          </cell>
        </row>
        <row r="4868">
          <cell r="U4868" t="str">
            <v/>
          </cell>
        </row>
        <row r="4869">
          <cell r="U4869" t="str">
            <v/>
          </cell>
        </row>
        <row r="4870">
          <cell r="U4870" t="str">
            <v/>
          </cell>
        </row>
        <row r="4871">
          <cell r="U4871" t="str">
            <v/>
          </cell>
        </row>
        <row r="4872">
          <cell r="U4872" t="str">
            <v/>
          </cell>
        </row>
        <row r="4873">
          <cell r="U4873" t="str">
            <v/>
          </cell>
        </row>
        <row r="4874">
          <cell r="U4874" t="str">
            <v/>
          </cell>
        </row>
        <row r="4875">
          <cell r="U4875" t="str">
            <v/>
          </cell>
        </row>
        <row r="4876">
          <cell r="U4876" t="str">
            <v/>
          </cell>
        </row>
        <row r="4877">
          <cell r="U4877" t="str">
            <v/>
          </cell>
        </row>
        <row r="4878">
          <cell r="U4878" t="str">
            <v/>
          </cell>
        </row>
        <row r="4879">
          <cell r="U4879" t="str">
            <v/>
          </cell>
        </row>
        <row r="4880">
          <cell r="U4880" t="str">
            <v/>
          </cell>
        </row>
        <row r="4881">
          <cell r="U4881" t="str">
            <v/>
          </cell>
        </row>
        <row r="4882">
          <cell r="U4882" t="str">
            <v/>
          </cell>
        </row>
        <row r="4883">
          <cell r="U4883" t="str">
            <v/>
          </cell>
        </row>
        <row r="4884">
          <cell r="U4884" t="str">
            <v/>
          </cell>
        </row>
        <row r="4885">
          <cell r="U4885" t="str">
            <v/>
          </cell>
        </row>
        <row r="4886">
          <cell r="U4886" t="str">
            <v/>
          </cell>
        </row>
        <row r="4887">
          <cell r="U4887" t="str">
            <v/>
          </cell>
        </row>
        <row r="4888">
          <cell r="U4888" t="str">
            <v/>
          </cell>
        </row>
        <row r="4889">
          <cell r="U4889" t="str">
            <v/>
          </cell>
        </row>
        <row r="4890">
          <cell r="U4890" t="str">
            <v/>
          </cell>
        </row>
        <row r="4891">
          <cell r="U4891" t="str">
            <v/>
          </cell>
        </row>
        <row r="4892">
          <cell r="U4892" t="str">
            <v/>
          </cell>
        </row>
        <row r="4893">
          <cell r="U4893" t="str">
            <v/>
          </cell>
        </row>
        <row r="4894">
          <cell r="U4894" t="str">
            <v/>
          </cell>
        </row>
        <row r="4895">
          <cell r="U4895" t="str">
            <v/>
          </cell>
        </row>
        <row r="4896">
          <cell r="U4896" t="str">
            <v/>
          </cell>
        </row>
        <row r="4897">
          <cell r="U4897" t="str">
            <v/>
          </cell>
        </row>
        <row r="4898">
          <cell r="U4898" t="str">
            <v/>
          </cell>
        </row>
        <row r="4899">
          <cell r="U4899" t="str">
            <v/>
          </cell>
        </row>
        <row r="4900">
          <cell r="U4900" t="str">
            <v/>
          </cell>
        </row>
        <row r="4901">
          <cell r="U4901" t="str">
            <v/>
          </cell>
        </row>
        <row r="4902">
          <cell r="U4902" t="str">
            <v/>
          </cell>
        </row>
        <row r="4903">
          <cell r="U4903" t="str">
            <v/>
          </cell>
        </row>
        <row r="4904">
          <cell r="U4904" t="str">
            <v/>
          </cell>
        </row>
        <row r="4905">
          <cell r="U4905" t="str">
            <v/>
          </cell>
        </row>
        <row r="4906">
          <cell r="U4906" t="str">
            <v/>
          </cell>
        </row>
        <row r="4907">
          <cell r="U4907" t="str">
            <v/>
          </cell>
        </row>
        <row r="4908">
          <cell r="U4908" t="str">
            <v/>
          </cell>
        </row>
        <row r="4909">
          <cell r="U4909" t="str">
            <v/>
          </cell>
        </row>
        <row r="4910">
          <cell r="U4910" t="str">
            <v/>
          </cell>
        </row>
        <row r="4911">
          <cell r="U4911" t="str">
            <v/>
          </cell>
        </row>
        <row r="4912">
          <cell r="U4912" t="str">
            <v/>
          </cell>
        </row>
        <row r="4913">
          <cell r="U4913" t="str">
            <v/>
          </cell>
        </row>
        <row r="4914">
          <cell r="U4914" t="str">
            <v/>
          </cell>
        </row>
        <row r="4915">
          <cell r="U4915" t="str">
            <v/>
          </cell>
        </row>
        <row r="4916">
          <cell r="U4916" t="str">
            <v/>
          </cell>
        </row>
        <row r="4917">
          <cell r="U4917" t="str">
            <v/>
          </cell>
        </row>
        <row r="4918">
          <cell r="U4918" t="str">
            <v/>
          </cell>
        </row>
        <row r="4919">
          <cell r="U4919" t="str">
            <v/>
          </cell>
        </row>
        <row r="4920">
          <cell r="U4920" t="str">
            <v/>
          </cell>
        </row>
        <row r="4921">
          <cell r="U4921" t="str">
            <v/>
          </cell>
        </row>
        <row r="4922">
          <cell r="U4922" t="str">
            <v/>
          </cell>
        </row>
        <row r="4923">
          <cell r="U4923" t="str">
            <v/>
          </cell>
        </row>
        <row r="4924">
          <cell r="U4924" t="str">
            <v/>
          </cell>
        </row>
        <row r="4925">
          <cell r="U4925" t="str">
            <v/>
          </cell>
        </row>
        <row r="4926">
          <cell r="U4926" t="str">
            <v/>
          </cell>
        </row>
        <row r="4927">
          <cell r="U4927" t="str">
            <v/>
          </cell>
        </row>
        <row r="4928">
          <cell r="U4928" t="str">
            <v/>
          </cell>
        </row>
        <row r="4929">
          <cell r="U4929" t="str">
            <v/>
          </cell>
        </row>
        <row r="4930">
          <cell r="U4930" t="str">
            <v/>
          </cell>
        </row>
        <row r="4931">
          <cell r="U4931" t="str">
            <v/>
          </cell>
        </row>
        <row r="4932">
          <cell r="U4932" t="str">
            <v/>
          </cell>
        </row>
        <row r="4933">
          <cell r="U4933" t="str">
            <v/>
          </cell>
        </row>
        <row r="4934">
          <cell r="U4934" t="str">
            <v/>
          </cell>
        </row>
        <row r="4935">
          <cell r="U4935" t="str">
            <v/>
          </cell>
        </row>
        <row r="4936">
          <cell r="U4936" t="str">
            <v/>
          </cell>
        </row>
        <row r="4937">
          <cell r="U4937" t="str">
            <v/>
          </cell>
        </row>
        <row r="4938">
          <cell r="U4938" t="str">
            <v/>
          </cell>
        </row>
        <row r="4939">
          <cell r="U4939" t="str">
            <v/>
          </cell>
        </row>
        <row r="4940">
          <cell r="U4940" t="str">
            <v/>
          </cell>
        </row>
        <row r="4941">
          <cell r="U4941" t="str">
            <v/>
          </cell>
        </row>
        <row r="4942">
          <cell r="U4942" t="str">
            <v/>
          </cell>
        </row>
        <row r="4943">
          <cell r="U4943" t="str">
            <v/>
          </cell>
        </row>
        <row r="4944">
          <cell r="U4944" t="str">
            <v/>
          </cell>
        </row>
        <row r="4945">
          <cell r="U4945" t="str">
            <v/>
          </cell>
        </row>
        <row r="4946">
          <cell r="U4946" t="str">
            <v/>
          </cell>
        </row>
        <row r="4947">
          <cell r="U4947" t="str">
            <v/>
          </cell>
        </row>
        <row r="4948">
          <cell r="U4948" t="str">
            <v/>
          </cell>
        </row>
        <row r="4949">
          <cell r="U4949" t="str">
            <v/>
          </cell>
        </row>
        <row r="4950">
          <cell r="U4950" t="str">
            <v/>
          </cell>
        </row>
        <row r="4951">
          <cell r="U4951" t="str">
            <v/>
          </cell>
        </row>
        <row r="4952">
          <cell r="U4952" t="str">
            <v/>
          </cell>
        </row>
        <row r="4953">
          <cell r="U4953" t="str">
            <v/>
          </cell>
        </row>
        <row r="4954">
          <cell r="U4954" t="str">
            <v/>
          </cell>
        </row>
        <row r="4955">
          <cell r="U4955" t="str">
            <v/>
          </cell>
        </row>
        <row r="4956">
          <cell r="U4956" t="str">
            <v/>
          </cell>
        </row>
        <row r="4957">
          <cell r="U4957" t="str">
            <v/>
          </cell>
        </row>
        <row r="4958">
          <cell r="U4958" t="str">
            <v/>
          </cell>
        </row>
        <row r="4959">
          <cell r="U4959" t="str">
            <v/>
          </cell>
        </row>
        <row r="4960">
          <cell r="U4960" t="str">
            <v/>
          </cell>
        </row>
        <row r="4961">
          <cell r="U4961" t="str">
            <v/>
          </cell>
        </row>
        <row r="4962">
          <cell r="U4962" t="str">
            <v/>
          </cell>
        </row>
        <row r="4963">
          <cell r="U4963" t="str">
            <v/>
          </cell>
        </row>
        <row r="4964">
          <cell r="U4964" t="str">
            <v/>
          </cell>
        </row>
        <row r="4965">
          <cell r="U4965" t="str">
            <v/>
          </cell>
        </row>
        <row r="4966">
          <cell r="U4966" t="str">
            <v/>
          </cell>
        </row>
        <row r="4967">
          <cell r="U4967" t="str">
            <v/>
          </cell>
        </row>
        <row r="4968">
          <cell r="U4968" t="str">
            <v/>
          </cell>
        </row>
        <row r="4969">
          <cell r="U4969" t="str">
            <v/>
          </cell>
        </row>
        <row r="4970">
          <cell r="U4970" t="str">
            <v/>
          </cell>
        </row>
        <row r="4971">
          <cell r="U4971" t="str">
            <v/>
          </cell>
        </row>
        <row r="4972">
          <cell r="U4972" t="str">
            <v/>
          </cell>
        </row>
        <row r="4973">
          <cell r="U4973" t="str">
            <v/>
          </cell>
        </row>
        <row r="4974">
          <cell r="U4974" t="str">
            <v/>
          </cell>
        </row>
        <row r="4975">
          <cell r="U4975" t="str">
            <v/>
          </cell>
        </row>
        <row r="4976">
          <cell r="U4976" t="str">
            <v/>
          </cell>
        </row>
        <row r="4977">
          <cell r="U4977" t="str">
            <v/>
          </cell>
        </row>
        <row r="4978">
          <cell r="U4978" t="str">
            <v/>
          </cell>
        </row>
        <row r="4979">
          <cell r="U4979" t="str">
            <v/>
          </cell>
        </row>
        <row r="4980">
          <cell r="U4980" t="str">
            <v/>
          </cell>
        </row>
        <row r="4981">
          <cell r="U4981" t="str">
            <v/>
          </cell>
        </row>
        <row r="4982">
          <cell r="U4982" t="str">
            <v/>
          </cell>
        </row>
        <row r="4983">
          <cell r="U4983" t="str">
            <v/>
          </cell>
        </row>
        <row r="4984">
          <cell r="U4984" t="str">
            <v/>
          </cell>
        </row>
        <row r="4985">
          <cell r="U4985" t="str">
            <v/>
          </cell>
        </row>
        <row r="4986">
          <cell r="U4986" t="str">
            <v/>
          </cell>
        </row>
        <row r="4987">
          <cell r="U4987" t="str">
            <v/>
          </cell>
        </row>
        <row r="4988">
          <cell r="U4988" t="str">
            <v/>
          </cell>
        </row>
        <row r="4989">
          <cell r="U4989" t="str">
            <v/>
          </cell>
        </row>
        <row r="4990">
          <cell r="U4990" t="str">
            <v/>
          </cell>
        </row>
        <row r="4991">
          <cell r="U4991" t="str">
            <v/>
          </cell>
        </row>
        <row r="4992">
          <cell r="U4992" t="str">
            <v/>
          </cell>
        </row>
        <row r="4993">
          <cell r="U4993" t="str">
            <v/>
          </cell>
        </row>
        <row r="4994">
          <cell r="U4994" t="str">
            <v/>
          </cell>
        </row>
        <row r="4995">
          <cell r="U4995" t="str">
            <v/>
          </cell>
        </row>
        <row r="4996">
          <cell r="U4996" t="str">
            <v/>
          </cell>
        </row>
        <row r="4997">
          <cell r="U4997" t="str">
            <v/>
          </cell>
        </row>
        <row r="4998">
          <cell r="U4998" t="str">
            <v/>
          </cell>
        </row>
        <row r="4999">
          <cell r="U4999" t="str">
            <v/>
          </cell>
        </row>
        <row r="5000">
          <cell r="U5000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5">
          <cell r="J25">
            <v>62598</v>
          </cell>
        </row>
        <row r="26">
          <cell r="J26">
            <v>62386</v>
          </cell>
        </row>
        <row r="27">
          <cell r="J27">
            <v>62671</v>
          </cell>
        </row>
        <row r="28">
          <cell r="J28">
            <v>63120</v>
          </cell>
        </row>
        <row r="29">
          <cell r="J29">
            <v>436132</v>
          </cell>
        </row>
        <row r="30">
          <cell r="J30">
            <v>63677</v>
          </cell>
        </row>
        <row r="31">
          <cell r="J31">
            <v>63677</v>
          </cell>
        </row>
        <row r="32">
          <cell r="J32">
            <v>63870</v>
          </cell>
        </row>
        <row r="33">
          <cell r="J33">
            <v>63870</v>
          </cell>
        </row>
        <row r="34">
          <cell r="J34">
            <v>64255</v>
          </cell>
        </row>
        <row r="35">
          <cell r="J35">
            <v>65000</v>
          </cell>
        </row>
        <row r="36">
          <cell r="J36">
            <v>68000</v>
          </cell>
        </row>
      </sheetData>
      <sheetData sheetId="17"/>
      <sheetData sheetId="18"/>
      <sheetData sheetId="19"/>
      <sheetData sheetId="20"/>
      <sheetData sheetId="21">
        <row r="1739">
          <cell r="E1739">
            <v>85680</v>
          </cell>
        </row>
        <row r="1767">
          <cell r="E1767">
            <v>3577930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>
        <row r="1">
          <cell r="A1">
            <v>2017</v>
          </cell>
        </row>
        <row r="2">
          <cell r="A2">
            <v>2018</v>
          </cell>
        </row>
        <row r="3">
          <cell r="A3">
            <v>2019</v>
          </cell>
        </row>
        <row r="4">
          <cell r="A4">
            <v>2020</v>
          </cell>
        </row>
        <row r="5">
          <cell r="A5">
            <v>2021</v>
          </cell>
        </row>
      </sheetData>
      <sheetData sheetId="1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A65C-71D2-5542-A079-235E479DA315}">
  <dimension ref="A1:N52"/>
  <sheetViews>
    <sheetView tabSelected="1" topLeftCell="A35" zoomScale="160" zoomScaleNormal="115" zoomScalePageLayoutView="109" workbookViewId="0">
      <selection activeCell="M13" sqref="M13"/>
    </sheetView>
  </sheetViews>
  <sheetFormatPr baseColWidth="10" defaultColWidth="10.83203125" defaultRowHeight="14" x14ac:dyDescent="0.2"/>
  <cols>
    <col min="1" max="1" width="8" style="4" bestFit="1" customWidth="1"/>
    <col min="2" max="2" width="13.33203125" style="4" bestFit="1" customWidth="1"/>
    <col min="3" max="3" width="17.33203125" style="5" bestFit="1" customWidth="1"/>
    <col min="4" max="4" width="10.6640625" style="4" customWidth="1"/>
    <col min="5" max="5" width="2.5" style="4" customWidth="1"/>
    <col min="6" max="6" width="12.5" style="4" customWidth="1"/>
    <col min="7" max="7" width="12.5" style="5" customWidth="1"/>
    <col min="8" max="8" width="8" style="5" customWidth="1"/>
    <col min="9" max="9" width="8.83203125" style="5" bestFit="1" customWidth="1"/>
    <col min="10" max="10" width="7.6640625" style="5" bestFit="1" customWidth="1"/>
    <col min="11" max="11" width="5.6640625" style="6" bestFit="1" customWidth="1"/>
    <col min="12" max="12" width="12" style="7" bestFit="1" customWidth="1"/>
    <col min="13" max="13" width="33.6640625" style="4" customWidth="1"/>
    <col min="14" max="16384" width="10.83203125" style="4"/>
  </cols>
  <sheetData>
    <row r="1" spans="1:14" ht="16" x14ac:dyDescent="0.2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14" ht="17" thickBot="1" x14ac:dyDescent="0.25">
      <c r="A2" s="8" t="s">
        <v>1</v>
      </c>
      <c r="B2" s="9"/>
      <c r="C2" s="9"/>
      <c r="D2" s="9"/>
      <c r="E2" s="9"/>
      <c r="F2" s="9"/>
      <c r="G2" s="9"/>
      <c r="H2" s="9"/>
      <c r="I2" s="10"/>
      <c r="M2" s="11"/>
    </row>
    <row r="3" spans="1:14" ht="15" thickBot="1" x14ac:dyDescent="0.25">
      <c r="J3" s="12"/>
      <c r="K3" s="11"/>
      <c r="L3" s="11"/>
      <c r="M3" s="11"/>
      <c r="N3" s="11"/>
    </row>
    <row r="4" spans="1:14" ht="15" thickBot="1" x14ac:dyDescent="0.25">
      <c r="A4" s="13" t="s">
        <v>3</v>
      </c>
      <c r="B4" s="14" t="s">
        <v>4</v>
      </c>
      <c r="C4" s="15">
        <v>975</v>
      </c>
      <c r="D4" s="16" t="s">
        <v>5</v>
      </c>
      <c r="F4" s="13" t="s">
        <v>6</v>
      </c>
      <c r="G4" s="17"/>
      <c r="H4" s="17" t="s">
        <v>7</v>
      </c>
      <c r="I4" s="18" t="s">
        <v>8</v>
      </c>
    </row>
    <row r="5" spans="1:14" ht="16" customHeight="1" x14ac:dyDescent="0.2">
      <c r="A5" s="20"/>
      <c r="B5" s="21" t="s">
        <v>2</v>
      </c>
      <c r="C5" s="22">
        <v>39700</v>
      </c>
      <c r="D5" s="23" t="s">
        <v>5</v>
      </c>
      <c r="F5" s="20"/>
      <c r="G5" s="24" t="s">
        <v>9</v>
      </c>
      <c r="H5" s="25">
        <v>7</v>
      </c>
      <c r="I5" s="26">
        <f>H5*3.785</f>
        <v>26.495000000000001</v>
      </c>
    </row>
    <row r="6" spans="1:14" ht="17" customHeight="1" thickBot="1" x14ac:dyDescent="0.25">
      <c r="A6" s="20"/>
      <c r="B6" s="21" t="s">
        <v>10</v>
      </c>
      <c r="C6" s="22">
        <f>1750+(0*(1+0.035)^((H11*1.27)/C13))</f>
        <v>1750</v>
      </c>
      <c r="D6" s="23" t="s">
        <v>5</v>
      </c>
      <c r="F6" s="29"/>
      <c r="G6" s="30" t="s">
        <v>11</v>
      </c>
      <c r="H6" s="31">
        <f>((10*0.95)/3.785)/200</f>
        <v>1.2549537648612946E-2</v>
      </c>
      <c r="I6" s="32">
        <f>H6*3.785</f>
        <v>4.7500000000000001E-2</v>
      </c>
      <c r="J6" s="5" t="s">
        <v>12</v>
      </c>
      <c r="K6" s="6" t="s">
        <v>13</v>
      </c>
      <c r="L6" s="7" t="s">
        <v>14</v>
      </c>
    </row>
    <row r="7" spans="1:14" ht="17" customHeight="1" thickBot="1" x14ac:dyDescent="0.25">
      <c r="A7" s="20"/>
      <c r="B7" s="21" t="s">
        <v>15</v>
      </c>
      <c r="C7" s="22">
        <f>[1]Cuenta!E1739/6</f>
        <v>14280</v>
      </c>
      <c r="D7" s="23" t="s">
        <v>5</v>
      </c>
      <c r="G7" s="33"/>
      <c r="J7" s="5">
        <v>2018</v>
      </c>
      <c r="K7" s="6">
        <f>SUMIF([1]Libro!U:U,'Analisis de Costos'!J7,[1]Libro!J:J)</f>
        <v>416.90000000000009</v>
      </c>
      <c r="L7" s="6">
        <f t="shared" ref="L7:L12" si="0">K7/12</f>
        <v>34.741666666666674</v>
      </c>
    </row>
    <row r="8" spans="1:14" ht="17" customHeight="1" thickBot="1" x14ac:dyDescent="0.25">
      <c r="A8" s="20"/>
      <c r="B8" s="21" t="s">
        <v>16</v>
      </c>
      <c r="C8" s="22">
        <f>205000+(0*(1+0.033)^((H11*1.27)/C13))</f>
        <v>205000</v>
      </c>
      <c r="D8" s="23" t="s">
        <v>5</v>
      </c>
      <c r="F8" s="13" t="s">
        <v>17</v>
      </c>
      <c r="G8" s="34"/>
      <c r="H8" s="17" t="s">
        <v>18</v>
      </c>
      <c r="I8" s="18" t="s">
        <v>19</v>
      </c>
      <c r="J8" s="5">
        <v>2019</v>
      </c>
      <c r="K8" s="6">
        <f>SUMIF([1]Libro!U:U,'Analisis de Costos'!J8,[1]Libro!J:J)</f>
        <v>509.50000000000011</v>
      </c>
      <c r="L8" s="6">
        <f t="shared" si="0"/>
        <v>42.458333333333343</v>
      </c>
    </row>
    <row r="9" spans="1:14" ht="16" customHeight="1" x14ac:dyDescent="0.2">
      <c r="A9" s="20"/>
      <c r="B9" s="21" t="s">
        <v>20</v>
      </c>
      <c r="C9" s="35">
        <f>((5700.87*1.19)+(0*(1+0.023)^((H11*1.27)/C13)))*0+(4710.02)</f>
        <v>4710.0200000000004</v>
      </c>
      <c r="D9" s="23" t="s">
        <v>21</v>
      </c>
      <c r="F9" s="20"/>
      <c r="G9" s="24" t="s">
        <v>22</v>
      </c>
      <c r="H9" s="25">
        <v>100</v>
      </c>
      <c r="I9" s="36">
        <f>C11/(100*1.27)</f>
        <v>28172.677165354329</v>
      </c>
      <c r="J9" s="5">
        <v>2020</v>
      </c>
      <c r="K9" s="6">
        <f>SUMIF([1]Libro!U:U,'Analisis de Costos'!J9,[1]Libro!J:J)</f>
        <v>150.80000000000001</v>
      </c>
      <c r="L9" s="6">
        <f t="shared" si="0"/>
        <v>12.566666666666668</v>
      </c>
      <c r="M9" s="37"/>
    </row>
    <row r="10" spans="1:14" ht="16" customHeight="1" x14ac:dyDescent="0.2">
      <c r="A10" s="20"/>
      <c r="B10" s="21" t="s">
        <v>23</v>
      </c>
      <c r="C10" s="22">
        <f>281090+(0*(1+0.033)^((H11*1.27)/C13))</f>
        <v>281090</v>
      </c>
      <c r="D10" s="23" t="s">
        <v>5</v>
      </c>
      <c r="F10" s="20"/>
      <c r="G10" s="38" t="s">
        <v>24</v>
      </c>
      <c r="H10" s="39">
        <v>100</v>
      </c>
      <c r="I10" s="40">
        <f>C10/(100*1.27)</f>
        <v>2213.3070866141734</v>
      </c>
      <c r="J10" s="5">
        <v>2021</v>
      </c>
      <c r="K10" s="6">
        <f>SUMIF([1]Libro!U:U,'Analisis de Costos'!J10,[1]Libro!J:J)</f>
        <v>245.80000000000004</v>
      </c>
      <c r="L10" s="6">
        <f t="shared" si="0"/>
        <v>20.483333333333338</v>
      </c>
    </row>
    <row r="11" spans="1:14" ht="17" customHeight="1" thickBot="1" x14ac:dyDescent="0.25">
      <c r="A11" s="20"/>
      <c r="B11" s="21" t="s">
        <v>25</v>
      </c>
      <c r="C11" s="22">
        <f>[1]Cuenta!E1767</f>
        <v>3577930</v>
      </c>
      <c r="D11" s="23" t="s">
        <v>5</v>
      </c>
      <c r="F11" s="29"/>
      <c r="G11" s="30" t="s">
        <v>26</v>
      </c>
      <c r="H11" s="41">
        <f>(2000-C14)</f>
        <v>1379.1</v>
      </c>
      <c r="I11" s="42">
        <f>C12/((H11+C14)*1.27)</f>
        <v>31024.286384388342</v>
      </c>
      <c r="J11" s="5">
        <v>2022</v>
      </c>
      <c r="K11" s="6">
        <f>SUMIF([1]Libro!U:U,'Analisis de Costos'!J11,[1]Libro!J:J)</f>
        <v>198.99999999999986</v>
      </c>
      <c r="L11" s="6">
        <f t="shared" si="0"/>
        <v>16.583333333333321</v>
      </c>
    </row>
    <row r="12" spans="1:14" ht="16" customHeight="1" x14ac:dyDescent="0.2">
      <c r="A12" s="20"/>
      <c r="B12" s="21" t="s">
        <v>26</v>
      </c>
      <c r="C12" s="22">
        <f>((46124.63*C4)+(8000000))*(1+0.035)^((2000*1.27/C13))</f>
        <v>78801687.416346386</v>
      </c>
      <c r="D12" s="23" t="s">
        <v>5</v>
      </c>
      <c r="F12" s="43"/>
      <c r="G12" s="44"/>
      <c r="H12" s="45"/>
      <c r="I12" s="46"/>
      <c r="J12" s="5">
        <v>2023</v>
      </c>
      <c r="K12" s="6">
        <f>SUMIF([1]Libro!U:U,'Analisis de Costos'!J12,[1]Libro!J:J)</f>
        <v>197.89999999999986</v>
      </c>
      <c r="L12" s="6">
        <f t="shared" si="0"/>
        <v>16.491666666666656</v>
      </c>
    </row>
    <row r="13" spans="1:14" ht="17" customHeight="1" x14ac:dyDescent="0.2">
      <c r="A13" s="20"/>
      <c r="B13" s="21" t="s">
        <v>27</v>
      </c>
      <c r="C13" s="48">
        <v>220</v>
      </c>
      <c r="D13" s="23" t="s">
        <v>28</v>
      </c>
      <c r="F13" s="45"/>
      <c r="G13" s="45"/>
      <c r="H13" s="45"/>
      <c r="I13" s="44"/>
      <c r="J13" s="5">
        <v>2024</v>
      </c>
      <c r="K13" s="6">
        <f>SUMIF([1]Libro!U:U,'Analisis de Costos'!J13,[1]Libro!J:J)</f>
        <v>234.96666666666667</v>
      </c>
      <c r="L13" s="6">
        <f>K13/12</f>
        <v>19.580555555555556</v>
      </c>
      <c r="M13" s="5"/>
      <c r="N13" s="49"/>
    </row>
    <row r="14" spans="1:14" ht="16" customHeight="1" x14ac:dyDescent="0.2">
      <c r="A14" s="20"/>
      <c r="B14" s="21" t="s">
        <v>29</v>
      </c>
      <c r="C14" s="50">
        <v>620.9</v>
      </c>
      <c r="D14" s="51"/>
      <c r="F14" s="52"/>
      <c r="G14" s="44"/>
      <c r="H14" s="45"/>
      <c r="I14" s="44"/>
      <c r="L14" s="6"/>
      <c r="M14" s="6"/>
      <c r="N14" s="49"/>
    </row>
    <row r="15" spans="1:14" ht="16" customHeight="1" thickBot="1" x14ac:dyDescent="0.25">
      <c r="A15" s="29"/>
      <c r="B15" s="54" t="s">
        <v>30</v>
      </c>
      <c r="C15" s="55">
        <f>((H11*1.27)/C13)</f>
        <v>7.9611681818181816</v>
      </c>
      <c r="D15" s="56"/>
      <c r="F15" s="52"/>
      <c r="G15" s="44"/>
      <c r="H15" s="45"/>
      <c r="I15" s="44"/>
      <c r="L15" s="6"/>
      <c r="M15" s="6"/>
      <c r="N15" s="49"/>
    </row>
    <row r="16" spans="1:14" ht="14" customHeight="1" thickBot="1" x14ac:dyDescent="0.25">
      <c r="F16" s="52"/>
      <c r="G16" s="57"/>
      <c r="H16" s="44"/>
      <c r="I16" s="46"/>
      <c r="N16" s="49"/>
    </row>
    <row r="17" spans="1:12" ht="15" customHeight="1" thickBot="1" x14ac:dyDescent="0.25">
      <c r="A17" s="19" t="s">
        <v>31</v>
      </c>
      <c r="B17" s="58" t="s">
        <v>32</v>
      </c>
      <c r="C17" s="59"/>
      <c r="D17" s="60" t="s">
        <v>12</v>
      </c>
      <c r="E17" s="60"/>
      <c r="F17" s="61" t="s">
        <v>33</v>
      </c>
      <c r="G17" s="62" t="s">
        <v>34</v>
      </c>
    </row>
    <row r="18" spans="1:12" ht="16" customHeight="1" x14ac:dyDescent="0.2">
      <c r="A18" s="27"/>
      <c r="B18" s="63"/>
      <c r="C18" s="14" t="s">
        <v>35</v>
      </c>
      <c r="D18" s="64">
        <f>($C$4*C9)</f>
        <v>4592269.5</v>
      </c>
      <c r="E18" s="65"/>
      <c r="F18" s="66">
        <f t="shared" ref="F18:F22" si="1">D18/12</f>
        <v>382689.125</v>
      </c>
      <c r="G18" s="67">
        <f>D18/C13</f>
        <v>20873.952272727274</v>
      </c>
      <c r="H18" s="57"/>
      <c r="I18" s="57"/>
      <c r="L18" s="6"/>
    </row>
    <row r="19" spans="1:12" ht="16" customHeight="1" x14ac:dyDescent="0.2">
      <c r="A19" s="27"/>
      <c r="B19" s="63"/>
      <c r="C19" s="21" t="s">
        <v>36</v>
      </c>
      <c r="D19" s="68">
        <v>4963032</v>
      </c>
      <c r="E19" s="69"/>
      <c r="F19" s="70">
        <f>(D19/12)</f>
        <v>413586</v>
      </c>
      <c r="G19" s="71">
        <f>F19/(C13/12)</f>
        <v>22559.236363636366</v>
      </c>
      <c r="H19" s="72"/>
    </row>
    <row r="20" spans="1:12" ht="16" customHeight="1" x14ac:dyDescent="0.2">
      <c r="A20" s="27"/>
      <c r="B20" s="63"/>
      <c r="C20" s="21" t="s">
        <v>37</v>
      </c>
      <c r="D20" s="68">
        <f>$C$8+(200000+(0*(1+0.033)^((H11*1.27)/C13)))</f>
        <v>405000</v>
      </c>
      <c r="E20" s="69"/>
      <c r="F20" s="70">
        <f t="shared" si="1"/>
        <v>33750</v>
      </c>
      <c r="G20" s="71">
        <f>D20/(C13)</f>
        <v>1840.909090909091</v>
      </c>
    </row>
    <row r="21" spans="1:12" ht="16" customHeight="1" x14ac:dyDescent="0.2">
      <c r="A21" s="27"/>
      <c r="B21" s="63"/>
      <c r="C21" s="21" t="s">
        <v>38</v>
      </c>
      <c r="D21" s="68">
        <f>2000000+(0*(1+0.033)^8.2)</f>
        <v>2000000</v>
      </c>
      <c r="E21" s="69"/>
      <c r="F21" s="70">
        <f t="shared" si="1"/>
        <v>166666.66666666666</v>
      </c>
      <c r="G21" s="71">
        <f>D21/(C13)</f>
        <v>9090.9090909090901</v>
      </c>
    </row>
    <row r="22" spans="1:12" ht="16" customHeight="1" x14ac:dyDescent="0.2">
      <c r="A22" s="27"/>
      <c r="B22" s="63"/>
      <c r="C22" s="73" t="s">
        <v>39</v>
      </c>
      <c r="D22" s="68">
        <f>2200000+(((42644*12)+500000)+((SUM('[1]SII F29 y Contador'!J25:J36))*(1+0.02)^(C15))*0)</f>
        <v>3211728</v>
      </c>
      <c r="E22" s="69"/>
      <c r="F22" s="70">
        <f t="shared" si="1"/>
        <v>267644</v>
      </c>
      <c r="G22" s="71">
        <f>D22/($C$13)</f>
        <v>14598.763636363636</v>
      </c>
    </row>
    <row r="23" spans="1:12" ht="16" customHeight="1" x14ac:dyDescent="0.2">
      <c r="A23" s="27"/>
      <c r="B23" s="63"/>
      <c r="C23" s="21" t="s">
        <v>40</v>
      </c>
      <c r="D23" s="68">
        <v>180000</v>
      </c>
      <c r="E23" s="69"/>
      <c r="F23" s="70">
        <f>D23/12</f>
        <v>15000</v>
      </c>
      <c r="G23" s="71">
        <f>D23/C13</f>
        <v>818.18181818181813</v>
      </c>
      <c r="H23" s="57"/>
      <c r="I23" s="57"/>
    </row>
    <row r="24" spans="1:12" ht="17" customHeight="1" thickBot="1" x14ac:dyDescent="0.25">
      <c r="A24" s="27"/>
      <c r="B24" s="63"/>
      <c r="C24" s="30" t="s">
        <v>26</v>
      </c>
      <c r="D24" s="74">
        <f>(C12-C40)/C15</f>
        <v>8010173.4778935295</v>
      </c>
      <c r="E24" s="74"/>
      <c r="F24" s="75">
        <f>D24/12</f>
        <v>667514.45649112749</v>
      </c>
      <c r="G24" s="76">
        <f>F24/(C13/12)</f>
        <v>36409.879444970597</v>
      </c>
    </row>
    <row r="25" spans="1:12" ht="17" customHeight="1" thickBot="1" x14ac:dyDescent="0.25">
      <c r="A25" s="27"/>
      <c r="B25" s="63"/>
      <c r="C25" s="77" t="s">
        <v>13</v>
      </c>
      <c r="D25" s="78">
        <f>SUM(D18:D24)</f>
        <v>23362202.977893531</v>
      </c>
      <c r="E25" s="79"/>
      <c r="F25" s="80">
        <f>SUM(F18:F24)</f>
        <v>1946850.2481577941</v>
      </c>
      <c r="G25" s="81">
        <f>SUM(G18:G24)</f>
        <v>106191.83171769787</v>
      </c>
    </row>
    <row r="26" spans="1:12" ht="16" customHeight="1" x14ac:dyDescent="0.2">
      <c r="A26" s="27"/>
      <c r="B26" s="63"/>
      <c r="C26" s="82" t="s">
        <v>41</v>
      </c>
      <c r="D26" s="83"/>
      <c r="E26" s="83"/>
      <c r="F26" s="83"/>
      <c r="G26" s="84">
        <f>SUM(G18:G24)</f>
        <v>106191.83171769787</v>
      </c>
    </row>
    <row r="27" spans="1:12" ht="17" customHeight="1" thickBot="1" x14ac:dyDescent="0.25">
      <c r="A27" s="27"/>
      <c r="B27" s="85"/>
      <c r="C27" s="86"/>
      <c r="D27" s="87"/>
      <c r="E27" s="87"/>
      <c r="F27" s="87"/>
      <c r="G27" s="88"/>
      <c r="H27" s="89"/>
    </row>
    <row r="28" spans="1:12" ht="17" customHeight="1" thickBot="1" x14ac:dyDescent="0.25">
      <c r="A28" s="27"/>
      <c r="B28" s="63" t="s">
        <v>3</v>
      </c>
      <c r="C28" s="90"/>
      <c r="D28" s="91" t="s">
        <v>19</v>
      </c>
      <c r="E28" s="92"/>
      <c r="H28" s="89"/>
    </row>
    <row r="29" spans="1:12" ht="16" customHeight="1" x14ac:dyDescent="0.2">
      <c r="A29" s="27"/>
      <c r="B29" s="63"/>
      <c r="C29" s="14" t="s">
        <v>42</v>
      </c>
      <c r="D29" s="67">
        <f>I5*C6</f>
        <v>46366.25</v>
      </c>
      <c r="E29" s="93"/>
      <c r="G29" s="89"/>
    </row>
    <row r="30" spans="1:12" ht="16" customHeight="1" x14ac:dyDescent="0.2">
      <c r="A30" s="27"/>
      <c r="B30" s="63"/>
      <c r="C30" s="21" t="s">
        <v>43</v>
      </c>
      <c r="D30" s="71">
        <f>I6*C7</f>
        <v>678.3</v>
      </c>
      <c r="E30" s="93"/>
      <c r="F30" s="94"/>
      <c r="G30" s="57"/>
    </row>
    <row r="31" spans="1:12" ht="16" customHeight="1" thickBot="1" x14ac:dyDescent="0.25">
      <c r="A31" s="27"/>
      <c r="B31" s="63"/>
      <c r="C31" s="21" t="s">
        <v>17</v>
      </c>
      <c r="D31" s="71">
        <f>I9+I10</f>
        <v>30385.984251968504</v>
      </c>
      <c r="E31" s="93"/>
      <c r="F31" s="94"/>
      <c r="G31" s="57"/>
    </row>
    <row r="32" spans="1:12" ht="16" customHeight="1" x14ac:dyDescent="0.2">
      <c r="A32" s="27"/>
      <c r="B32" s="63"/>
      <c r="C32" s="82" t="s">
        <v>44</v>
      </c>
      <c r="D32" s="96">
        <f>SUM(D29:D31)</f>
        <v>77430.534251968507</v>
      </c>
      <c r="E32" s="97"/>
      <c r="F32" s="94"/>
      <c r="G32" s="57"/>
    </row>
    <row r="33" spans="1:10" ht="17" customHeight="1" thickBot="1" x14ac:dyDescent="0.25">
      <c r="A33" s="53"/>
      <c r="B33" s="85"/>
      <c r="C33" s="86"/>
      <c r="D33" s="99"/>
      <c r="E33" s="97"/>
      <c r="F33" s="94"/>
      <c r="G33" s="6"/>
    </row>
    <row r="34" spans="1:10" ht="14" customHeight="1" thickBot="1" x14ac:dyDescent="0.25">
      <c r="D34" s="100"/>
      <c r="E34" s="100"/>
      <c r="F34" s="94"/>
      <c r="G34" s="57"/>
    </row>
    <row r="35" spans="1:10" x14ac:dyDescent="0.2">
      <c r="A35" s="101" t="s">
        <v>45</v>
      </c>
      <c r="B35" s="102"/>
      <c r="C35" s="103">
        <f>G26+D32</f>
        <v>183622.3659696664</v>
      </c>
      <c r="D35" s="100"/>
      <c r="E35" s="100"/>
      <c r="F35" s="94"/>
    </row>
    <row r="36" spans="1:10" ht="15" thickBot="1" x14ac:dyDescent="0.25">
      <c r="A36" s="104"/>
      <c r="B36" s="105"/>
      <c r="C36" s="106"/>
      <c r="D36" s="100"/>
      <c r="E36" s="100"/>
      <c r="F36" s="94"/>
      <c r="J36" s="95"/>
    </row>
    <row r="37" spans="1:10" ht="15" thickBot="1" x14ac:dyDescent="0.25">
      <c r="D37" s="100"/>
      <c r="E37" s="100"/>
      <c r="F37" s="94"/>
    </row>
    <row r="38" spans="1:10" ht="16" x14ac:dyDescent="0.2">
      <c r="A38" s="107" t="s">
        <v>46</v>
      </c>
      <c r="B38" s="108"/>
      <c r="C38" s="109">
        <f>(((G24))*(C14*1.27))</f>
        <v>28710755.567175448</v>
      </c>
      <c r="D38" s="100"/>
      <c r="E38" s="100"/>
      <c r="F38" s="110"/>
    </row>
    <row r="39" spans="1:10" ht="17" thickBot="1" x14ac:dyDescent="0.25">
      <c r="A39" s="111" t="s">
        <v>47</v>
      </c>
      <c r="B39" s="112"/>
      <c r="C39" s="113">
        <f>C12-C38</f>
        <v>50090931.849170938</v>
      </c>
      <c r="F39" s="114"/>
    </row>
    <row r="40" spans="1:10" ht="15" thickBot="1" x14ac:dyDescent="0.25">
      <c r="A40" s="115" t="s">
        <v>48</v>
      </c>
      <c r="B40" s="116"/>
      <c r="C40" s="117">
        <f>(11000000)*(1+0.04)^C15</f>
        <v>15031349.193296539</v>
      </c>
      <c r="D40" s="118"/>
      <c r="F40" s="98"/>
      <c r="G40" s="57"/>
      <c r="I40" s="12"/>
    </row>
    <row r="41" spans="1:10" x14ac:dyDescent="0.2">
      <c r="A41" s="115" t="s">
        <v>49</v>
      </c>
      <c r="B41" s="119"/>
      <c r="C41" s="120">
        <f>SUM([1]Libro!AF:AF)</f>
        <v>168052.19736508888</v>
      </c>
      <c r="F41" s="94"/>
    </row>
    <row r="42" spans="1:10" x14ac:dyDescent="0.2">
      <c r="A42" s="121" t="s">
        <v>50</v>
      </c>
      <c r="B42" s="121"/>
      <c r="C42" s="122">
        <f>-1*(C35-C41)</f>
        <v>-15570.168604577513</v>
      </c>
      <c r="D42" s="11"/>
      <c r="F42" s="110"/>
    </row>
    <row r="43" spans="1:10" x14ac:dyDescent="0.2">
      <c r="A43" s="123" t="s">
        <v>51</v>
      </c>
      <c r="B43" s="123"/>
      <c r="C43" s="124">
        <f>C38-C40</f>
        <v>13679406.373878909</v>
      </c>
      <c r="F43" s="98"/>
    </row>
    <row r="44" spans="1:10" x14ac:dyDescent="0.2">
      <c r="A44" s="121" t="s">
        <v>52</v>
      </c>
      <c r="B44" s="121"/>
      <c r="C44" s="125">
        <f>(H11*1.27)/C13</f>
        <v>7.9611681818181816</v>
      </c>
      <c r="D44" s="47"/>
      <c r="F44" s="98"/>
    </row>
    <row r="45" spans="1:10" x14ac:dyDescent="0.2">
      <c r="A45" s="121" t="s">
        <v>53</v>
      </c>
      <c r="B45" s="121"/>
      <c r="C45" s="126">
        <f>C12-C40</f>
        <v>63770338.223049849</v>
      </c>
      <c r="F45" s="98"/>
    </row>
    <row r="46" spans="1:10" x14ac:dyDescent="0.2">
      <c r="F46" s="28"/>
    </row>
    <row r="47" spans="1:10" ht="15" x14ac:dyDescent="0.2">
      <c r="G47" s="127"/>
      <c r="H47" s="128"/>
    </row>
    <row r="51" spans="3:3" x14ac:dyDescent="0.2">
      <c r="C51" s="12"/>
    </row>
    <row r="52" spans="3:3" x14ac:dyDescent="0.2">
      <c r="C52" s="12"/>
    </row>
  </sheetData>
  <mergeCells count="32">
    <mergeCell ref="A44:B44"/>
    <mergeCell ref="A45:B45"/>
    <mergeCell ref="A39:B39"/>
    <mergeCell ref="A40:B40"/>
    <mergeCell ref="A41:B41"/>
    <mergeCell ref="A42:B42"/>
    <mergeCell ref="A43:B43"/>
    <mergeCell ref="A35:B36"/>
    <mergeCell ref="C35:C36"/>
    <mergeCell ref="A38:B38"/>
    <mergeCell ref="C26:F27"/>
    <mergeCell ref="G26:G27"/>
    <mergeCell ref="B28:B33"/>
    <mergeCell ref="C32:C33"/>
    <mergeCell ref="D32:D33"/>
    <mergeCell ref="D22:E22"/>
    <mergeCell ref="D23:E23"/>
    <mergeCell ref="D24:E24"/>
    <mergeCell ref="D25:E25"/>
    <mergeCell ref="D19:E19"/>
    <mergeCell ref="D20:E20"/>
    <mergeCell ref="D21:E21"/>
    <mergeCell ref="C14:D14"/>
    <mergeCell ref="C15:D15"/>
    <mergeCell ref="A17:A33"/>
    <mergeCell ref="B17:B27"/>
    <mergeCell ref="D18:E18"/>
    <mergeCell ref="A1:I1"/>
    <mergeCell ref="A2:I2"/>
    <mergeCell ref="A4:A15"/>
    <mergeCell ref="F4:F6"/>
    <mergeCell ref="F8:F11"/>
  </mergeCells>
  <pageMargins left="0.25" right="0.25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de 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Nicolás Varas Saavedra</dc:creator>
  <cp:lastModifiedBy>Santiago Nicolás Varas Saavedra</cp:lastModifiedBy>
  <dcterms:created xsi:type="dcterms:W3CDTF">2026-03-08T17:13:59Z</dcterms:created>
  <dcterms:modified xsi:type="dcterms:W3CDTF">2026-03-08T17:17:42Z</dcterms:modified>
</cp:coreProperties>
</file>