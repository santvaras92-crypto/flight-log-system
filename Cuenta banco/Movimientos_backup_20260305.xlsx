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varas/Documents/VScode/FlightLog AQI/Cuenta banco/"/>
    </mc:Choice>
  </mc:AlternateContent>
  <xr:revisionPtr revIDLastSave="0" documentId="8_{EF074C3F-0CFC-D74E-B866-FDA71493E97B}" xr6:coauthVersionLast="47" xr6:coauthVersionMax="47" xr10:uidLastSave="{00000000-0000-0000-0000-000000000000}"/>
  <bookViews>
    <workbookView xWindow="0" yWindow="740" windowWidth="30240" windowHeight="18900" xr2:uid="{FFCEA52E-5734-4A45-9A0B-4BE028DC06C3}"/>
  </bookViews>
  <sheets>
    <sheet name="Cuenta" sheetId="1" r:id="rId1"/>
  </sheets>
  <externalReferences>
    <externalReference r:id="rId2"/>
  </externalReferences>
  <definedNames>
    <definedName name="Años">[1]Variables!$A$1:$A$5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00" i="1" l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3" i="1"/>
  <c r="A1993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F1590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E1481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E1461" i="1"/>
  <c r="A1461" i="1"/>
  <c r="A1460" i="1"/>
  <c r="A1459" i="1"/>
  <c r="A1458" i="1"/>
  <c r="A1457" i="1"/>
  <c r="A1456" i="1"/>
  <c r="E1455" i="1"/>
  <c r="F1456" i="1" s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E1434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J1348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K1278" i="1"/>
  <c r="A1278" i="1"/>
  <c r="K1277" i="1"/>
  <c r="A1277" i="1"/>
  <c r="K1276" i="1"/>
  <c r="A1276" i="1"/>
  <c r="K1275" i="1"/>
  <c r="A1275" i="1"/>
  <c r="K1274" i="1"/>
  <c r="A1274" i="1"/>
  <c r="K1273" i="1"/>
  <c r="A1273" i="1"/>
  <c r="K1272" i="1"/>
  <c r="A1272" i="1"/>
  <c r="K1271" i="1"/>
  <c r="A1271" i="1"/>
  <c r="K1270" i="1"/>
  <c r="A1270" i="1"/>
  <c r="K1269" i="1"/>
  <c r="A1269" i="1"/>
  <c r="K1268" i="1"/>
  <c r="A1268" i="1"/>
  <c r="K1267" i="1"/>
  <c r="A1267" i="1"/>
  <c r="K1266" i="1"/>
  <c r="A1266" i="1"/>
  <c r="K1265" i="1"/>
  <c r="A1265" i="1"/>
  <c r="K1264" i="1"/>
  <c r="A1264" i="1"/>
  <c r="K1263" i="1"/>
  <c r="A1263" i="1"/>
  <c r="K1262" i="1"/>
  <c r="A1262" i="1"/>
  <c r="K1261" i="1"/>
  <c r="A1261" i="1"/>
  <c r="K1260" i="1"/>
  <c r="A1260" i="1"/>
  <c r="K1259" i="1"/>
  <c r="A1259" i="1"/>
  <c r="K1258" i="1"/>
  <c r="A1258" i="1"/>
  <c r="K1257" i="1"/>
  <c r="A1257" i="1"/>
  <c r="K1256" i="1"/>
  <c r="A1256" i="1"/>
  <c r="K1255" i="1"/>
  <c r="A1255" i="1"/>
  <c r="K1254" i="1"/>
  <c r="A1254" i="1"/>
  <c r="K1253" i="1"/>
  <c r="A1253" i="1"/>
  <c r="K1252" i="1"/>
  <c r="A1252" i="1"/>
  <c r="K1251" i="1"/>
  <c r="A1251" i="1"/>
  <c r="K1250" i="1"/>
  <c r="A1250" i="1"/>
  <c r="K1249" i="1"/>
  <c r="A1249" i="1"/>
  <c r="K1248" i="1"/>
  <c r="A1248" i="1"/>
  <c r="K1247" i="1"/>
  <c r="A1247" i="1"/>
  <c r="K1246" i="1"/>
  <c r="A1246" i="1"/>
  <c r="K1245" i="1"/>
  <c r="A1245" i="1"/>
  <c r="K1244" i="1"/>
  <c r="A1244" i="1"/>
  <c r="K1243" i="1"/>
  <c r="A1243" i="1"/>
  <c r="K1242" i="1"/>
  <c r="A1242" i="1"/>
  <c r="K1241" i="1"/>
  <c r="A1241" i="1"/>
  <c r="K1240" i="1"/>
  <c r="A1240" i="1"/>
  <c r="K1239" i="1"/>
  <c r="A1239" i="1"/>
  <c r="K1238" i="1"/>
  <c r="A1238" i="1"/>
  <c r="K1237" i="1"/>
  <c r="A1237" i="1"/>
  <c r="K1236" i="1"/>
  <c r="A1236" i="1"/>
  <c r="K1235" i="1"/>
  <c r="A1235" i="1"/>
  <c r="K1234" i="1"/>
  <c r="A1234" i="1"/>
  <c r="K1233" i="1"/>
  <c r="A1233" i="1"/>
  <c r="K1232" i="1"/>
  <c r="A1232" i="1"/>
  <c r="K1231" i="1"/>
  <c r="A1231" i="1"/>
  <c r="K1230" i="1"/>
  <c r="A1230" i="1"/>
  <c r="K1229" i="1"/>
  <c r="A1229" i="1"/>
  <c r="K1228" i="1"/>
  <c r="A1228" i="1"/>
  <c r="K1227" i="1"/>
  <c r="A1227" i="1"/>
  <c r="K1226" i="1"/>
  <c r="A1226" i="1"/>
  <c r="K1225" i="1"/>
  <c r="A1225" i="1"/>
  <c r="K1224" i="1"/>
  <c r="A1224" i="1"/>
  <c r="K1223" i="1"/>
  <c r="A1223" i="1"/>
  <c r="K1222" i="1"/>
  <c r="A1222" i="1"/>
  <c r="K1221" i="1"/>
  <c r="A1221" i="1"/>
  <c r="K1220" i="1"/>
  <c r="A1220" i="1"/>
  <c r="K1219" i="1"/>
  <c r="A1219" i="1"/>
  <c r="K1218" i="1"/>
  <c r="A1218" i="1"/>
  <c r="K1217" i="1"/>
  <c r="A1217" i="1"/>
  <c r="K1216" i="1"/>
  <c r="A1216" i="1"/>
  <c r="K1215" i="1"/>
  <c r="A1215" i="1"/>
  <c r="K1214" i="1"/>
  <c r="A1214" i="1"/>
  <c r="K1213" i="1"/>
  <c r="A1213" i="1"/>
  <c r="K1212" i="1"/>
  <c r="A1212" i="1"/>
  <c r="K1211" i="1"/>
  <c r="A1211" i="1"/>
  <c r="K1210" i="1"/>
  <c r="A1210" i="1"/>
  <c r="K1209" i="1"/>
  <c r="A1209" i="1"/>
  <c r="K1208" i="1"/>
  <c r="A1208" i="1"/>
  <c r="K1207" i="1"/>
  <c r="A1207" i="1"/>
  <c r="K1206" i="1"/>
  <c r="A1206" i="1"/>
  <c r="K1205" i="1"/>
  <c r="A1205" i="1"/>
  <c r="K1204" i="1"/>
  <c r="A1204" i="1"/>
  <c r="K1203" i="1"/>
  <c r="A1203" i="1"/>
  <c r="K1202" i="1"/>
  <c r="A1202" i="1"/>
  <c r="K1201" i="1"/>
  <c r="A1201" i="1"/>
  <c r="K1200" i="1"/>
  <c r="A1200" i="1"/>
  <c r="K1199" i="1"/>
  <c r="A1199" i="1"/>
  <c r="K1198" i="1"/>
  <c r="A1198" i="1"/>
  <c r="K1197" i="1"/>
  <c r="A1197" i="1"/>
  <c r="K1196" i="1"/>
  <c r="A1196" i="1"/>
  <c r="K1195" i="1"/>
  <c r="A1195" i="1"/>
  <c r="K1194" i="1"/>
  <c r="A1194" i="1"/>
  <c r="K1193" i="1"/>
  <c r="A1193" i="1"/>
  <c r="K1192" i="1"/>
  <c r="A1192" i="1"/>
  <c r="K1191" i="1"/>
  <c r="A1191" i="1"/>
  <c r="K1190" i="1"/>
  <c r="A1190" i="1"/>
  <c r="K1189" i="1"/>
  <c r="A1189" i="1"/>
  <c r="K1188" i="1"/>
  <c r="A1188" i="1"/>
  <c r="K1187" i="1"/>
  <c r="A1187" i="1"/>
  <c r="K1186" i="1"/>
  <c r="A1186" i="1"/>
  <c r="K1185" i="1"/>
  <c r="A1185" i="1"/>
  <c r="K1184" i="1"/>
  <c r="A1184" i="1"/>
  <c r="K1183" i="1"/>
  <c r="A1183" i="1"/>
  <c r="K1182" i="1"/>
  <c r="A1182" i="1"/>
  <c r="K1181" i="1"/>
  <c r="A1181" i="1"/>
  <c r="K1180" i="1"/>
  <c r="A1180" i="1"/>
  <c r="K1179" i="1"/>
  <c r="A1179" i="1"/>
  <c r="K1178" i="1"/>
  <c r="A1178" i="1"/>
  <c r="K1177" i="1"/>
  <c r="A1177" i="1"/>
  <c r="K1176" i="1"/>
  <c r="A1176" i="1"/>
  <c r="K1175" i="1"/>
  <c r="A1175" i="1"/>
  <c r="K1174" i="1"/>
  <c r="A1174" i="1"/>
  <c r="K1173" i="1"/>
  <c r="A1173" i="1"/>
  <c r="K1172" i="1"/>
  <c r="A1172" i="1"/>
  <c r="K1171" i="1"/>
  <c r="A1171" i="1"/>
  <c r="K1170" i="1"/>
  <c r="A1170" i="1"/>
  <c r="K1169" i="1"/>
  <c r="A1169" i="1"/>
  <c r="K1168" i="1"/>
  <c r="A1168" i="1"/>
  <c r="K1167" i="1"/>
  <c r="A1167" i="1"/>
  <c r="K1166" i="1"/>
  <c r="A1166" i="1"/>
  <c r="K1165" i="1"/>
  <c r="A1165" i="1"/>
  <c r="K1164" i="1"/>
  <c r="A1164" i="1"/>
  <c r="K1163" i="1"/>
  <c r="A1163" i="1"/>
  <c r="K1162" i="1"/>
  <c r="A1162" i="1"/>
  <c r="K1161" i="1"/>
  <c r="A1161" i="1"/>
  <c r="K1160" i="1"/>
  <c r="A1160" i="1"/>
  <c r="K1159" i="1"/>
  <c r="A1159" i="1"/>
  <c r="K1158" i="1"/>
  <c r="A1158" i="1"/>
  <c r="K1157" i="1"/>
  <c r="A1157" i="1"/>
  <c r="K1156" i="1"/>
  <c r="A1156" i="1"/>
  <c r="K1155" i="1"/>
  <c r="A1155" i="1"/>
  <c r="K1154" i="1"/>
  <c r="A1154" i="1"/>
  <c r="K1153" i="1"/>
  <c r="A1153" i="1"/>
  <c r="K1152" i="1"/>
  <c r="A1152" i="1"/>
  <c r="K1151" i="1"/>
  <c r="A1151" i="1"/>
  <c r="K1150" i="1"/>
  <c r="A1150" i="1"/>
  <c r="K1149" i="1"/>
  <c r="A1149" i="1"/>
  <c r="K1148" i="1"/>
  <c r="A1148" i="1"/>
  <c r="K1147" i="1"/>
  <c r="A1147" i="1"/>
  <c r="K1146" i="1"/>
  <c r="A1146" i="1"/>
  <c r="K1145" i="1"/>
  <c r="A1145" i="1"/>
  <c r="K1144" i="1"/>
  <c r="A1144" i="1"/>
  <c r="K1143" i="1"/>
  <c r="A1143" i="1"/>
  <c r="K1142" i="1"/>
  <c r="A1142" i="1"/>
  <c r="K1141" i="1"/>
  <c r="A1141" i="1"/>
  <c r="K1140" i="1"/>
  <c r="A1140" i="1"/>
  <c r="K1139" i="1"/>
  <c r="A1139" i="1"/>
  <c r="K1138" i="1"/>
  <c r="A1138" i="1"/>
  <c r="K1137" i="1"/>
  <c r="A1137" i="1"/>
  <c r="K1136" i="1"/>
  <c r="A1136" i="1"/>
  <c r="K1135" i="1"/>
  <c r="A1135" i="1"/>
  <c r="K1134" i="1"/>
  <c r="A1134" i="1"/>
  <c r="K1133" i="1"/>
  <c r="A1133" i="1"/>
  <c r="K1132" i="1"/>
  <c r="A1132" i="1"/>
  <c r="K1131" i="1"/>
  <c r="A1131" i="1"/>
  <c r="K1130" i="1"/>
  <c r="A1130" i="1"/>
  <c r="K1129" i="1"/>
  <c r="A1129" i="1"/>
  <c r="K1128" i="1"/>
  <c r="A1128" i="1"/>
  <c r="K1127" i="1"/>
  <c r="A1127" i="1"/>
  <c r="K1126" i="1"/>
  <c r="A1126" i="1"/>
  <c r="K1125" i="1"/>
  <c r="A1125" i="1"/>
  <c r="K1124" i="1"/>
  <c r="A1124" i="1"/>
  <c r="K1123" i="1"/>
  <c r="A1123" i="1"/>
  <c r="K1122" i="1"/>
  <c r="A1122" i="1"/>
  <c r="K1121" i="1"/>
  <c r="A1121" i="1"/>
  <c r="K1120" i="1"/>
  <c r="A1120" i="1"/>
  <c r="U1119" i="1"/>
  <c r="K1119" i="1"/>
  <c r="A1119" i="1"/>
  <c r="U1118" i="1"/>
  <c r="K1118" i="1"/>
  <c r="A1118" i="1"/>
  <c r="U1117" i="1"/>
  <c r="K1117" i="1"/>
  <c r="A1117" i="1"/>
  <c r="U1116" i="1"/>
  <c r="K1116" i="1"/>
  <c r="A1116" i="1"/>
  <c r="U1115" i="1"/>
  <c r="Y1115" i="1" s="1"/>
  <c r="Y1116" i="1" s="1"/>
  <c r="K1115" i="1"/>
  <c r="A1115" i="1"/>
  <c r="U1114" i="1"/>
  <c r="K1114" i="1"/>
  <c r="A1114" i="1"/>
  <c r="U1113" i="1"/>
  <c r="K1113" i="1"/>
  <c r="A1113" i="1"/>
  <c r="U1112" i="1"/>
  <c r="K1112" i="1"/>
  <c r="A1112" i="1"/>
  <c r="U1111" i="1"/>
  <c r="K1111" i="1"/>
  <c r="A1111" i="1"/>
  <c r="U1110" i="1"/>
  <c r="K1110" i="1"/>
  <c r="A1110" i="1"/>
  <c r="U1109" i="1"/>
  <c r="K1109" i="1"/>
  <c r="A1109" i="1"/>
  <c r="U1108" i="1"/>
  <c r="K1108" i="1"/>
  <c r="A1108" i="1"/>
  <c r="U1107" i="1"/>
  <c r="K1107" i="1"/>
  <c r="A1107" i="1"/>
  <c r="U1106" i="1"/>
  <c r="K1106" i="1"/>
  <c r="A1106" i="1"/>
  <c r="N1105" i="1"/>
  <c r="U1105" i="1" s="1"/>
  <c r="K1105" i="1"/>
  <c r="A1105" i="1"/>
  <c r="N1104" i="1"/>
  <c r="U1104" i="1" s="1"/>
  <c r="K1104" i="1"/>
  <c r="A1104" i="1"/>
  <c r="U1103" i="1"/>
  <c r="K1103" i="1"/>
  <c r="A1103" i="1"/>
  <c r="U1102" i="1"/>
  <c r="K1102" i="1"/>
  <c r="A1102" i="1"/>
  <c r="U1101" i="1"/>
  <c r="K1101" i="1"/>
  <c r="A1101" i="1"/>
  <c r="U1100" i="1"/>
  <c r="K1100" i="1"/>
  <c r="A1100" i="1"/>
  <c r="U1099" i="1"/>
  <c r="K1099" i="1"/>
  <c r="A1099" i="1"/>
  <c r="N1098" i="1"/>
  <c r="U1098" i="1" s="1"/>
  <c r="K1098" i="1"/>
  <c r="A1098" i="1"/>
  <c r="U1097" i="1"/>
  <c r="K1097" i="1"/>
  <c r="A1097" i="1"/>
  <c r="U1096" i="1"/>
  <c r="K1096" i="1"/>
  <c r="A1096" i="1"/>
  <c r="U1095" i="1"/>
  <c r="K1095" i="1"/>
  <c r="A1095" i="1"/>
  <c r="U1094" i="1"/>
  <c r="N1094" i="1"/>
  <c r="K1094" i="1"/>
  <c r="A1094" i="1"/>
  <c r="U1093" i="1"/>
  <c r="K1093" i="1"/>
  <c r="A1093" i="1"/>
  <c r="U1092" i="1"/>
  <c r="K1092" i="1"/>
  <c r="A1092" i="1"/>
  <c r="U1091" i="1"/>
  <c r="K1091" i="1"/>
  <c r="A1091" i="1"/>
  <c r="U1090" i="1"/>
  <c r="K1090" i="1"/>
  <c r="A1090" i="1"/>
  <c r="U1089" i="1"/>
  <c r="K1089" i="1"/>
  <c r="A1089" i="1"/>
  <c r="U1088" i="1"/>
  <c r="K1088" i="1"/>
  <c r="A1088" i="1"/>
  <c r="U1087" i="1"/>
  <c r="K1087" i="1"/>
  <c r="A1087" i="1"/>
  <c r="U1086" i="1"/>
  <c r="K1086" i="1"/>
  <c r="A1086" i="1"/>
  <c r="U1085" i="1"/>
  <c r="K1085" i="1"/>
  <c r="A1085" i="1"/>
  <c r="U1084" i="1"/>
  <c r="K1084" i="1"/>
  <c r="A1084" i="1"/>
  <c r="U1083" i="1"/>
  <c r="K1083" i="1"/>
  <c r="A1083" i="1"/>
  <c r="U1082" i="1"/>
  <c r="K1082" i="1"/>
  <c r="A1082" i="1"/>
  <c r="U1081" i="1"/>
  <c r="K1081" i="1"/>
  <c r="A1081" i="1"/>
  <c r="U1080" i="1"/>
  <c r="K1080" i="1"/>
  <c r="A1080" i="1"/>
  <c r="U1079" i="1"/>
  <c r="K1079" i="1"/>
  <c r="A1079" i="1"/>
  <c r="U1078" i="1"/>
  <c r="K1078" i="1"/>
  <c r="A1078" i="1"/>
  <c r="U1077" i="1"/>
  <c r="K1077" i="1"/>
  <c r="A1077" i="1"/>
  <c r="U1076" i="1"/>
  <c r="K1076" i="1"/>
  <c r="A1076" i="1"/>
  <c r="U1075" i="1"/>
  <c r="K1075" i="1"/>
  <c r="A1075" i="1"/>
  <c r="U1074" i="1"/>
  <c r="K1074" i="1"/>
  <c r="A1074" i="1"/>
  <c r="U1073" i="1"/>
  <c r="K1073" i="1"/>
  <c r="A1073" i="1"/>
  <c r="U1072" i="1"/>
  <c r="K1072" i="1"/>
  <c r="A1072" i="1"/>
  <c r="U1071" i="1"/>
  <c r="K1071" i="1"/>
  <c r="A1071" i="1"/>
  <c r="U1070" i="1"/>
  <c r="K1070" i="1"/>
  <c r="A1070" i="1"/>
  <c r="U1069" i="1"/>
  <c r="K1069" i="1"/>
  <c r="A1069" i="1"/>
  <c r="U1068" i="1"/>
  <c r="K1068" i="1"/>
  <c r="A1068" i="1"/>
  <c r="U1067" i="1"/>
  <c r="K1067" i="1"/>
  <c r="A1067" i="1"/>
  <c r="U1066" i="1"/>
  <c r="K1066" i="1"/>
  <c r="A1066" i="1"/>
  <c r="U1065" i="1"/>
  <c r="K1065" i="1"/>
  <c r="A1065" i="1"/>
  <c r="U1064" i="1"/>
  <c r="K1064" i="1"/>
  <c r="A1064" i="1"/>
  <c r="U1063" i="1"/>
  <c r="K1063" i="1"/>
  <c r="A1063" i="1"/>
  <c r="U1062" i="1"/>
  <c r="K1062" i="1"/>
  <c r="A1062" i="1"/>
  <c r="U1061" i="1"/>
  <c r="K1061" i="1"/>
  <c r="A1061" i="1"/>
  <c r="U1060" i="1"/>
  <c r="K1060" i="1"/>
  <c r="A1060" i="1"/>
  <c r="U1059" i="1"/>
  <c r="K1059" i="1"/>
  <c r="A1059" i="1"/>
  <c r="U1058" i="1"/>
  <c r="K1058" i="1"/>
  <c r="A1058" i="1"/>
  <c r="U1057" i="1"/>
  <c r="K1057" i="1"/>
  <c r="A1057" i="1"/>
  <c r="U1056" i="1"/>
  <c r="K1056" i="1"/>
  <c r="A1056" i="1"/>
  <c r="U1055" i="1"/>
  <c r="K1055" i="1"/>
  <c r="A1055" i="1"/>
  <c r="U1054" i="1"/>
  <c r="K1054" i="1"/>
  <c r="A1054" i="1"/>
  <c r="U1053" i="1"/>
  <c r="K1053" i="1"/>
  <c r="A1053" i="1"/>
  <c r="U1052" i="1"/>
  <c r="K1052" i="1"/>
  <c r="A1052" i="1"/>
  <c r="U1051" i="1"/>
  <c r="K1051" i="1"/>
  <c r="A1051" i="1"/>
  <c r="U1050" i="1"/>
  <c r="K1050" i="1"/>
  <c r="A1050" i="1"/>
  <c r="U1049" i="1"/>
  <c r="K1049" i="1"/>
  <c r="A1049" i="1"/>
  <c r="U1048" i="1"/>
  <c r="K1048" i="1"/>
  <c r="A1048" i="1"/>
  <c r="U1047" i="1"/>
  <c r="K1047" i="1"/>
  <c r="A1047" i="1"/>
  <c r="U1046" i="1"/>
  <c r="K1046" i="1"/>
  <c r="A1046" i="1"/>
  <c r="U1045" i="1"/>
  <c r="N1045" i="1"/>
  <c r="K1045" i="1"/>
  <c r="A1045" i="1"/>
  <c r="U1044" i="1"/>
  <c r="K1044" i="1"/>
  <c r="A1044" i="1"/>
  <c r="U1043" i="1"/>
  <c r="K1043" i="1"/>
  <c r="A1043" i="1"/>
  <c r="U1042" i="1"/>
  <c r="K1042" i="1"/>
  <c r="A1042" i="1"/>
  <c r="U1041" i="1"/>
  <c r="K1041" i="1"/>
  <c r="A1041" i="1"/>
  <c r="U1040" i="1"/>
  <c r="K1040" i="1"/>
  <c r="A1040" i="1"/>
  <c r="U1039" i="1"/>
  <c r="K1039" i="1"/>
  <c r="A1039" i="1"/>
  <c r="U1038" i="1"/>
  <c r="K1038" i="1"/>
  <c r="A1038" i="1"/>
  <c r="O1037" i="1"/>
  <c r="K1037" i="1"/>
  <c r="A1037" i="1"/>
  <c r="O1036" i="1"/>
  <c r="K1036" i="1"/>
  <c r="A1036" i="1"/>
  <c r="O1035" i="1"/>
  <c r="K1035" i="1"/>
  <c r="A1035" i="1"/>
  <c r="O1034" i="1"/>
  <c r="P1034" i="1" s="1"/>
  <c r="R1034" i="1" s="1"/>
  <c r="K1034" i="1"/>
  <c r="A1034" i="1"/>
  <c r="O1033" i="1"/>
  <c r="K1033" i="1"/>
  <c r="A1033" i="1"/>
  <c r="O1032" i="1"/>
  <c r="P1033" i="1" s="1"/>
  <c r="R1033" i="1" s="1"/>
  <c r="K1032" i="1"/>
  <c r="A1032" i="1"/>
  <c r="O1031" i="1"/>
  <c r="K1031" i="1"/>
  <c r="A1031" i="1"/>
  <c r="Z1030" i="1"/>
  <c r="Y1030" i="1"/>
  <c r="X1030" i="1"/>
  <c r="O1030" i="1"/>
  <c r="K1030" i="1"/>
  <c r="A1030" i="1"/>
  <c r="K1029" i="1"/>
  <c r="A1029" i="1"/>
  <c r="K1028" i="1"/>
  <c r="A1028" i="1"/>
  <c r="K1027" i="1"/>
  <c r="A1027" i="1"/>
  <c r="K1026" i="1"/>
  <c r="A1026" i="1"/>
  <c r="K1025" i="1"/>
  <c r="A1025" i="1"/>
  <c r="K1024" i="1"/>
  <c r="A1024" i="1"/>
  <c r="K1023" i="1"/>
  <c r="A1023" i="1"/>
  <c r="K1022" i="1"/>
  <c r="A1022" i="1"/>
  <c r="K1021" i="1"/>
  <c r="A1021" i="1"/>
  <c r="K1020" i="1"/>
  <c r="A1020" i="1"/>
  <c r="K1019" i="1"/>
  <c r="A1019" i="1"/>
  <c r="K1018" i="1"/>
  <c r="A1018" i="1"/>
  <c r="K1017" i="1"/>
  <c r="A1017" i="1"/>
  <c r="K1016" i="1"/>
  <c r="A1016" i="1"/>
  <c r="K1015" i="1"/>
  <c r="A1015" i="1"/>
  <c r="K1014" i="1"/>
  <c r="A1014" i="1"/>
  <c r="K1013" i="1"/>
  <c r="A1013" i="1"/>
  <c r="K1012" i="1"/>
  <c r="A1012" i="1"/>
  <c r="K1011" i="1"/>
  <c r="A1011" i="1"/>
  <c r="K1010" i="1"/>
  <c r="A1010" i="1"/>
  <c r="K1009" i="1"/>
  <c r="A1009" i="1"/>
  <c r="K1008" i="1"/>
  <c r="A1008" i="1"/>
  <c r="K1007" i="1"/>
  <c r="A1007" i="1"/>
  <c r="K1006" i="1"/>
  <c r="A1006" i="1"/>
  <c r="K1005" i="1"/>
  <c r="A1005" i="1"/>
  <c r="K1004" i="1"/>
  <c r="A1004" i="1"/>
  <c r="K1003" i="1"/>
  <c r="A1003" i="1"/>
  <c r="K1002" i="1"/>
  <c r="A1002" i="1"/>
  <c r="K1001" i="1"/>
  <c r="A1001" i="1"/>
  <c r="K1000" i="1"/>
  <c r="A1000" i="1"/>
  <c r="K999" i="1"/>
  <c r="A999" i="1"/>
  <c r="K998" i="1"/>
  <c r="A998" i="1"/>
  <c r="K997" i="1"/>
  <c r="A997" i="1"/>
  <c r="K996" i="1"/>
  <c r="A996" i="1"/>
  <c r="K995" i="1"/>
  <c r="A995" i="1"/>
  <c r="K994" i="1"/>
  <c r="A994" i="1"/>
  <c r="K993" i="1"/>
  <c r="A993" i="1"/>
  <c r="K992" i="1"/>
  <c r="A992" i="1"/>
  <c r="K991" i="1"/>
  <c r="A991" i="1"/>
  <c r="K990" i="1"/>
  <c r="A990" i="1"/>
  <c r="K989" i="1"/>
  <c r="A989" i="1"/>
  <c r="K988" i="1"/>
  <c r="A988" i="1"/>
  <c r="K987" i="1"/>
  <c r="A987" i="1"/>
  <c r="K986" i="1"/>
  <c r="A986" i="1"/>
  <c r="K985" i="1"/>
  <c r="A985" i="1"/>
  <c r="K984" i="1"/>
  <c r="A984" i="1"/>
  <c r="K983" i="1"/>
  <c r="A983" i="1"/>
  <c r="K982" i="1"/>
  <c r="A982" i="1"/>
  <c r="K981" i="1"/>
  <c r="A981" i="1"/>
  <c r="K980" i="1"/>
  <c r="A980" i="1"/>
  <c r="K979" i="1"/>
  <c r="A979" i="1"/>
  <c r="K978" i="1"/>
  <c r="A978" i="1"/>
  <c r="K977" i="1"/>
  <c r="A977" i="1"/>
  <c r="K976" i="1"/>
  <c r="A976" i="1"/>
  <c r="K975" i="1"/>
  <c r="A975" i="1"/>
  <c r="K974" i="1"/>
  <c r="A974" i="1"/>
  <c r="K973" i="1"/>
  <c r="F973" i="1"/>
  <c r="A973" i="1"/>
  <c r="K972" i="1"/>
  <c r="A972" i="1"/>
  <c r="K971" i="1"/>
  <c r="A971" i="1"/>
  <c r="K970" i="1"/>
  <c r="A970" i="1"/>
  <c r="K969" i="1"/>
  <c r="A969" i="1"/>
  <c r="K968" i="1"/>
  <c r="A968" i="1"/>
  <c r="K967" i="1"/>
  <c r="A967" i="1"/>
  <c r="K966" i="1"/>
  <c r="A966" i="1"/>
  <c r="K965" i="1"/>
  <c r="E965" i="1"/>
  <c r="A965" i="1"/>
  <c r="K964" i="1"/>
  <c r="A964" i="1"/>
  <c r="K963" i="1"/>
  <c r="A963" i="1"/>
  <c r="K962" i="1"/>
  <c r="A962" i="1"/>
  <c r="K961" i="1"/>
  <c r="A961" i="1"/>
  <c r="K960" i="1"/>
  <c r="A960" i="1"/>
  <c r="K959" i="1"/>
  <c r="A959" i="1"/>
  <c r="K958" i="1"/>
  <c r="A958" i="1"/>
  <c r="K957" i="1"/>
  <c r="A957" i="1"/>
  <c r="K956" i="1"/>
  <c r="A956" i="1"/>
  <c r="K955" i="1"/>
  <c r="A955" i="1"/>
  <c r="K954" i="1"/>
  <c r="A954" i="1"/>
  <c r="K953" i="1"/>
  <c r="A953" i="1"/>
  <c r="K952" i="1"/>
  <c r="A952" i="1"/>
  <c r="K951" i="1"/>
  <c r="A951" i="1"/>
  <c r="K950" i="1"/>
  <c r="A950" i="1"/>
  <c r="K949" i="1"/>
  <c r="A949" i="1"/>
  <c r="K948" i="1"/>
  <c r="A948" i="1"/>
  <c r="K947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K934" i="1"/>
  <c r="A934" i="1"/>
  <c r="A933" i="1"/>
  <c r="K932" i="1"/>
  <c r="A932" i="1"/>
  <c r="A931" i="1"/>
  <c r="A930" i="1"/>
  <c r="A929" i="1"/>
  <c r="A928" i="1"/>
  <c r="A927" i="1"/>
  <c r="A926" i="1"/>
  <c r="A925" i="1"/>
  <c r="K924" i="1"/>
  <c r="A924" i="1"/>
  <c r="A923" i="1"/>
  <c r="A922" i="1"/>
  <c r="A921" i="1"/>
  <c r="A920" i="1"/>
  <c r="A919" i="1"/>
  <c r="K918" i="1"/>
  <c r="A918" i="1"/>
  <c r="A917" i="1"/>
  <c r="A916" i="1"/>
  <c r="A915" i="1"/>
  <c r="K914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F891" i="1"/>
  <c r="A891" i="1"/>
  <c r="A890" i="1"/>
  <c r="A889" i="1"/>
  <c r="A888" i="1"/>
  <c r="A887" i="1"/>
  <c r="A886" i="1"/>
  <c r="A885" i="1"/>
  <c r="A884" i="1"/>
  <c r="A883" i="1"/>
  <c r="E882" i="1"/>
  <c r="A882" i="1"/>
  <c r="A881" i="1"/>
  <c r="A880" i="1"/>
  <c r="A879" i="1"/>
  <c r="A878" i="1"/>
  <c r="A877" i="1"/>
  <c r="A876" i="1"/>
  <c r="E875" i="1"/>
  <c r="A875" i="1"/>
  <c r="E874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K848" i="1"/>
  <c r="A848" i="1"/>
  <c r="K847" i="1"/>
  <c r="A847" i="1"/>
  <c r="A846" i="1"/>
  <c r="A845" i="1"/>
  <c r="A844" i="1"/>
  <c r="A843" i="1"/>
  <c r="A842" i="1"/>
  <c r="K841" i="1"/>
  <c r="A841" i="1"/>
  <c r="A840" i="1"/>
  <c r="A839" i="1"/>
  <c r="A838" i="1"/>
  <c r="A837" i="1"/>
  <c r="A836" i="1"/>
  <c r="A835" i="1"/>
  <c r="A834" i="1"/>
  <c r="A833" i="1"/>
  <c r="E832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K809" i="1"/>
  <c r="A809" i="1"/>
  <c r="A808" i="1"/>
  <c r="A807" i="1"/>
  <c r="K806" i="1"/>
  <c r="A806" i="1"/>
  <c r="A805" i="1"/>
  <c r="A804" i="1"/>
  <c r="A803" i="1"/>
  <c r="K802" i="1"/>
  <c r="A802" i="1"/>
  <c r="A801" i="1"/>
  <c r="A800" i="1"/>
  <c r="A799" i="1"/>
  <c r="K798" i="1"/>
  <c r="A798" i="1"/>
  <c r="A797" i="1"/>
  <c r="A796" i="1"/>
  <c r="A795" i="1"/>
  <c r="A794" i="1"/>
  <c r="A793" i="1"/>
  <c r="A792" i="1"/>
  <c r="K791" i="1"/>
  <c r="A791" i="1"/>
  <c r="A790" i="1"/>
  <c r="K789" i="1"/>
  <c r="A789" i="1"/>
  <c r="A788" i="1"/>
  <c r="A787" i="1"/>
  <c r="A786" i="1"/>
  <c r="A785" i="1"/>
  <c r="K784" i="1"/>
  <c r="A784" i="1"/>
  <c r="A783" i="1"/>
  <c r="A782" i="1"/>
  <c r="A781" i="1"/>
  <c r="A780" i="1"/>
  <c r="A779" i="1"/>
  <c r="A778" i="1"/>
  <c r="K777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K759" i="1"/>
  <c r="N1037" i="1" s="1"/>
  <c r="U1037" i="1" s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K745" i="1"/>
  <c r="N1036" i="1" s="1"/>
  <c r="U1036" i="1" s="1"/>
  <c r="A745" i="1"/>
  <c r="A744" i="1"/>
  <c r="E743" i="1"/>
  <c r="A743" i="1"/>
  <c r="A742" i="1"/>
  <c r="K741" i="1"/>
  <c r="N1035" i="1" s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K726" i="1"/>
  <c r="N1034" i="1" s="1"/>
  <c r="A726" i="1"/>
  <c r="A725" i="1"/>
  <c r="A724" i="1"/>
  <c r="A723" i="1"/>
  <c r="K722" i="1"/>
  <c r="N1033" i="1" s="1"/>
  <c r="A722" i="1"/>
  <c r="A721" i="1"/>
  <c r="A720" i="1"/>
  <c r="A719" i="1"/>
  <c r="A718" i="1"/>
  <c r="K717" i="1"/>
  <c r="N1032" i="1" s="1"/>
  <c r="A717" i="1"/>
  <c r="A716" i="1"/>
  <c r="K715" i="1"/>
  <c r="N1031" i="1" s="1"/>
  <c r="A715" i="1"/>
  <c r="E714" i="1"/>
  <c r="A714" i="1"/>
  <c r="A713" i="1"/>
  <c r="A712" i="1"/>
  <c r="E711" i="1"/>
  <c r="A711" i="1"/>
  <c r="L710" i="1"/>
  <c r="A710" i="1"/>
  <c r="A709" i="1"/>
  <c r="A708" i="1"/>
  <c r="A707" i="1"/>
  <c r="A706" i="1"/>
  <c r="E705" i="1"/>
  <c r="A705" i="1"/>
  <c r="A704" i="1"/>
  <c r="A703" i="1"/>
  <c r="A702" i="1"/>
  <c r="A701" i="1"/>
  <c r="K700" i="1"/>
  <c r="N1030" i="1" s="1"/>
  <c r="A700" i="1"/>
  <c r="A699" i="1"/>
  <c r="A698" i="1"/>
  <c r="E697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E680" i="1"/>
  <c r="A680" i="1"/>
  <c r="E679" i="1"/>
  <c r="A679" i="1"/>
  <c r="E678" i="1"/>
  <c r="A678" i="1"/>
  <c r="A677" i="1"/>
  <c r="A676" i="1"/>
  <c r="A675" i="1"/>
  <c r="A674" i="1"/>
  <c r="E673" i="1"/>
  <c r="A673" i="1"/>
  <c r="E672" i="1"/>
  <c r="A672" i="1"/>
  <c r="E671" i="1"/>
  <c r="A671" i="1"/>
  <c r="A670" i="1"/>
  <c r="A669" i="1"/>
  <c r="A668" i="1"/>
  <c r="E667" i="1"/>
  <c r="C667" i="1"/>
  <c r="A667" i="1"/>
  <c r="E666" i="1"/>
  <c r="C666" i="1"/>
  <c r="A666" i="1"/>
  <c r="E665" i="1"/>
  <c r="C665" i="1"/>
  <c r="A665" i="1"/>
  <c r="E664" i="1"/>
  <c r="C664" i="1"/>
  <c r="A664" i="1"/>
  <c r="E663" i="1"/>
  <c r="C663" i="1"/>
  <c r="A663" i="1"/>
  <c r="E662" i="1"/>
  <c r="C662" i="1"/>
  <c r="A662" i="1"/>
  <c r="E661" i="1"/>
  <c r="C661" i="1"/>
  <c r="A661" i="1"/>
  <c r="C660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F622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K596" i="1"/>
  <c r="A596" i="1"/>
  <c r="A595" i="1"/>
  <c r="A594" i="1"/>
  <c r="A593" i="1"/>
  <c r="A592" i="1"/>
  <c r="E591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F557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E527" i="1"/>
  <c r="A527" i="1"/>
  <c r="F526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E499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E480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E415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E402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K145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K8" i="1"/>
  <c r="A8" i="1"/>
  <c r="A7" i="1"/>
  <c r="A6" i="1"/>
  <c r="A5" i="1"/>
  <c r="A4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A3" i="1"/>
  <c r="B2" i="1"/>
  <c r="A2" i="1"/>
  <c r="G660" i="1" l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U1030" i="1"/>
  <c r="U1031" i="1"/>
  <c r="Q1031" i="1"/>
  <c r="U1032" i="1"/>
  <c r="Q1032" i="1"/>
  <c r="U1033" i="1"/>
  <c r="Q1033" i="1"/>
  <c r="U1034" i="1"/>
  <c r="Q1034" i="1"/>
  <c r="B661" i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U1035" i="1"/>
  <c r="Q1035" i="1"/>
  <c r="P1036" i="1"/>
  <c r="R1036" i="1" s="1"/>
  <c r="P1032" i="1"/>
  <c r="R1032" i="1" s="1"/>
  <c r="P1044" i="1"/>
  <c r="P1035" i="1"/>
  <c r="R1035" i="1" s="1"/>
  <c r="Q1037" i="1"/>
  <c r="P1047" i="1"/>
  <c r="Q1036" i="1"/>
  <c r="P1100" i="1"/>
  <c r="P1039" i="1"/>
  <c r="P1031" i="1"/>
  <c r="R1031" i="1" s="1"/>
  <c r="P1058" i="1"/>
  <c r="P1084" i="1"/>
  <c r="P1073" i="1"/>
  <c r="P1062" i="1"/>
  <c r="P1051" i="1"/>
  <c r="P1106" i="1"/>
  <c r="P1096" i="1"/>
  <c r="P1092" i="1"/>
  <c r="P1081" i="1"/>
  <c r="P1070" i="1"/>
  <c r="P1059" i="1"/>
  <c r="P1043" i="1"/>
  <c r="P1030" i="1"/>
  <c r="R1030" i="1" s="1"/>
  <c r="P1048" i="1"/>
  <c r="P1049" i="1"/>
  <c r="P1060" i="1"/>
  <c r="P1071" i="1"/>
  <c r="P1082" i="1"/>
  <c r="P1093" i="1"/>
  <c r="P1097" i="1"/>
  <c r="Q1104" i="1"/>
  <c r="P1110" i="1"/>
  <c r="P1113" i="1"/>
  <c r="P1116" i="1"/>
  <c r="P1119" i="1"/>
  <c r="P1041" i="1"/>
  <c r="P1045" i="1"/>
  <c r="P1056" i="1"/>
  <c r="P1067" i="1"/>
  <c r="P1078" i="1"/>
  <c r="P1089" i="1"/>
  <c r="P1115" i="1"/>
  <c r="P1107" i="1"/>
  <c r="P1099" i="1"/>
  <c r="P1037" i="1"/>
  <c r="R1037" i="1" s="1"/>
  <c r="P1052" i="1"/>
  <c r="P1063" i="1"/>
  <c r="P1074" i="1"/>
  <c r="P1085" i="1"/>
  <c r="P1103" i="1"/>
  <c r="P1118" i="1"/>
  <c r="P1040" i="1"/>
  <c r="P1055" i="1"/>
  <c r="P1066" i="1"/>
  <c r="P1077" i="1"/>
  <c r="P1088" i="1"/>
  <c r="P1109" i="1"/>
  <c r="P1112" i="1"/>
  <c r="P1102" i="1"/>
  <c r="P1069" i="1"/>
  <c r="P1080" i="1"/>
  <c r="P1091" i="1"/>
  <c r="P1095" i="1"/>
  <c r="P1054" i="1"/>
  <c r="P1065" i="1"/>
  <c r="P1076" i="1"/>
  <c r="P1087" i="1"/>
  <c r="P1105" i="1"/>
  <c r="R1105" i="1" s="1"/>
  <c r="P1108" i="1"/>
  <c r="P1114" i="1"/>
  <c r="P1117" i="1"/>
  <c r="P1050" i="1"/>
  <c r="P1061" i="1"/>
  <c r="P1072" i="1"/>
  <c r="P1083" i="1"/>
  <c r="P1098" i="1"/>
  <c r="Q1105" i="1"/>
  <c r="P1111" i="1"/>
  <c r="P1042" i="1"/>
  <c r="P1046" i="1"/>
  <c r="P1057" i="1"/>
  <c r="P1068" i="1"/>
  <c r="P1079" i="1"/>
  <c r="P1090" i="1"/>
  <c r="P1094" i="1"/>
  <c r="P1101" i="1"/>
  <c r="P1038" i="1"/>
  <c r="P1053" i="1"/>
  <c r="P1064" i="1"/>
  <c r="P1075" i="1"/>
  <c r="P1086" i="1"/>
  <c r="P1104" i="1"/>
  <c r="R1104" i="1" s="1"/>
  <c r="G1280" i="1" l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K1279" i="1"/>
  <c r="R1077" i="1"/>
  <c r="Q1077" i="1"/>
  <c r="R1058" i="1"/>
  <c r="Q1058" i="1"/>
  <c r="R1098" i="1"/>
  <c r="Q1098" i="1"/>
  <c r="R1110" i="1"/>
  <c r="Q1110" i="1"/>
  <c r="Q1101" i="1"/>
  <c r="R1101" i="1"/>
  <c r="R1115" i="1"/>
  <c r="Q1115" i="1"/>
  <c r="R1039" i="1"/>
  <c r="Q1039" i="1"/>
  <c r="R1072" i="1"/>
  <c r="Q1072" i="1"/>
  <c r="R1081" i="1"/>
  <c r="Q1081" i="1"/>
  <c r="Q1090" i="1"/>
  <c r="R1090" i="1"/>
  <c r="R1061" i="1"/>
  <c r="Q1061" i="1"/>
  <c r="R1091" i="1"/>
  <c r="Q1091" i="1"/>
  <c r="R1118" i="1"/>
  <c r="Q1118" i="1"/>
  <c r="R1078" i="1"/>
  <c r="Q1078" i="1"/>
  <c r="R1093" i="1"/>
  <c r="Q1093" i="1"/>
  <c r="R1092" i="1"/>
  <c r="Q1092" i="1"/>
  <c r="R1099" i="1"/>
  <c r="Q1099" i="1"/>
  <c r="R1065" i="1"/>
  <c r="Q1065" i="1"/>
  <c r="R1054" i="1"/>
  <c r="Q1054" i="1"/>
  <c r="R1040" i="1"/>
  <c r="Q1040" i="1"/>
  <c r="R1100" i="1"/>
  <c r="Q1100" i="1"/>
  <c r="R1050" i="1"/>
  <c r="Q1050" i="1"/>
  <c r="R1067" i="1"/>
  <c r="Q1067" i="1"/>
  <c r="R1096" i="1"/>
  <c r="Q1096" i="1"/>
  <c r="Q1068" i="1"/>
  <c r="R1068" i="1"/>
  <c r="R1085" i="1"/>
  <c r="Q1085" i="1"/>
  <c r="R1106" i="1"/>
  <c r="Q1106" i="1"/>
  <c r="Q1057" i="1"/>
  <c r="R1057" i="1"/>
  <c r="R1102" i="1"/>
  <c r="Q1102" i="1"/>
  <c r="Q1045" i="1"/>
  <c r="R1045" i="1"/>
  <c r="R1051" i="1"/>
  <c r="Q1051" i="1"/>
  <c r="R1086" i="1"/>
  <c r="Q1086" i="1"/>
  <c r="Q1046" i="1"/>
  <c r="R1046" i="1"/>
  <c r="R1108" i="1"/>
  <c r="Q1108" i="1"/>
  <c r="R1112" i="1"/>
  <c r="Q1112" i="1"/>
  <c r="R1063" i="1"/>
  <c r="Q1063" i="1"/>
  <c r="Q1041" i="1"/>
  <c r="R1041" i="1"/>
  <c r="R1049" i="1"/>
  <c r="Q1049" i="1"/>
  <c r="R1062" i="1"/>
  <c r="Q1062" i="1"/>
  <c r="Q1044" i="1"/>
  <c r="R1044" i="1"/>
  <c r="W1030" i="1"/>
  <c r="AA1030" i="1" s="1"/>
  <c r="R1053" i="1"/>
  <c r="Q1053" i="1"/>
  <c r="R1043" i="1"/>
  <c r="Q1043" i="1"/>
  <c r="R1038" i="1"/>
  <c r="Q1038" i="1"/>
  <c r="R1107" i="1"/>
  <c r="Q1107" i="1"/>
  <c r="R1055" i="1"/>
  <c r="Q1055" i="1"/>
  <c r="R1070" i="1"/>
  <c r="Q1070" i="1"/>
  <c r="Q1094" i="1"/>
  <c r="R1094" i="1"/>
  <c r="R1089" i="1"/>
  <c r="Q1089" i="1"/>
  <c r="R1080" i="1"/>
  <c r="Q1080" i="1"/>
  <c r="R1082" i="1"/>
  <c r="Q1082" i="1"/>
  <c r="R1069" i="1"/>
  <c r="Q1069" i="1"/>
  <c r="R1071" i="1"/>
  <c r="Q1071" i="1"/>
  <c r="R1114" i="1"/>
  <c r="Q1114" i="1"/>
  <c r="R1074" i="1"/>
  <c r="Q1074" i="1"/>
  <c r="R1060" i="1"/>
  <c r="Q1060" i="1"/>
  <c r="R1075" i="1"/>
  <c r="Q1075" i="1"/>
  <c r="Q1042" i="1"/>
  <c r="R1042" i="1"/>
  <c r="R1109" i="1"/>
  <c r="Q1109" i="1"/>
  <c r="R1052" i="1"/>
  <c r="Q1052" i="1"/>
  <c r="Q1119" i="1"/>
  <c r="R1119" i="1"/>
  <c r="R1048" i="1"/>
  <c r="Q1048" i="1"/>
  <c r="R1073" i="1"/>
  <c r="Q1073" i="1"/>
  <c r="Q1030" i="1"/>
  <c r="R1076" i="1"/>
  <c r="Q1076" i="1"/>
  <c r="R1113" i="1"/>
  <c r="Q1113" i="1"/>
  <c r="R1066" i="1"/>
  <c r="Q1066" i="1"/>
  <c r="R1059" i="1"/>
  <c r="Q1059" i="1"/>
  <c r="R1083" i="1"/>
  <c r="Q1083" i="1"/>
  <c r="R1095" i="1"/>
  <c r="Q1095" i="1"/>
  <c r="R1097" i="1"/>
  <c r="Q1097" i="1"/>
  <c r="Q1079" i="1"/>
  <c r="R1079" i="1"/>
  <c r="Q1103" i="1"/>
  <c r="R1103" i="1"/>
  <c r="R1047" i="1"/>
  <c r="Q1047" i="1"/>
  <c r="R1117" i="1"/>
  <c r="Q1117" i="1"/>
  <c r="R1056" i="1"/>
  <c r="Q1056" i="1"/>
  <c r="R1064" i="1"/>
  <c r="Q1064" i="1"/>
  <c r="Q1111" i="1"/>
  <c r="R1111" i="1"/>
  <c r="R1087" i="1"/>
  <c r="Q1087" i="1"/>
  <c r="R1088" i="1"/>
  <c r="Q1088" i="1"/>
  <c r="R1116" i="1"/>
  <c r="Q1116" i="1"/>
  <c r="R1084" i="1"/>
  <c r="Q1084" i="1"/>
  <c r="T10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tc={4DF7A15B-60AE-CE4F-98FE-64BABEDB109A}</author>
  </authors>
  <commentList>
    <comment ref="O1115" authorId="0" shapeId="0" xr:uid="{4DF7A15B-60AE-CE4F-98FE-64BABEDB10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la mitad se transfiere a Aerostratus </t>
      </text>
    </comment>
  </commentList>
</comments>
</file>

<file path=xl/sharedStrings.xml><?xml version="1.0" encoding="utf-8"?>
<sst xmlns="http://schemas.openxmlformats.org/spreadsheetml/2006/main" count="3035" uniqueCount="947">
  <si>
    <t>Fecha</t>
  </si>
  <si>
    <t>Descripción</t>
  </si>
  <si>
    <t>egreso</t>
  </si>
  <si>
    <t>ingreso</t>
  </si>
  <si>
    <t>Saldo</t>
  </si>
  <si>
    <t>Tipo</t>
  </si>
  <si>
    <t>Cliente</t>
  </si>
  <si>
    <t>Columna1</t>
  </si>
  <si>
    <t>Depósito en Efectivo</t>
  </si>
  <si>
    <t>R. Alvarez</t>
  </si>
  <si>
    <t>RA</t>
  </si>
  <si>
    <t>JT</t>
  </si>
  <si>
    <t>R. Mejia</t>
  </si>
  <si>
    <t>RM</t>
  </si>
  <si>
    <t>Combustible</t>
  </si>
  <si>
    <t>S. Varas</t>
  </si>
  <si>
    <t>SV</t>
  </si>
  <si>
    <t>TOA</t>
  </si>
  <si>
    <t>Operacional</t>
  </si>
  <si>
    <t xml:space="preserve">Seguros Orion </t>
  </si>
  <si>
    <t>Seguro</t>
  </si>
  <si>
    <t>Audifonos</t>
  </si>
  <si>
    <t>Accesorios</t>
  </si>
  <si>
    <t>A. Fernandez</t>
  </si>
  <si>
    <t>AF</t>
  </si>
  <si>
    <t>Patente Municipal</t>
  </si>
  <si>
    <t>Transf. Internet a otro Bancos</t>
  </si>
  <si>
    <t>Aporte Capital dolares Don</t>
  </si>
  <si>
    <t>AIRC aporte JT</t>
  </si>
  <si>
    <t>AIRC</t>
  </si>
  <si>
    <t xml:space="preserve">P. Agliati </t>
  </si>
  <si>
    <t>PA</t>
  </si>
  <si>
    <t>ACPDV</t>
  </si>
  <si>
    <t>Lavado en Caiquen</t>
  </si>
  <si>
    <t>Mantenimiento</t>
  </si>
  <si>
    <t>Pago HSI</t>
  </si>
  <si>
    <t>F. Puente</t>
  </si>
  <si>
    <t>FP</t>
  </si>
  <si>
    <t>compra extintor y aceite</t>
  </si>
  <si>
    <t>Pago trabajos g5 aeromundo</t>
  </si>
  <si>
    <t>J. Mathew</t>
  </si>
  <si>
    <t>JM</t>
  </si>
  <si>
    <t>Pago estacionamiento</t>
  </si>
  <si>
    <t>Hangar</t>
  </si>
  <si>
    <t>Trabajos AIRC -inst G5</t>
  </si>
  <si>
    <t>caiquen</t>
  </si>
  <si>
    <t>Aeromundo rev 100</t>
  </si>
  <si>
    <t>P. Del Valle</t>
  </si>
  <si>
    <t>PV</t>
  </si>
  <si>
    <t>Caiquen</t>
  </si>
  <si>
    <t>Caiquen (boleta 29 julio)</t>
  </si>
  <si>
    <t>Combustible JT</t>
  </si>
  <si>
    <t>Cambio aceite Aeromundo</t>
  </si>
  <si>
    <t>A. Castro</t>
  </si>
  <si>
    <t>AC</t>
  </si>
  <si>
    <t>Hangar 15 julio y todo agosto</t>
  </si>
  <si>
    <t>V. Amengual</t>
  </si>
  <si>
    <t>VA</t>
  </si>
  <si>
    <t>Hangar septiembre</t>
  </si>
  <si>
    <t>Prestamo JT</t>
  </si>
  <si>
    <t>Caiquen 68 lts</t>
  </si>
  <si>
    <t>Hangar octubre</t>
  </si>
  <si>
    <t>Caiquen 20 lts</t>
  </si>
  <si>
    <t>C. Piraino</t>
  </si>
  <si>
    <t>CP</t>
  </si>
  <si>
    <t>Lavado</t>
  </si>
  <si>
    <t>Claudio Guajardo</t>
  </si>
  <si>
    <t>Abono 100 hrs Aeromundo</t>
  </si>
  <si>
    <t>Avinel</t>
  </si>
  <si>
    <t>Aeroneed</t>
  </si>
  <si>
    <t>Aeromundo 100 hrs</t>
  </si>
  <si>
    <t>Combustible SCSN 46 lts</t>
  </si>
  <si>
    <t>Hangar Noviembre</t>
  </si>
  <si>
    <t xml:space="preserve">JT Plexus y jardinero </t>
  </si>
  <si>
    <t>Aeroneed Neumaticos</t>
  </si>
  <si>
    <t>Arreglo motor Partida</t>
  </si>
  <si>
    <t>Claudio Guajardo AIRC</t>
  </si>
  <si>
    <t>Hangar diciembre y enero</t>
  </si>
  <si>
    <t>Primera cuota Seguro Orion</t>
  </si>
  <si>
    <t>F. Hidalgo</t>
  </si>
  <si>
    <t>FH</t>
  </si>
  <si>
    <t>Caiquen Retorno error pago</t>
  </si>
  <si>
    <t>Segunda cuota seguro Orion</t>
  </si>
  <si>
    <t>Diferencia endoso piloto seguro</t>
  </si>
  <si>
    <t>Patente Comercial</t>
  </si>
  <si>
    <t>Hangar febrero</t>
  </si>
  <si>
    <t>Hangar marzo</t>
  </si>
  <si>
    <t>N. Elias</t>
  </si>
  <si>
    <t>NE</t>
  </si>
  <si>
    <t>colmena</t>
  </si>
  <si>
    <t>Pago a R. Fuentes por vuelo N. Elias</t>
  </si>
  <si>
    <t>Merma</t>
  </si>
  <si>
    <t>Caiquen (scsn)</t>
  </si>
  <si>
    <t>1er Pago Tapiz Asientos</t>
  </si>
  <si>
    <t>2do Pago Tapiz Asientos</t>
  </si>
  <si>
    <t>1er pago Bujias y Filtro Aire Motor</t>
  </si>
  <si>
    <t>Hangar Abril</t>
  </si>
  <si>
    <t>2do pago Bujias y Filtro Aire Motor</t>
  </si>
  <si>
    <t>3er ultimo pago Tapiz Asientos</t>
  </si>
  <si>
    <t>Aeromundo</t>
  </si>
  <si>
    <t>Hangar Mayo</t>
  </si>
  <si>
    <t>Inversion Fondo Mutuo</t>
  </si>
  <si>
    <t>Rescate Fondos Mutuos</t>
  </si>
  <si>
    <t xml:space="preserve">Ultima cuota seguro </t>
  </si>
  <si>
    <t>devolución</t>
  </si>
  <si>
    <t>Amir Kia</t>
  </si>
  <si>
    <t>AK</t>
  </si>
  <si>
    <t>Inflado de neumatico</t>
  </si>
  <si>
    <t xml:space="preserve">Focos LED y Batería </t>
  </si>
  <si>
    <t>I. Allende</t>
  </si>
  <si>
    <t>IA</t>
  </si>
  <si>
    <t>Limpieza mensual Tapia</t>
  </si>
  <si>
    <t>Rescate fondo mutuo</t>
  </si>
  <si>
    <t>Retiro Repuestos Fedex</t>
  </si>
  <si>
    <t xml:space="preserve">Caja de Aceite </t>
  </si>
  <si>
    <t>Aeromundo Rev. 100 hrs</t>
  </si>
  <si>
    <t>AIRC prueba equipo ELT</t>
  </si>
  <si>
    <t>Patente municipal</t>
  </si>
  <si>
    <t>Aeromundo Rev. 100 hrs 1er pago</t>
  </si>
  <si>
    <t>Aeromundo Rev. 100 hrs 2do pago</t>
  </si>
  <si>
    <t>AERONEED Bateria</t>
  </si>
  <si>
    <t xml:space="preserve">Aeroneed   </t>
  </si>
  <si>
    <t>R. Castro</t>
  </si>
  <si>
    <t>RC</t>
  </si>
  <si>
    <t>Combustible Valdivia</t>
  </si>
  <si>
    <t xml:space="preserve">Lideravia </t>
  </si>
  <si>
    <t xml:space="preserve">Combustible SCIE </t>
  </si>
  <si>
    <t>Neumático Aeroneed</t>
  </si>
  <si>
    <t xml:space="preserve">Balatas Lideravia </t>
  </si>
  <si>
    <t xml:space="preserve">Combustible Club Aereo Chillán </t>
  </si>
  <si>
    <t xml:space="preserve">Aeromundo Rev. 100 hrs </t>
  </si>
  <si>
    <t>Pago Escritura Abogado R. Mognaschi</t>
  </si>
  <si>
    <t>Airbnb Don Johnson</t>
  </si>
  <si>
    <t>Hangar Febrero</t>
  </si>
  <si>
    <t>Hangar Marzo</t>
  </si>
  <si>
    <t>TOA 2020</t>
  </si>
  <si>
    <t>Pago patente 1-2020</t>
  </si>
  <si>
    <t>Colmena</t>
  </si>
  <si>
    <t xml:space="preserve">Colmena </t>
  </si>
  <si>
    <t xml:space="preserve">Inversion Deposito a plazo </t>
  </si>
  <si>
    <t xml:space="preserve">1era cuota seguro </t>
  </si>
  <si>
    <t xml:space="preserve">Hangar Mayo </t>
  </si>
  <si>
    <t>Rescate Deposito a plazo</t>
  </si>
  <si>
    <t xml:space="preserve">Devolución Total Colmena </t>
  </si>
  <si>
    <t>Combustible SCCV 75 lts</t>
  </si>
  <si>
    <t xml:space="preserve">Filtro Aceite + Aditivo </t>
  </si>
  <si>
    <t xml:space="preserve">Pago 2da cuota seguro </t>
  </si>
  <si>
    <t>Caiquen 85 litros</t>
  </si>
  <si>
    <t xml:space="preserve">Lavado AQI </t>
  </si>
  <si>
    <t>Hangar Junio</t>
  </si>
  <si>
    <t>Hangar Julio</t>
  </si>
  <si>
    <t xml:space="preserve">Gastos Notariales </t>
  </si>
  <si>
    <t>Hangar Agosto</t>
  </si>
  <si>
    <t>Pago 3era cuota Seguro</t>
  </si>
  <si>
    <t xml:space="preserve">Hangar Septiembre </t>
  </si>
  <si>
    <t xml:space="preserve">G. Latorre </t>
  </si>
  <si>
    <t>GL</t>
  </si>
  <si>
    <t>A. Garcia-Huidobro</t>
  </si>
  <si>
    <t>AGH</t>
  </si>
  <si>
    <t>A. Castro (JTG Transfiere su deuda)</t>
  </si>
  <si>
    <t>Hangar Octubre</t>
  </si>
  <si>
    <t xml:space="preserve">Coordinador de Viraje </t>
  </si>
  <si>
    <t xml:space="preserve">N. Vega </t>
  </si>
  <si>
    <t>NV</t>
  </si>
  <si>
    <t>A. Torrealba</t>
  </si>
  <si>
    <t>AT</t>
  </si>
  <si>
    <t>M. Camposano</t>
  </si>
  <si>
    <t>MC</t>
  </si>
  <si>
    <t>Pago patente 2-2020</t>
  </si>
  <si>
    <t>Pago 4ta cuota seguro</t>
  </si>
  <si>
    <t>Lideravia Filtro de Aire e Instrumentos</t>
  </si>
  <si>
    <t>Lideravia Bujias y Empaquetaduras</t>
  </si>
  <si>
    <t>Lideravia Balatas y Neumatico</t>
  </si>
  <si>
    <t>Transvip Curacavi- Santiago</t>
  </si>
  <si>
    <t xml:space="preserve">Aeromundo 1er pago Certificacion </t>
  </si>
  <si>
    <t xml:space="preserve">Aeromundo 2do pago Certificacion </t>
  </si>
  <si>
    <t xml:space="preserve">Aeroneed Aceite, Aditivos y filtro de aceite  </t>
  </si>
  <si>
    <t xml:space="preserve">Hangar Diciembre  </t>
  </si>
  <si>
    <t>I. Opazo</t>
  </si>
  <si>
    <t>IO</t>
  </si>
  <si>
    <t>Safety Pilot S. Varas para I. Opazo 3,7 horas</t>
  </si>
  <si>
    <t>R. Lira (C. Ruiz)</t>
  </si>
  <si>
    <t>RL</t>
  </si>
  <si>
    <t>R. Lira (C. Romero)</t>
  </si>
  <si>
    <t>CR</t>
  </si>
  <si>
    <t xml:space="preserve">Hangar Enero </t>
  </si>
  <si>
    <t>J. Robledo</t>
  </si>
  <si>
    <t>JR</t>
  </si>
  <si>
    <t>D. Ross</t>
  </si>
  <si>
    <t>DR</t>
  </si>
  <si>
    <t xml:space="preserve">Pago Inicial Contador </t>
  </si>
  <si>
    <t>TOA 2021</t>
  </si>
  <si>
    <t>Safety Pilot S. Varas para J. Robledo 2,7 horas</t>
  </si>
  <si>
    <t xml:space="preserve">L. Montoya </t>
  </si>
  <si>
    <t xml:space="preserve">Uber traslado a mantto </t>
  </si>
  <si>
    <t>Trabajos Sellado &amp; Lavado Hector Tapia</t>
  </si>
  <si>
    <t>Jesus Bermedo</t>
  </si>
  <si>
    <t>JB</t>
  </si>
  <si>
    <t xml:space="preserve">Instrucción S. Varas J. Bermedo 1,8 horas </t>
  </si>
  <si>
    <t>Pago patente 1-2021</t>
  </si>
  <si>
    <t>I. Roure</t>
  </si>
  <si>
    <t>IR</t>
  </si>
  <si>
    <t>Instrucción S. Varas - I. Roure 0,9</t>
  </si>
  <si>
    <t>Pago Multas Atraso SII</t>
  </si>
  <si>
    <t>R. Lira</t>
  </si>
  <si>
    <t>Pago Contador (segundo pago)</t>
  </si>
  <si>
    <t xml:space="preserve">Pago Endoso extensión seguro </t>
  </si>
  <si>
    <t xml:space="preserve">Instruccion I. Opazo  S. Varas </t>
  </si>
  <si>
    <t>Pago contado Operación Renta AT2021</t>
  </si>
  <si>
    <t xml:space="preserve">Vuelo Gerardo Alumno Felipe Hidalgo </t>
  </si>
  <si>
    <t xml:space="preserve">Compresor de aire </t>
  </si>
  <si>
    <t>Compra JPI EDM 830</t>
  </si>
  <si>
    <t xml:space="preserve">12 Botella de Aceite + Filtro de Aire </t>
  </si>
  <si>
    <t xml:space="preserve">Filtro Aceite  </t>
  </si>
  <si>
    <t xml:space="preserve">Devolucion Hangar </t>
  </si>
  <si>
    <t xml:space="preserve">Balatas </t>
  </si>
  <si>
    <t>AIRC Guajardo</t>
  </si>
  <si>
    <t>G. Torres</t>
  </si>
  <si>
    <t>GT</t>
  </si>
  <si>
    <t>F. Hernandez</t>
  </si>
  <si>
    <t>FHE</t>
  </si>
  <si>
    <t xml:space="preserve">S. Varas Instruccion G. Torres </t>
  </si>
  <si>
    <t xml:space="preserve">Mangueras Combustible - Parraguez </t>
  </si>
  <si>
    <t xml:space="preserve">S. Varas Instruccion F. Hidalgo </t>
  </si>
  <si>
    <t>$204.000 Hubo devolucion de $73.472</t>
  </si>
  <si>
    <t>Instruccion I. Opazo  S. Varas 30 Jul 21</t>
  </si>
  <si>
    <t>Discos de Freno</t>
  </si>
  <si>
    <t>C. Valencia</t>
  </si>
  <si>
    <t>CV</t>
  </si>
  <si>
    <t>Instruccion C. Valencia  S. Varas 01 Nov 21</t>
  </si>
  <si>
    <t>Fpro</t>
  </si>
  <si>
    <t>Pago Piloto Ceres J. Mulet</t>
  </si>
  <si>
    <t>Stratus</t>
  </si>
  <si>
    <t>Pago Piloto Ceres R. Mejia</t>
  </si>
  <si>
    <t>Pago Piloto Ceres S. Varas</t>
  </si>
  <si>
    <t xml:space="preserve">S. Varas </t>
  </si>
  <si>
    <t>Transfer Santiago - Curacavi Roberto</t>
  </si>
  <si>
    <t>Ceres</t>
  </si>
  <si>
    <t>Cer</t>
  </si>
  <si>
    <t>Roberto Mejia Ceres 3,2 Horas</t>
  </si>
  <si>
    <t>Combustible Ceres</t>
  </si>
  <si>
    <t>Joaquin Muler Ceres 3,2 horas</t>
  </si>
  <si>
    <t>Aceite + Filtro</t>
  </si>
  <si>
    <t xml:space="preserve">Lavado </t>
  </si>
  <si>
    <t>C. Pomes 1,55 avion + 1UF Instrucción</t>
  </si>
  <si>
    <t xml:space="preserve">Pago Piloto Ceres J. Mulet 0,775 + 3,65 </t>
  </si>
  <si>
    <t>Error, se pagan $97.597 de más</t>
  </si>
  <si>
    <t>Combustible Ceres SCLC</t>
  </si>
  <si>
    <t>Combustible Ceres SCOV</t>
  </si>
  <si>
    <t>Combustible Ceres SCAN</t>
  </si>
  <si>
    <t>Bus + Uber Los Andes - Santiago Joaquin</t>
  </si>
  <si>
    <t>Joaquin Muler Ceres 5,6 horas</t>
  </si>
  <si>
    <t>Roberto Mejia Ceres 4,9 Horas</t>
  </si>
  <si>
    <t>Transfer Curacavi- Santiago Roberto</t>
  </si>
  <si>
    <t>Pago overhaul 16 nov</t>
  </si>
  <si>
    <t>Pago overhaul 17nov</t>
  </si>
  <si>
    <t>Combustible Ceres SCCV</t>
  </si>
  <si>
    <t>Joaquin Muler Ceres 3,2 horas + $100.000 combustible</t>
  </si>
  <si>
    <t>J. Pizarro</t>
  </si>
  <si>
    <t>JP</t>
  </si>
  <si>
    <t>Joaquin Muler Ceres 5,4 horas</t>
  </si>
  <si>
    <t xml:space="preserve">Combustible Ceres SCTL </t>
  </si>
  <si>
    <t xml:space="preserve">Uber Joaquin </t>
  </si>
  <si>
    <t>Pago vuelo demostratico A. Proaño</t>
  </si>
  <si>
    <t xml:space="preserve">Uber Ignacio Opazo 30 jul 21 </t>
  </si>
  <si>
    <t>A. Kia</t>
  </si>
  <si>
    <t>Combustible SCCV</t>
  </si>
  <si>
    <t>V. Asenjo</t>
  </si>
  <si>
    <t>VAS</t>
  </si>
  <si>
    <t>Trabajo AOC Aerostratus</t>
  </si>
  <si>
    <t>STC Overhaul</t>
  </si>
  <si>
    <t>C. Romero</t>
  </si>
  <si>
    <t xml:space="preserve">Pago overhaul 03 Dic </t>
  </si>
  <si>
    <t xml:space="preserve">Pago overhaul 09 Dic </t>
  </si>
  <si>
    <t xml:space="preserve">Pago overhaul 10 Dic </t>
  </si>
  <si>
    <t>Hangar Diciembre</t>
  </si>
  <si>
    <t xml:space="preserve">Trabajos Plataforma </t>
  </si>
  <si>
    <t>Aeroshell W100 Plus + Filtro de aceite</t>
  </si>
  <si>
    <t>Transfer Joaquin</t>
  </si>
  <si>
    <t>1er pago AIRC jpi+g5</t>
  </si>
  <si>
    <t>90 litros Caiquen</t>
  </si>
  <si>
    <t>Food and transportation Linares</t>
  </si>
  <si>
    <t>Hotel Joaquin - Linares</t>
  </si>
  <si>
    <t>Combustible Talca</t>
  </si>
  <si>
    <t>11,6 horas ceres UF 20 dic $30.936,94</t>
  </si>
  <si>
    <t>Wifi upgrade installation</t>
  </si>
  <si>
    <t>2do pago AIRC jpi+g5</t>
  </si>
  <si>
    <t>J. Chiang</t>
  </si>
  <si>
    <t>JC</t>
  </si>
  <si>
    <t>J. Varas</t>
  </si>
  <si>
    <t>JV</t>
  </si>
  <si>
    <t>Combustible Ceres SCSF</t>
  </si>
  <si>
    <t>5,7 horas ceres UF 30 dic $30.986,76</t>
  </si>
  <si>
    <t xml:space="preserve">Viatico Joaquin Mulet 30 dic </t>
  </si>
  <si>
    <t xml:space="preserve">Combustible Ceres </t>
  </si>
  <si>
    <t>Hotel Joaquin - Chillán</t>
  </si>
  <si>
    <t>Food Chillán</t>
  </si>
  <si>
    <t xml:space="preserve">Transportation Chillán </t>
  </si>
  <si>
    <t>9,9 horas ceres UF 30 dic $31.001,72</t>
  </si>
  <si>
    <t>11,1 horas ceres UF 5 ene $31.016,68</t>
  </si>
  <si>
    <t>Pago S. Varas Vuelo instrucción J. Varas 1 hr</t>
  </si>
  <si>
    <t>Pago S. Varas Vuelo Instrucción J. Chiang 0,5 hr</t>
  </si>
  <si>
    <t>7,3 horas ceres UF 7 ene $31.026,67</t>
  </si>
  <si>
    <t>Transportation Joaquin</t>
  </si>
  <si>
    <t xml:space="preserve">Aceite + Filtro Aceite </t>
  </si>
  <si>
    <t>Pago Aerotrust 2/2 op. 15770</t>
  </si>
  <si>
    <t>Aerotrust</t>
  </si>
  <si>
    <t>Revision 100hrs Aeromundo 1/2</t>
  </si>
  <si>
    <t>3,4 Hrs Ceres $29.000</t>
  </si>
  <si>
    <t>Transvip</t>
  </si>
  <si>
    <t xml:space="preserve">Antena GPS </t>
  </si>
  <si>
    <t xml:space="preserve">Lavado AQI + Funda Avión </t>
  </si>
  <si>
    <t xml:space="preserve">Combustible SCVD 71,3 litros </t>
  </si>
  <si>
    <t>Pago Aerotrust 1/2 op. 15770</t>
  </si>
  <si>
    <t>Revision 100hrs Aeromundo 2/2</t>
  </si>
  <si>
    <t>Aerotrust 1/2 op. 15813 &amp; 15812</t>
  </si>
  <si>
    <t>Aerotrust 2/2 op. 15813 &amp; 15812</t>
  </si>
  <si>
    <t>Tipo cambio 792 USD $3300</t>
  </si>
  <si>
    <t>Hotel Joaquin - Talca</t>
  </si>
  <si>
    <t>Pago overhaul 11 ene</t>
  </si>
  <si>
    <t>Perdiem Talca</t>
  </si>
  <si>
    <t xml:space="preserve">9,8 Hrs. Ceres $29.000 J. Mulet </t>
  </si>
  <si>
    <t>D. Gutierrez</t>
  </si>
  <si>
    <t>DG</t>
  </si>
  <si>
    <t>Pago Instrucción D. Gutierrez - S. Varas</t>
  </si>
  <si>
    <t xml:space="preserve">Combustible Caiquen </t>
  </si>
  <si>
    <t xml:space="preserve">Combustible Chillán </t>
  </si>
  <si>
    <t>Aerotrust 3,5 horas Op. 15807</t>
  </si>
  <si>
    <t xml:space="preserve">8,9 Hrs. Ceres $29.000 J. Mulet (31 ene y 02 feb) </t>
  </si>
  <si>
    <t>USD</t>
  </si>
  <si>
    <t xml:space="preserve">Préstamo S. Varas </t>
  </si>
  <si>
    <t>Aerotrust 7 horas Op. 15847</t>
  </si>
  <si>
    <t xml:space="preserve">Hangar Febrero </t>
  </si>
  <si>
    <t>TOA 2022</t>
  </si>
  <si>
    <t>7,5 Hrs. Ceres $29.000 J. Mulet (7 feb)</t>
  </si>
  <si>
    <t>3,1 Hrs. Ceres $29.000 J. Mulet (8 feb)</t>
  </si>
  <si>
    <t>Aerotrust 3,6 Hrs.</t>
  </si>
  <si>
    <t>11 Hrs Ceres $29.000 J. Mulet (22 y 23 feb)</t>
  </si>
  <si>
    <t>7,1 Hrs Ceres $29.000 J. Mulet (25 feb)</t>
  </si>
  <si>
    <t>D. Gutierrez (Diferencia exceso Combustible)</t>
  </si>
  <si>
    <t>6,6 Hrs Ceres $29.000 J. Mulet (26 feb)</t>
  </si>
  <si>
    <t>Trabajo AOC Aerostratus J. Mulet</t>
  </si>
  <si>
    <t>11,4 Hrs Ceres $29.000 J. Mulet (2 mar)</t>
  </si>
  <si>
    <t>Comida Talca</t>
  </si>
  <si>
    <t>Hotel Talca</t>
  </si>
  <si>
    <t>2,6 Hrs Ceres $29.000 J. Mulet (3 mar)</t>
  </si>
  <si>
    <t>Factura 521 Aerotrust pago 1/2</t>
  </si>
  <si>
    <t>Factura 521 Aerotrust pago 2/2</t>
  </si>
  <si>
    <t xml:space="preserve">Hangar Marzo </t>
  </si>
  <si>
    <t>Factura 524 Aerotrust pago 1/2</t>
  </si>
  <si>
    <t>Factura 524 Aerotrust pago 2/2</t>
  </si>
  <si>
    <t>5,6 Hrs Ceres $29.000 J. Mulet (8 mar)</t>
  </si>
  <si>
    <t>Certificados Digitales Contador</t>
  </si>
  <si>
    <t>12 botellas Aceite Tkoff</t>
  </si>
  <si>
    <t>3,1 Hrs. Ceres $29.000 J. Mulet (10 mar)</t>
  </si>
  <si>
    <t xml:space="preserve">Pasta de pulir </t>
  </si>
  <si>
    <t xml:space="preserve">Aerotrust </t>
  </si>
  <si>
    <t xml:space="preserve">Pago Contador </t>
  </si>
  <si>
    <t>1,7 Hrs. Ceres $45.000 J. Mulet (16 mar)</t>
  </si>
  <si>
    <t>Combustible Ceres SCTL</t>
  </si>
  <si>
    <t>1,6 Hrs. Ceres $45.000 J. Mulet (17 mar)</t>
  </si>
  <si>
    <t>Hotel + Comida Talca</t>
  </si>
  <si>
    <t>6,1 Hrs. Ceres $45.000 J. Mulet (18 mar)</t>
  </si>
  <si>
    <t>Combustible SCSE</t>
  </si>
  <si>
    <t>3,1 Hrs. Ceres $29.000 J. Mulet (25 mar)</t>
  </si>
  <si>
    <t>Filtro de Aceite Tkoff</t>
  </si>
  <si>
    <t>9,8 Hrs. Ceres $29.000 J. Mulet 29 y 30 mar)</t>
  </si>
  <si>
    <t>Diferencia 9,8 Hrs. Ceres $29.000 J. Mulet (29 y 30 mar)</t>
  </si>
  <si>
    <t>6,5Hrs. Ceres $29.000 J. Mulet (28 mar)</t>
  </si>
  <si>
    <t>Trabajo AOC Aerostratus J. Mulet (STC)</t>
  </si>
  <si>
    <t xml:space="preserve">Hangar Abril </t>
  </si>
  <si>
    <t>Factura 531 Aerotrust pago 1/2</t>
  </si>
  <si>
    <t>Factura 531 Aerotrust pago 2/2</t>
  </si>
  <si>
    <t>5,6 Hrs. Ceres $29.000 J. Mulet (7 abr)</t>
  </si>
  <si>
    <t>SyP Consultores</t>
  </si>
  <si>
    <t>4,6 Hrs. Ceres $29.000 J. Mulet (12 abr)</t>
  </si>
  <si>
    <t xml:space="preserve">Factura 532 Aerotrust </t>
  </si>
  <si>
    <t>4 Hrs. Ceres $29.000 J. Mulet (28 abr) + $53.835 Airbnb</t>
  </si>
  <si>
    <t>4 Hrs. Ceres $29.000 J. Mulet (29 abr)</t>
  </si>
  <si>
    <t xml:space="preserve">Factura 537 Aerotrust </t>
  </si>
  <si>
    <t>6 Hrs. Ceres $29.000 J. Mulet (13 may)</t>
  </si>
  <si>
    <t>Combustible SCVL</t>
  </si>
  <si>
    <t xml:space="preserve">Combustible SCCV $69.400 + $20.000 viático J. Mulet </t>
  </si>
  <si>
    <t>Combustible SCTB</t>
  </si>
  <si>
    <t xml:space="preserve">Mecanico Ivan Oliva </t>
  </si>
  <si>
    <t xml:space="preserve">4,6 horas Ceres J. Mulet lunes 30 may </t>
  </si>
  <si>
    <t>1era cuota seguro 2022 (pagada 29 abr)</t>
  </si>
  <si>
    <t xml:space="preserve">Hangar Junio </t>
  </si>
  <si>
    <t xml:space="preserve">Factura 542 Aerotrust </t>
  </si>
  <si>
    <t>Combustible SCVI</t>
  </si>
  <si>
    <t>Pago Segunda Cuota Seguro AQI</t>
  </si>
  <si>
    <t xml:space="preserve">5 horas Ceres J. Mulet 17 jun </t>
  </si>
  <si>
    <t xml:space="preserve">Factura 543 Aerotrust </t>
  </si>
  <si>
    <t>Chaqueta FlyPro</t>
  </si>
  <si>
    <t>Subida Nieve (reembolsar)</t>
  </si>
  <si>
    <t>Flypro</t>
  </si>
  <si>
    <t>Sueldo Flypro</t>
  </si>
  <si>
    <t>3ra cuota Seguro</t>
  </si>
  <si>
    <t>Contador Julio</t>
  </si>
  <si>
    <t xml:space="preserve">Hangar Agosto </t>
  </si>
  <si>
    <t>S. Varas Transferencia a Mamá</t>
  </si>
  <si>
    <t xml:space="preserve">A. Corsi Reembolso Fuel </t>
  </si>
  <si>
    <t xml:space="preserve">Traslado AQI Mantto J. Mulet </t>
  </si>
  <si>
    <t>Mantto Ivan Oliva SCCV</t>
  </si>
  <si>
    <t xml:space="preserve">A. Corsi Sueldo </t>
  </si>
  <si>
    <t xml:space="preserve">Reembolso Fuel </t>
  </si>
  <si>
    <t>Se registra como una sola transferencia por el total.</t>
  </si>
  <si>
    <t xml:space="preserve">Horas Fly pro </t>
  </si>
  <si>
    <t xml:space="preserve">Error Reembolso Fuel Fly pro </t>
  </si>
  <si>
    <t>IVA F29</t>
  </si>
  <si>
    <t>Flypro Combustible LSC</t>
  </si>
  <si>
    <t xml:space="preserve">Flypro recarga bidones </t>
  </si>
  <si>
    <t xml:space="preserve">Flypro Bidón </t>
  </si>
  <si>
    <t>Reembolso Flypro</t>
  </si>
  <si>
    <t>Contador Agosto</t>
  </si>
  <si>
    <t>Contador Septiembre</t>
  </si>
  <si>
    <t>4,3 Horas J. Mulet Ceres</t>
  </si>
  <si>
    <t>Diferencia Pago J. Mulet reajuste IPC</t>
  </si>
  <si>
    <t xml:space="preserve">Hangar Octubre </t>
  </si>
  <si>
    <t xml:space="preserve">Horas Fly Pro </t>
  </si>
  <si>
    <t xml:space="preserve">Aviation Parts </t>
  </si>
  <si>
    <t xml:space="preserve">Factura Aerotrust </t>
  </si>
  <si>
    <t>Ducto Scat 16</t>
  </si>
  <si>
    <t>1,6 Horas J. Mulet Ceres</t>
  </si>
  <si>
    <t>Neumático Good Year 6.00 - 6 ply</t>
  </si>
  <si>
    <t>6,1 Horas J. Mulet Ceres</t>
  </si>
  <si>
    <t xml:space="preserve">Filtro de Aire </t>
  </si>
  <si>
    <t>Factura 6639</t>
  </si>
  <si>
    <t>5,1 Horas J. Mulet Ceres</t>
  </si>
  <si>
    <t>6,2 Horas J. Mulet Ceres</t>
  </si>
  <si>
    <t>Impuestos Oil Cooler Duct</t>
  </si>
  <si>
    <t>5 Horas Ceres J. Mulet 3 nov</t>
  </si>
  <si>
    <t>Hotel Talca 2 nov</t>
  </si>
  <si>
    <t>Uber Talca</t>
  </si>
  <si>
    <t>3,8 Horas Ceres J. Mulet 4 nov</t>
  </si>
  <si>
    <t>7,2 Horas Ceres J. Mulet 7 nov</t>
  </si>
  <si>
    <t>Aeromundo Cambio Motor</t>
  </si>
  <si>
    <t>Combustible Curacavi</t>
  </si>
  <si>
    <t>Joaco Mulet Ceres AQI</t>
  </si>
  <si>
    <t>6,8 Horas Ceres J. Mulet 15 nov</t>
  </si>
  <si>
    <t>JP. Bonilla</t>
  </si>
  <si>
    <t>JPB</t>
  </si>
  <si>
    <t>4,8 Horas Ceres J. Mulet 16 nov</t>
  </si>
  <si>
    <t>R.Mejia</t>
  </si>
  <si>
    <t>3,9 horas vuelo 18 nov 22</t>
  </si>
  <si>
    <t>M. Lobos</t>
  </si>
  <si>
    <t>ML</t>
  </si>
  <si>
    <t>6,6 hrs vuelo 22 nov</t>
  </si>
  <si>
    <t xml:space="preserve">Lavado Avión </t>
  </si>
  <si>
    <t>Bencina y Peajes</t>
  </si>
  <si>
    <t>4,7 hrs $50k hr vuelo 24 noviembre</t>
  </si>
  <si>
    <t>3,4 hrs $50K hr vuelo 25 noviembre</t>
  </si>
  <si>
    <t>3,2 horas ($65khr) Vuelo 27 noviembre 2022</t>
  </si>
  <si>
    <t>Creación de cuenta - Pago inicial cotización 33</t>
  </si>
  <si>
    <t>Aeromundo Cambio motor Último pago factura 964 CC-AQI</t>
  </si>
  <si>
    <t>Herramientas Easy + Comida 2 días Angol</t>
  </si>
  <si>
    <t>Pago hotel Insigne y hotel Angol</t>
  </si>
  <si>
    <t>Combustible AQI</t>
  </si>
  <si>
    <t>Takeoff</t>
  </si>
  <si>
    <t>SyP Auditores</t>
  </si>
  <si>
    <t>Esmax Aeroplanta CCP</t>
  </si>
  <si>
    <t xml:space="preserve">Pago cotizacion 33 Aerovimath </t>
  </si>
  <si>
    <t xml:space="preserve">2,3 horas vuelo 30 nov </t>
  </si>
  <si>
    <t xml:space="preserve">Hangar Diciembre </t>
  </si>
  <si>
    <t>Transporte</t>
  </si>
  <si>
    <t>FlyPro</t>
  </si>
  <si>
    <t xml:space="preserve">Combustible Noviembre 2021 </t>
  </si>
  <si>
    <t>4,7 Horas J. Mulet Ceres</t>
  </si>
  <si>
    <t>Horas AQI Flypro</t>
  </si>
  <si>
    <t>Facturas 575 y 576 - 1er pago</t>
  </si>
  <si>
    <t>6,6 Horas J. Mulet Ceres</t>
  </si>
  <si>
    <t>6,3 Horas J. Mulet Ceres</t>
  </si>
  <si>
    <t xml:space="preserve">Hotel y Comida Talca </t>
  </si>
  <si>
    <t>9,4 Horas J. Mulet Ceres</t>
  </si>
  <si>
    <t>Facturas 580 y 576 - 2do pago</t>
  </si>
  <si>
    <t>Facturas 580 y 576 - 3er pago</t>
  </si>
  <si>
    <t>11,6 Horas J. Mulet Ceres</t>
  </si>
  <si>
    <t>5,4 Horas J. Mulet Ceres</t>
  </si>
  <si>
    <t>Facturas 580 y 576 - 4to y último pago</t>
  </si>
  <si>
    <t>5,5 Horas J. Mulet Ceres</t>
  </si>
  <si>
    <t>3,8 Horas J. Mulet Ceres</t>
  </si>
  <si>
    <t>7,8 Horas J. Mulet Ceres</t>
  </si>
  <si>
    <t>1er pago factura 584</t>
  </si>
  <si>
    <t>3,7 Horas J. Mulet Ceres</t>
  </si>
  <si>
    <t>2do y Pago total factura 584</t>
  </si>
  <si>
    <t>FlyPro Bono</t>
  </si>
  <si>
    <t>1er Pago factura 585</t>
  </si>
  <si>
    <t>2do Pago y totalidad de factura 585</t>
  </si>
  <si>
    <t>6,9 Horas J. Mulet Ceres</t>
  </si>
  <si>
    <t>FlyPro horas diciembre</t>
  </si>
  <si>
    <t>4,9 Horas J. Mulet Ceres</t>
  </si>
  <si>
    <t>Transferencia Mamá</t>
  </si>
  <si>
    <t>5,8 Horas J. Mulet Ceres</t>
  </si>
  <si>
    <t>1er Pago factura 588</t>
  </si>
  <si>
    <t>4,8 Horas J. Mulet Ceres</t>
  </si>
  <si>
    <t>E. Aguilera</t>
  </si>
  <si>
    <t>EA</t>
  </si>
  <si>
    <t>Tipo de cambio</t>
  </si>
  <si>
    <t>Dólares</t>
  </si>
  <si>
    <t>Sacado</t>
  </si>
  <si>
    <t>Piloto</t>
  </si>
  <si>
    <t>Otro</t>
  </si>
  <si>
    <t>Total</t>
  </si>
  <si>
    <t>2do Pago factura 588</t>
  </si>
  <si>
    <t>8,2 Horas J. Mulet Ceres</t>
  </si>
  <si>
    <t>4,4 Horas J. Mulet Ceres</t>
  </si>
  <si>
    <t>V. Beoriza</t>
  </si>
  <si>
    <t>VB</t>
  </si>
  <si>
    <t xml:space="preserve">Lideravia Aceite + Filtro Aceite + Filtro de Aire </t>
  </si>
  <si>
    <t xml:space="preserve">Reembolso Revision Meeker + Pernos + Montante Ipad </t>
  </si>
  <si>
    <t>3er Pago Factura 588</t>
  </si>
  <si>
    <t>6,4 Horas J. Mulet Ceres</t>
  </si>
  <si>
    <t>4to Pago Factura 588</t>
  </si>
  <si>
    <t xml:space="preserve">5,2 Horas J. Mulet </t>
  </si>
  <si>
    <t>Caja de Audio GMA340</t>
  </si>
  <si>
    <t>Combustible SCIE</t>
  </si>
  <si>
    <t>1er Pago factura 589</t>
  </si>
  <si>
    <t>Reembolso restaurant mamá</t>
  </si>
  <si>
    <t>2do Pago factura 589</t>
  </si>
  <si>
    <t>Reembolso Hotel Casino Talca 16 ene 2023</t>
  </si>
  <si>
    <t>Uber + Comida Talca</t>
  </si>
  <si>
    <t>7,6 horas 16 enero 2023 ($250800-$88975=$161.825)</t>
  </si>
  <si>
    <t>4,8 horas 17 ene 2023 ($158400-$56195=$102.205)</t>
  </si>
  <si>
    <t>4,7 hrs 17 ene 2023 ($155100-$55024=$100.076)</t>
  </si>
  <si>
    <t>3,7 hrs 19 ene 2023 ($122.100-$43.317= $78.783)</t>
  </si>
  <si>
    <t>3er &amp; último pago factura 589</t>
  </si>
  <si>
    <t>6,7 hrs 230123 ($221.100-$78.439=$142.661)</t>
  </si>
  <si>
    <t>1er Pago factura 59</t>
  </si>
  <si>
    <t>D. Barraza</t>
  </si>
  <si>
    <t>DB</t>
  </si>
  <si>
    <t>5 hrs vuelo 240123 ($165.000-$58.536=$106.464)</t>
  </si>
  <si>
    <t>5 hrs vuelo 250123 ($168.300-$59.707=$108.593)</t>
  </si>
  <si>
    <t>2do pago Factura 598</t>
  </si>
  <si>
    <t>TOA 2023</t>
  </si>
  <si>
    <t>Ceres Mulet</t>
  </si>
  <si>
    <t>3er pago Factura 598</t>
  </si>
  <si>
    <t>1er Pago factura 599</t>
  </si>
  <si>
    <t>81 litros CC-AQI</t>
  </si>
  <si>
    <t>Pago final factura 599</t>
  </si>
  <si>
    <t>Mulet</t>
  </si>
  <si>
    <t>1er Pago factura 601</t>
  </si>
  <si>
    <t>Ceres - Devolución pago tarjeta credito</t>
  </si>
  <si>
    <t>50% ForeFlight</t>
  </si>
  <si>
    <t xml:space="preserve">Mulet </t>
  </si>
  <si>
    <t>2do Pago factura 601</t>
  </si>
  <si>
    <t xml:space="preserve">Transferencia mamá </t>
  </si>
  <si>
    <t xml:space="preserve">C. Piraino </t>
  </si>
  <si>
    <t xml:space="preserve">Transferencia papá </t>
  </si>
  <si>
    <t xml:space="preserve">R. Mejía </t>
  </si>
  <si>
    <t>Aporte Capital</t>
  </si>
  <si>
    <t xml:space="preserve">Ceres </t>
  </si>
  <si>
    <t>La mitad se transfiere a Aerostratus</t>
  </si>
  <si>
    <t>Retiro</t>
  </si>
  <si>
    <t xml:space="preserve">Préstamo 5 millones Aerostratus </t>
  </si>
  <si>
    <t>Hotel Osorno</t>
  </si>
  <si>
    <t xml:space="preserve">Pernos Cámara </t>
  </si>
  <si>
    <t>Deposito a plazo</t>
  </si>
  <si>
    <t>G. Caragol</t>
  </si>
  <si>
    <t>GC</t>
  </si>
  <si>
    <t>4,4 hrs vuelo 24-02-23</t>
  </si>
  <si>
    <t>57,7 litros AQI</t>
  </si>
  <si>
    <t>2,8 horas 28-02-23</t>
  </si>
  <si>
    <t>5,2 horas 23-02-28</t>
  </si>
  <si>
    <t>Hangar AQI Marzo 2023</t>
  </si>
  <si>
    <t>V. Bascuñan</t>
  </si>
  <si>
    <t>VBA</t>
  </si>
  <si>
    <t>Cobro DAP</t>
  </si>
  <si>
    <t>Toma DAP</t>
  </si>
  <si>
    <t>84 litros AQI</t>
  </si>
  <si>
    <t>8 horas 03-03-23</t>
  </si>
  <si>
    <t>2,4 horas 07-03-23</t>
  </si>
  <si>
    <t>45 litros AQI</t>
  </si>
  <si>
    <t>1er pago factura 612</t>
  </si>
  <si>
    <t>2do pago factura 612</t>
  </si>
  <si>
    <t>1er pago factura 613</t>
  </si>
  <si>
    <t>3er y último pago factura 612</t>
  </si>
  <si>
    <t>7,2 horas 10-03-23</t>
  </si>
  <si>
    <t>40 litros AQI</t>
  </si>
  <si>
    <t>2do pago factura 613</t>
  </si>
  <si>
    <t>5,4 horas 14-03-23</t>
  </si>
  <si>
    <t>5,2 horas 15-03-23</t>
  </si>
  <si>
    <t>3er y último pago factura 613</t>
  </si>
  <si>
    <t>4,5 horas 17-03-23</t>
  </si>
  <si>
    <t>6,6 horas 21-03-23</t>
  </si>
  <si>
    <t>1er pago factura 614</t>
  </si>
  <si>
    <t>5,1 horas 23-03-23</t>
  </si>
  <si>
    <t>2do y último pago factura 614</t>
  </si>
  <si>
    <t>74,2 litros avgas SCCV</t>
  </si>
  <si>
    <t>2 horas instrucción J. Mulet</t>
  </si>
  <si>
    <t>I. Cortez</t>
  </si>
  <si>
    <t>IC</t>
  </si>
  <si>
    <t>2.6 horas 30-03-23</t>
  </si>
  <si>
    <t>Hangar AQI Abril 2023</t>
  </si>
  <si>
    <t>6,2 horas 31-03-23</t>
  </si>
  <si>
    <t>1er pago factura 593</t>
  </si>
  <si>
    <t>75,4 litros AQI</t>
  </si>
  <si>
    <t>2do y último pago factura 593</t>
  </si>
  <si>
    <t>1er pago factura 615</t>
  </si>
  <si>
    <t>2do pago factura 615</t>
  </si>
  <si>
    <t>3 horas 06-04-23</t>
  </si>
  <si>
    <t>7 horas 07-04-23</t>
  </si>
  <si>
    <t>3er y último pago factura 615</t>
  </si>
  <si>
    <t>Trabajo administrativo CERES - España</t>
  </si>
  <si>
    <t>86 lts AQI</t>
  </si>
  <si>
    <t>JP. Arancibia</t>
  </si>
  <si>
    <t>N. Rivas</t>
  </si>
  <si>
    <t>NR</t>
  </si>
  <si>
    <t>3,7 hrs 17-04-23</t>
  </si>
  <si>
    <t>4,5 hrs 18-04-23</t>
  </si>
  <si>
    <t>6 hrs 19-04-23</t>
  </si>
  <si>
    <t>1er pago factura 616</t>
  </si>
  <si>
    <t>2do y último pago factura 616</t>
  </si>
  <si>
    <t>Pago inicial revisión documentos AQI</t>
  </si>
  <si>
    <t>82 lts avgas AQI</t>
  </si>
  <si>
    <t>53 lts avgas AQI</t>
  </si>
  <si>
    <t>R. Barraza</t>
  </si>
  <si>
    <t>RB</t>
  </si>
  <si>
    <t>Lideravia - Repuestos Aeronave CC-AQI</t>
  </si>
  <si>
    <t xml:space="preserve">Hangar Mayo - Giro Cajero </t>
  </si>
  <si>
    <t>Vuelo AQI 12-mayo 0,7 hrs</t>
  </si>
  <si>
    <t xml:space="preserve">VB </t>
  </si>
  <si>
    <t>Reembolso Flypro - Excedente Hangar</t>
  </si>
  <si>
    <t>Reembolso Flypro - Vuelo Solo</t>
  </si>
  <si>
    <t>Ceres - Seguro de viaje</t>
  </si>
  <si>
    <t>1er Pago Factura 627 Stratus</t>
  </si>
  <si>
    <t>Lavado AQI</t>
  </si>
  <si>
    <t>Arreglo Shimmy CC-AQI</t>
  </si>
  <si>
    <t>47,7 litros AQI</t>
  </si>
  <si>
    <t>Ceres - Pasaje Valencia - Lisboa</t>
  </si>
  <si>
    <t>2do y último pago factura 627</t>
  </si>
  <si>
    <t>71 lts AQI</t>
  </si>
  <si>
    <t>Segunda parte de Primer pago Pedro Gotelli trabajos AQI</t>
  </si>
  <si>
    <t>Stratus SPA</t>
  </si>
  <si>
    <t>Pago Total Factura 628 Stratus</t>
  </si>
  <si>
    <t>AIRC Trabajos AQI</t>
  </si>
  <si>
    <t>67 lts AQI</t>
  </si>
  <si>
    <t>N. Espinoza</t>
  </si>
  <si>
    <t>NES</t>
  </si>
  <si>
    <t>70 litros avgas SCCV</t>
  </si>
  <si>
    <t>M. Lucero</t>
  </si>
  <si>
    <t>MLU</t>
  </si>
  <si>
    <t>F. Caceres</t>
  </si>
  <si>
    <t>FC</t>
  </si>
  <si>
    <t>J. Arnello</t>
  </si>
  <si>
    <t>JA</t>
  </si>
  <si>
    <t>N. Salazar</t>
  </si>
  <si>
    <t>Arreglo Trim AQI Oliva</t>
  </si>
  <si>
    <t>M. Candia</t>
  </si>
  <si>
    <t>MCA</t>
  </si>
  <si>
    <t>Repuestos Lideravia - neumático, aceite filtro aire y aceite</t>
  </si>
  <si>
    <t>Matias Villagra</t>
  </si>
  <si>
    <t>MA</t>
  </si>
  <si>
    <t>Hotel Chillán</t>
  </si>
  <si>
    <t>B. Jofre</t>
  </si>
  <si>
    <t>BJ</t>
  </si>
  <si>
    <t>Revisión 50 Hrs Oliva</t>
  </si>
  <si>
    <t>R. Mejía</t>
  </si>
  <si>
    <t>16,8 litros AQI - Reembolso J. Pizarro</t>
  </si>
  <si>
    <t>Funda cobertora CCAQI CESSNA 172</t>
  </si>
  <si>
    <t>A. Aguilera</t>
  </si>
  <si>
    <t>Go Detailing</t>
  </si>
  <si>
    <t xml:space="preserve">C. Valencia </t>
  </si>
  <si>
    <t>C. Fonfach</t>
  </si>
  <si>
    <t>CF</t>
  </si>
  <si>
    <t>DAP</t>
  </si>
  <si>
    <t>McFarlane shimmy damper and torque link</t>
  </si>
  <si>
    <t>S. Martins</t>
  </si>
  <si>
    <t>SM</t>
  </si>
  <si>
    <t>Prestamos Stratus SPA</t>
  </si>
  <si>
    <t>Reembolsado</t>
  </si>
  <si>
    <t>R. Fuentes</t>
  </si>
  <si>
    <t>RF</t>
  </si>
  <si>
    <t>Repuestos AQI revisión de 100 - 9 aceites y filtros</t>
  </si>
  <si>
    <t>Vuelo traslado AQI SCCV-SCTB</t>
  </si>
  <si>
    <t>2 neumáticos menos diferencia de filtros</t>
  </si>
  <si>
    <t>Felpa rodamiento tren principal AQI</t>
  </si>
  <si>
    <t>Rendiciones Stratus</t>
  </si>
  <si>
    <t>Traslado AQI mas rembolso combustible</t>
  </si>
  <si>
    <t>Pagos pendientes Stratus</t>
  </si>
  <si>
    <t>Hangar AQI Diciembre 2023 y Enero 2024</t>
  </si>
  <si>
    <t>D. Yanine</t>
  </si>
  <si>
    <t>DY</t>
  </si>
  <si>
    <t>Patente Municipal 1-2024</t>
  </si>
  <si>
    <t>C. Valenzuela</t>
  </si>
  <si>
    <t>CVA</t>
  </si>
  <si>
    <t>Revisión 100 Hrs Aeromundo</t>
  </si>
  <si>
    <t>R. Galvez</t>
  </si>
  <si>
    <t>RG</t>
  </si>
  <si>
    <t>Hangar Febrero 2024</t>
  </si>
  <si>
    <t>TOA 2024</t>
  </si>
  <si>
    <t>Arreglo Oliva PTT</t>
  </si>
  <si>
    <t>SCCV - 93 litros avgas CC-AQI</t>
  </si>
  <si>
    <t>DGAC - Nota de débito electrónica 43679- Stratus</t>
  </si>
  <si>
    <t>Stratus - Devolución Préstamos cuenta CCAQI</t>
  </si>
  <si>
    <t>SCCV - 83,6 litros avgas CC-AQI</t>
  </si>
  <si>
    <t>SCCV - 41.7 litros avgas CC-AQI</t>
  </si>
  <si>
    <t>Hangar AQI Marzo 2024</t>
  </si>
  <si>
    <t>Flypro hangar devolucion</t>
  </si>
  <si>
    <t>M. Herrada</t>
  </si>
  <si>
    <t>MH</t>
  </si>
  <si>
    <t>1er pago Hangar Marzo 2024 AQI</t>
  </si>
  <si>
    <t>Devolucion - 1er pago Hangar AQI - Marzo</t>
  </si>
  <si>
    <t>SCCV - 113.2 litros avgas CC-AQI</t>
  </si>
  <si>
    <t>Filtro aceite, motor y 10 W100 plus</t>
  </si>
  <si>
    <t>1er pago Hangar AQI - Marzo</t>
  </si>
  <si>
    <t>2do pago Hangar AQI Marzo y Abril 2024</t>
  </si>
  <si>
    <t>Pago Tarjeta Credito por Error</t>
  </si>
  <si>
    <t>Devolución - Pago Tarjeta Credito por Error</t>
  </si>
  <si>
    <t>Lavado CC-AQI</t>
  </si>
  <si>
    <t>Trabajos CC-AQI #128 DAN43 y reemplazo Bateria GPS</t>
  </si>
  <si>
    <t>Rescate DAP</t>
  </si>
  <si>
    <t>Cuenta Ahorro BCI</t>
  </si>
  <si>
    <t>SCCV - 83.8 litros avgas CC-AQI</t>
  </si>
  <si>
    <t>Traspaso a cta. Cte</t>
  </si>
  <si>
    <t>Devolucion cta. Cte</t>
  </si>
  <si>
    <t>SCCV - 70 litros avgas CC-AQI</t>
  </si>
  <si>
    <t>M. Villagra</t>
  </si>
  <si>
    <t>Hangar AQI Mayo 2024</t>
  </si>
  <si>
    <t>SCCV - 67.7 litros avgas CC-AQI</t>
  </si>
  <si>
    <t>SCCV - 53 litros avgas CC-AQI</t>
  </si>
  <si>
    <t>1era cuota seguro Stratus CC-AQI</t>
  </si>
  <si>
    <t>Hangar AQI junio 2024</t>
  </si>
  <si>
    <t>Batería ELT</t>
  </si>
  <si>
    <t>Lavado y aspirado AQI</t>
  </si>
  <si>
    <t xml:space="preserve">Flypro </t>
  </si>
  <si>
    <t>SCCV - 84 litros avgas CC-AQI</t>
  </si>
  <si>
    <t>Préstamo Papás</t>
  </si>
  <si>
    <t>AIRC - Prueba de Equipo y cambio de batería ELT</t>
  </si>
  <si>
    <t>G. Garlaschi</t>
  </si>
  <si>
    <t>GG</t>
  </si>
  <si>
    <t>2da cuota seguro Stratus CC-AQI</t>
  </si>
  <si>
    <t>SCCV - 41 litros avgas CC-AQI</t>
  </si>
  <si>
    <t>Batería AIRC</t>
  </si>
  <si>
    <t>SCCV - 63 litros avgas CC-AQI</t>
  </si>
  <si>
    <t>SCCV - 82 litros avgas CC-AQI</t>
  </si>
  <si>
    <t>Trabajos Batería Ivan Oliva</t>
  </si>
  <si>
    <t>E. Sanino</t>
  </si>
  <si>
    <t>ES</t>
  </si>
  <si>
    <t>SCCV - 67,1 litros avgas CC-AQI</t>
  </si>
  <si>
    <t>S. Espinoza</t>
  </si>
  <si>
    <t>SE</t>
  </si>
  <si>
    <t>Hangar AQI Julio 2024</t>
  </si>
  <si>
    <t>SCCV - 106,2 litros avgas CC-AQI</t>
  </si>
  <si>
    <t>Regalo media hora M. Camposano</t>
  </si>
  <si>
    <t xml:space="preserve">J. Llorente Avion </t>
  </si>
  <si>
    <t>JL</t>
  </si>
  <si>
    <t>P. del valle instrucción a Llorente</t>
  </si>
  <si>
    <t>SCCV - 79 litros avgas CC-AQI</t>
  </si>
  <si>
    <t>SCCV - 74 litros avgas CC-AQI</t>
  </si>
  <si>
    <t>M. Gonzalez</t>
  </si>
  <si>
    <t>MG</t>
  </si>
  <si>
    <t>3ra cuota seguro Stratus CC-AQI</t>
  </si>
  <si>
    <t>SCCV - 81 litros avgas CC-AQI</t>
  </si>
  <si>
    <t>Limpieza Hangar - Gabriel</t>
  </si>
  <si>
    <t>SCCV - 65,9 litros avgas CC-AQI</t>
  </si>
  <si>
    <t>V. Ortiz</t>
  </si>
  <si>
    <t>VO</t>
  </si>
  <si>
    <t>Hangar AQI Agosto 2024</t>
  </si>
  <si>
    <t>Diferencia Hangar Julio 2024</t>
  </si>
  <si>
    <t>Lideravia - 10 aeroshell w100 plus , filtro de aceite y filtro de aire</t>
  </si>
  <si>
    <t>Jorge Leiva - Fuente Poder Strobe Light</t>
  </si>
  <si>
    <t>SCCV - 75,2 litros avgas CC-AQI</t>
  </si>
  <si>
    <t>J. Llorente</t>
  </si>
  <si>
    <t>Hangar Septiembre</t>
  </si>
  <si>
    <t>SCCV -  litros avgas CC-AQI</t>
  </si>
  <si>
    <t>T. Gonzalez</t>
  </si>
  <si>
    <t>TG</t>
  </si>
  <si>
    <t>Aeromundo Rev. 100 horas 1er pago</t>
  </si>
  <si>
    <t>S. Aranguiz</t>
  </si>
  <si>
    <t>SA</t>
  </si>
  <si>
    <t>F. Lizana</t>
  </si>
  <si>
    <t>FL</t>
  </si>
  <si>
    <t>Aeromundo Rev. 100 horas 2do pago</t>
  </si>
  <si>
    <t>Gabriel - Movimiento de aviones hangar</t>
  </si>
  <si>
    <t>Traspaso desde Cta. Cte. BCI</t>
  </si>
  <si>
    <t>Aeromundo Rev. 100 horas 3er pago</t>
  </si>
  <si>
    <t>JP. Plaza</t>
  </si>
  <si>
    <t>JPL</t>
  </si>
  <si>
    <t>9 W100 plus + 1 Filtro Aceite  ($56.000 + IVA)</t>
  </si>
  <si>
    <t>Hangar AQI Noviembre 2024</t>
  </si>
  <si>
    <t>P. Gutierrez</t>
  </si>
  <si>
    <t>PG</t>
  </si>
  <si>
    <t>M. Montero</t>
  </si>
  <si>
    <t>MM</t>
  </si>
  <si>
    <t>SCCV -  42,7 litros avgas CC-AQI</t>
  </si>
  <si>
    <t>S. Navarro</t>
  </si>
  <si>
    <t>SN</t>
  </si>
  <si>
    <t>SCCV -  74,2 litros avgas CC-AQI</t>
  </si>
  <si>
    <t>Arreglo Asiento Ivan Oilva</t>
  </si>
  <si>
    <t>C. Moreno</t>
  </si>
  <si>
    <t>CM</t>
  </si>
  <si>
    <t>81 litros avgas CC-AQI</t>
  </si>
  <si>
    <t>50 litros avgas CC-AQI</t>
  </si>
  <si>
    <t>52,6 litros avgas CC-AQI</t>
  </si>
  <si>
    <t>72,1 litros avgas CC-AQI</t>
  </si>
  <si>
    <t>Hangar AQI Diciembre 2024</t>
  </si>
  <si>
    <t>78 litros avgas CC-AQI</t>
  </si>
  <si>
    <t>46 litros avgas CC-AQI</t>
  </si>
  <si>
    <t>error</t>
  </si>
  <si>
    <t>litros avgas CC-AQI</t>
  </si>
  <si>
    <t>Pago Erroneo Flypro</t>
  </si>
  <si>
    <t>Hangar AQI Enero 2025</t>
  </si>
  <si>
    <t>D. Calderón</t>
  </si>
  <si>
    <t>DC</t>
  </si>
  <si>
    <t>Ahorro Fintual</t>
  </si>
  <si>
    <t>78,3 litros avgas CC-AQI</t>
  </si>
  <si>
    <t>Provisión Overhaul Fintual</t>
  </si>
  <si>
    <t>TOA 2025</t>
  </si>
  <si>
    <t xml:space="preserve">	Lideravia - 9 x W100 plus más filtros aire y aceite</t>
  </si>
  <si>
    <t>Lideravia - 2 Balatas 8 remaches</t>
  </si>
  <si>
    <t>Cobro Iluminación SCIE</t>
  </si>
  <si>
    <t>Antenas Estáticas - Jorge Leiva</t>
  </si>
  <si>
    <t>Lavado AQI e instalación de antenas Estáticas</t>
  </si>
  <si>
    <t>87 litros avgas CC-AQI</t>
  </si>
  <si>
    <t xml:space="preserve">Escape y Silenciador - Muffler </t>
  </si>
  <si>
    <t>Lideravia - 1 Neumático y 2 cámaras</t>
  </si>
  <si>
    <t>Trabajos cambio de neumático y rescate avion en pista - Iván Oliva</t>
  </si>
  <si>
    <t>86,5 litros avgas CC-AQI</t>
  </si>
  <si>
    <t>52 litros avgas CC-AQI</t>
  </si>
  <si>
    <t>Hangar AQI febrero 2025</t>
  </si>
  <si>
    <t>Pago A. Castro por vuelo M. Candia (fue una sola xferencia por 500.000)</t>
  </si>
  <si>
    <t>Reembolso Neumático A. Castro (fue una sola xferencia por 500.000)</t>
  </si>
  <si>
    <t>Rev. 100 Hrs Aeromundo</t>
  </si>
  <si>
    <t>89 litros avgas CC-AQI</t>
  </si>
  <si>
    <t>76,8 litros avgas CC-AQI</t>
  </si>
  <si>
    <t>Reembolso Neumático A. Castro</t>
  </si>
  <si>
    <t>M. Ortúzar</t>
  </si>
  <si>
    <t>MO</t>
  </si>
  <si>
    <t>77 litros avgas CC-AQI</t>
  </si>
  <si>
    <t>64,7 litros avgas CC-AQI</t>
  </si>
  <si>
    <t>60 litros avgas CC-AQI</t>
  </si>
  <si>
    <t>Hangar AQI marzo 2025</t>
  </si>
  <si>
    <t>39 litros avgas CC-AQI</t>
  </si>
  <si>
    <t>84,5 litros avgas CC-AQI</t>
  </si>
  <si>
    <t>Reserva Fintual</t>
  </si>
  <si>
    <t>63,9 litros avgas CC-AQI</t>
  </si>
  <si>
    <t>40,3 litros avgas CC-AQI</t>
  </si>
  <si>
    <t>64 litros avgas CC-AQI</t>
  </si>
  <si>
    <t>61,8 litros avgas CC-AQI</t>
  </si>
  <si>
    <t>Reserva Avión Fintual</t>
  </si>
  <si>
    <t>97 litros avgas CC-AQI</t>
  </si>
  <si>
    <t>F. Mimica</t>
  </si>
  <si>
    <t>FM</t>
  </si>
  <si>
    <t>Hangar AQI abril 2025</t>
  </si>
  <si>
    <t xml:space="preserve">Aircraft Spruce-8 bujías, filtro aceite, filtro aire, 2botellas w100 plus, 1 nav light. </t>
  </si>
  <si>
    <t>Traspaso Internet a Línea Crédito</t>
  </si>
  <si>
    <t>Aseo Miriam Marzo (Devolver)</t>
  </si>
  <si>
    <t>J. Mulet - Piloto de seguridad vuelo J. Llorente 040425</t>
  </si>
  <si>
    <t>6 unidades de Aeroshell W100 Plus</t>
  </si>
  <si>
    <t>4 Empaquetaduras Escape - Jorge Leiva</t>
  </si>
  <si>
    <t>Lavado AQI - Jorge Leiva</t>
  </si>
  <si>
    <t>61,6 litros avgas CC-AQI</t>
  </si>
  <si>
    <t>D. Lewin</t>
  </si>
  <si>
    <t>DL</t>
  </si>
  <si>
    <t>73,2 litros avgas CC-AQI</t>
  </si>
  <si>
    <t>Reserva avión Fintual</t>
  </si>
  <si>
    <t>Overhaul Motor Fintual</t>
  </si>
  <si>
    <t>90 litros avgas CC-AQI</t>
  </si>
  <si>
    <t>80 litros avgas CC-AQI</t>
  </si>
  <si>
    <t>65 litros avgas CC-AQI</t>
  </si>
  <si>
    <t>30,7 litros avgas CC-AQI</t>
  </si>
  <si>
    <t>Hangar AQI mayo 2025</t>
  </si>
  <si>
    <t>MV</t>
  </si>
  <si>
    <t>43,3 litros avgas CC-AQI</t>
  </si>
  <si>
    <t>TGCO</t>
  </si>
  <si>
    <t>33 litros avgas CC-AQI</t>
  </si>
  <si>
    <t>66 litros avgas CC-AQI</t>
  </si>
  <si>
    <t>C. Ross</t>
  </si>
  <si>
    <t>CRO</t>
  </si>
  <si>
    <t>42 litros avgas CC-AQI</t>
  </si>
  <si>
    <t>A. Pietra</t>
  </si>
  <si>
    <t>AP</t>
  </si>
  <si>
    <t>P. Silva</t>
  </si>
  <si>
    <t>PS</t>
  </si>
  <si>
    <t>Compra Repuestos J. Leiva - 2 Stroblights + 1 Starter</t>
  </si>
  <si>
    <t>Mantenimiento Iván Oliva</t>
  </si>
  <si>
    <t xml:space="preserve">Transferencia a Stratus SPA </t>
  </si>
  <si>
    <t xml:space="preserve">Fintual </t>
  </si>
  <si>
    <t>Trabajos Hangar Gabriel Romero</t>
  </si>
  <si>
    <t>N. León</t>
  </si>
  <si>
    <t>NL</t>
  </si>
  <si>
    <t>29 litros avgas CC-AQI</t>
  </si>
  <si>
    <t>M. Osses</t>
  </si>
  <si>
    <t>MOS</t>
  </si>
  <si>
    <t>S. Casas</t>
  </si>
  <si>
    <t>SC</t>
  </si>
  <si>
    <t xml:space="preserve">Egreso Compra divisas - Pago seguro avión </t>
  </si>
  <si>
    <t>J. Leiva compra lineas Fuel primer</t>
  </si>
  <si>
    <t>58 litros avgas CC-AQI SCCV</t>
  </si>
  <si>
    <t>32 litros avgas CC-AQI</t>
  </si>
  <si>
    <t>18,5 litros avgas CC-AQI</t>
  </si>
  <si>
    <t>F. Encina</t>
  </si>
  <si>
    <t>FE</t>
  </si>
  <si>
    <t>51 litros avgas CC-AQI</t>
  </si>
  <si>
    <t>B. Ramírez</t>
  </si>
  <si>
    <t>BR</t>
  </si>
  <si>
    <t>Diferencia de Impuesto al lujo menos devolución de impuestos</t>
  </si>
  <si>
    <t>Aircraft Spruce order 17389664 - Kit broches capota y accesorios varios</t>
  </si>
  <si>
    <t>Pago Contador S&amp;P año 2023 completo</t>
  </si>
  <si>
    <t>I. Cifuentes</t>
  </si>
  <si>
    <t>ICI</t>
  </si>
  <si>
    <t>Lideravia - 6 botellas de aeroshell W100 plus</t>
  </si>
  <si>
    <t>Lideravia - 27 pulgadas de ducto 3 pulgadas diámetro</t>
  </si>
  <si>
    <t>AIRC - Pruebas ELT y Transponder</t>
  </si>
  <si>
    <t>Lavado AQI - Hector Tapia</t>
  </si>
  <si>
    <t>71 litros avgas CC-AQI - SCTB</t>
  </si>
  <si>
    <t>58,8 litros avgas CC-AQI</t>
  </si>
  <si>
    <t>Patente Municipal 1-2025</t>
  </si>
  <si>
    <t>Avinel - Revisión 500 horas alternador AQI</t>
  </si>
  <si>
    <t>Trabajos Gabriel Romero</t>
  </si>
  <si>
    <t>JC. Donoso</t>
  </si>
  <si>
    <t>JCD</t>
  </si>
  <si>
    <t>38 litros avgas CC-AQI</t>
  </si>
  <si>
    <t>Instalación agua hangar</t>
  </si>
  <si>
    <t>74,1 litros avgas CC-AQI</t>
  </si>
  <si>
    <t>M. Sougarret</t>
  </si>
  <si>
    <t>MS</t>
  </si>
  <si>
    <t>E. Danke</t>
  </si>
  <si>
    <t>ED</t>
  </si>
  <si>
    <t>Frigobar, Microondas, 2do Router Starlink, Escalera</t>
  </si>
  <si>
    <t xml:space="preserve">	91 litros avgas CCAQI</t>
  </si>
  <si>
    <t>Instalación Antenas Hangar</t>
  </si>
  <si>
    <t>75,7 litros avgas SCCV</t>
  </si>
  <si>
    <t xml:space="preserve"> 86,8 litros avgas SCLI</t>
  </si>
  <si>
    <t>33,3 litros avgas SCCV</t>
  </si>
  <si>
    <t>G. Romero Trabajos Riego Automatico</t>
  </si>
  <si>
    <t>38,5 litros avgas SCCV</t>
  </si>
  <si>
    <t>87 litros avgas SCCV</t>
  </si>
  <si>
    <t xml:space="preserve">Aspiradora Robot Xiaomi Hangar </t>
  </si>
  <si>
    <t>Lideravia - 8 x w100plus + 1 filtro de aceite ch481101</t>
  </si>
  <si>
    <t>68 litros avgas CCAQI</t>
  </si>
  <si>
    <t>D. Villalón</t>
  </si>
  <si>
    <t>DV</t>
  </si>
  <si>
    <t>64,5 litros avgas CCAQI</t>
  </si>
  <si>
    <t>43,4 litros avgas CCAQI</t>
  </si>
  <si>
    <t xml:space="preserve">	10,4 litros avgas CCAQI</t>
  </si>
  <si>
    <t>T. Gonzalez Colombara</t>
  </si>
  <si>
    <t>Compras Sodimac Hangar - cortadora de pasto - ventilador - tubo aluminio para antena club aéreo - sellos de goma - palmeta pasto (20 unidades)- enchufe wifi</t>
  </si>
  <si>
    <t>AIRC - Arreglo Horómetro</t>
  </si>
  <si>
    <t>97 litros avgas CCAQI</t>
  </si>
  <si>
    <t xml:space="preserve">	78 litros avgas CCAQI</t>
  </si>
  <si>
    <t>F. Acosta</t>
  </si>
  <si>
    <t>FA</t>
  </si>
  <si>
    <t>70,2 litros avgas CCAQI</t>
  </si>
  <si>
    <t>34,6 litros avgas CCAQI</t>
  </si>
  <si>
    <t>Eial Alalachvily</t>
  </si>
  <si>
    <t>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</si>
</sst>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164" formatCode="&quot;$&quot;#,##0"/>
    <numFmt numFmtId="165" formatCode="[$-409]d\-mmm\-yy;@"/>
    <numFmt numFmtId="166" formatCode="&quot;$&quot;#,##0.00"/>
    <numFmt numFmtId="167" formatCode="0.0"/>
    <numFmt numFmtId="168" formatCode="&quot;$&quot;#,##0.0;[Red]\-&quot;$&quot;#,##0.0"/>
    <numFmt numFmtId="169" formatCode="[$$]#,##0" x16r2:formatCode16="[$$-en-CL]#,##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333333"/>
      <name val="Tahoma"/>
      <family val="2"/>
    </font>
    <font>
      <b/>
      <sz val="12"/>
      <color rgb="FFC00000"/>
      <name val="Tahoma"/>
      <family val="2"/>
    </font>
    <font>
      <b/>
      <sz val="12"/>
      <color theme="9" tint="-0.499984740745262"/>
      <name val="Tahoma"/>
      <family val="2"/>
    </font>
    <font>
      <sz val="12"/>
      <color theme="1"/>
      <name val="Tahoma"/>
      <family val="2"/>
    </font>
    <font>
      <b/>
      <sz val="10"/>
      <color rgb="FFC00000"/>
      <name val="Arial"/>
      <family val="2"/>
    </font>
    <font>
      <sz val="10"/>
      <color theme="1"/>
      <name val="Arial"/>
      <family val="2"/>
    </font>
    <font>
      <sz val="11"/>
      <color rgb="FF706F6F"/>
      <name val="Helvetica Neue"/>
      <family val="2"/>
    </font>
    <font>
      <sz val="12"/>
      <color rgb="FF000000"/>
      <name val="Tahoma"/>
      <family val="2"/>
    </font>
    <font>
      <sz val="8"/>
      <color theme="1"/>
      <name val="Aptos Narrow"/>
      <family val="2"/>
      <scheme val="minor"/>
    </font>
    <font>
      <b/>
      <sz val="12"/>
      <color theme="1"/>
      <name val="Tahoma"/>
      <family val="2"/>
    </font>
    <font>
      <b/>
      <sz val="12"/>
      <color rgb="FFC00000"/>
      <name val="Aptos Narrow"/>
      <family val="2"/>
      <scheme val="minor"/>
    </font>
    <font>
      <b/>
      <sz val="10"/>
      <color theme="9" tint="-0.499984740745262"/>
      <name val="Arial"/>
      <family val="2"/>
    </font>
    <font>
      <b/>
      <sz val="12"/>
      <color theme="9" tint="-0.499984740745262"/>
      <name val="Aptos Narrow"/>
      <family val="2"/>
      <scheme val="minor"/>
    </font>
    <font>
      <sz val="10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6" fillId="0" borderId="0" xfId="0" applyFont="1"/>
    <xf numFmtId="165" fontId="3" fillId="0" borderId="0" xfId="0" applyNumberFormat="1" applyFont="1"/>
    <xf numFmtId="164" fontId="7" fillId="0" borderId="0" xfId="0" applyNumberFormat="1" applyFont="1"/>
    <xf numFmtId="6" fontId="6" fillId="0" borderId="0" xfId="0" applyNumberFormat="1" applyFont="1"/>
    <xf numFmtId="164" fontId="4" fillId="0" borderId="0" xfId="0" applyNumberFormat="1" applyFont="1"/>
    <xf numFmtId="165" fontId="6" fillId="0" borderId="0" xfId="0" applyNumberFormat="1" applyFont="1"/>
    <xf numFmtId="6" fontId="0" fillId="0" borderId="0" xfId="0" applyNumberFormat="1"/>
    <xf numFmtId="165" fontId="8" fillId="0" borderId="0" xfId="0" applyNumberFormat="1" applyFont="1"/>
    <xf numFmtId="164" fontId="4" fillId="2" borderId="0" xfId="0" applyNumberFormat="1" applyFont="1" applyFill="1"/>
    <xf numFmtId="165" fontId="6" fillId="3" borderId="0" xfId="0" applyNumberFormat="1" applyFont="1" applyFill="1"/>
    <xf numFmtId="0" fontId="6" fillId="3" borderId="0" xfId="0" applyFont="1" applyFill="1"/>
    <xf numFmtId="164" fontId="4" fillId="3" borderId="0" xfId="0" applyNumberFormat="1" applyFont="1" applyFill="1"/>
    <xf numFmtId="164" fontId="5" fillId="3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" fontId="9" fillId="0" borderId="0" xfId="0" applyNumberFormat="1" applyFont="1"/>
    <xf numFmtId="167" fontId="0" fillId="0" borderId="0" xfId="0" applyNumberFormat="1"/>
    <xf numFmtId="0" fontId="10" fillId="4" borderId="0" xfId="0" applyFont="1" applyFill="1"/>
    <xf numFmtId="168" fontId="0" fillId="0" borderId="0" xfId="0" applyNumberFormat="1"/>
    <xf numFmtId="164" fontId="0" fillId="0" borderId="0" xfId="0" applyNumberFormat="1" applyAlignment="1">
      <alignment horizontal="center" vertical="center"/>
    </xf>
    <xf numFmtId="165" fontId="6" fillId="5" borderId="0" xfId="0" applyNumberFormat="1" applyFont="1" applyFill="1"/>
    <xf numFmtId="0" fontId="6" fillId="5" borderId="0" xfId="0" applyFont="1" applyFill="1"/>
    <xf numFmtId="164" fontId="4" fillId="5" borderId="0" xfId="0" applyNumberFormat="1" applyFont="1" applyFill="1"/>
    <xf numFmtId="164" fontId="5" fillId="5" borderId="0" xfId="0" applyNumberFormat="1" applyFont="1" applyFill="1"/>
    <xf numFmtId="6" fontId="6" fillId="5" borderId="0" xfId="0" applyNumberFormat="1" applyFont="1" applyFill="1"/>
    <xf numFmtId="164" fontId="5" fillId="6" borderId="0" xfId="0" applyNumberFormat="1" applyFont="1" applyFill="1"/>
    <xf numFmtId="164" fontId="4" fillId="6" borderId="0" xfId="0" applyNumberFormat="1" applyFont="1" applyFill="1"/>
    <xf numFmtId="0" fontId="11" fillId="0" borderId="0" xfId="0" applyFont="1" applyAlignment="1">
      <alignment horizontal="center" vertical="center" wrapText="1"/>
    </xf>
    <xf numFmtId="165" fontId="6" fillId="7" borderId="0" xfId="0" applyNumberFormat="1" applyFont="1" applyFill="1"/>
    <xf numFmtId="0" fontId="6" fillId="7" borderId="0" xfId="0" applyFont="1" applyFill="1"/>
    <xf numFmtId="164" fontId="4" fillId="7" borderId="0" xfId="0" applyNumberFormat="1" applyFont="1" applyFill="1"/>
    <xf numFmtId="164" fontId="5" fillId="7" borderId="0" xfId="0" applyNumberFormat="1" applyFont="1" applyFill="1"/>
    <xf numFmtId="6" fontId="6" fillId="7" borderId="0" xfId="0" applyNumberFormat="1" applyFont="1" applyFill="1"/>
    <xf numFmtId="0" fontId="10" fillId="0" borderId="0" xfId="0" applyFont="1"/>
    <xf numFmtId="6" fontId="4" fillId="0" borderId="0" xfId="0" applyNumberFormat="1" applyFont="1"/>
    <xf numFmtId="165" fontId="12" fillId="0" borderId="0" xfId="0" applyNumberFormat="1" applyFont="1"/>
    <xf numFmtId="0" fontId="12" fillId="0" borderId="0" xfId="0" applyFont="1"/>
    <xf numFmtId="16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0" fontId="0" fillId="0" borderId="0" xfId="1" applyNumberFormat="1" applyFont="1"/>
    <xf numFmtId="2" fontId="0" fillId="0" borderId="0" xfId="0" applyNumberFormat="1"/>
    <xf numFmtId="9" fontId="0" fillId="0" borderId="0" xfId="1" applyFont="1"/>
    <xf numFmtId="3" fontId="0" fillId="0" borderId="0" xfId="0" applyNumberFormat="1"/>
    <xf numFmtId="1" fontId="0" fillId="0" borderId="0" xfId="0" applyNumberFormat="1"/>
    <xf numFmtId="169" fontId="13" fillId="0" borderId="0" xfId="0" applyNumberFormat="1" applyFont="1" applyAlignment="1">
      <alignment horizontal="center" vertical="center"/>
    </xf>
    <xf numFmtId="166" fontId="0" fillId="0" borderId="0" xfId="0" applyNumberFormat="1"/>
    <xf numFmtId="165" fontId="12" fillId="8" borderId="0" xfId="0" applyNumberFormat="1" applyFont="1" applyFill="1"/>
    <xf numFmtId="0" fontId="12" fillId="8" borderId="0" xfId="0" applyFont="1" applyFill="1"/>
    <xf numFmtId="164" fontId="4" fillId="8" borderId="0" xfId="0" applyNumberFormat="1" applyFont="1" applyFill="1"/>
    <xf numFmtId="164" fontId="5" fillId="8" borderId="0" xfId="0" applyNumberFormat="1" applyFont="1" applyFill="1"/>
    <xf numFmtId="6" fontId="12" fillId="8" borderId="0" xfId="0" applyNumberFormat="1" applyFont="1" applyFill="1"/>
    <xf numFmtId="164" fontId="12" fillId="8" borderId="0" xfId="0" applyNumberFormat="1" applyFont="1" applyFill="1"/>
    <xf numFmtId="0" fontId="2" fillId="9" borderId="0" xfId="0" applyFont="1" applyFill="1"/>
    <xf numFmtId="165" fontId="12" fillId="9" borderId="0" xfId="0" applyNumberFormat="1" applyFont="1" applyFill="1"/>
    <xf numFmtId="0" fontId="12" fillId="9" borderId="0" xfId="0" applyFont="1" applyFill="1"/>
    <xf numFmtId="164" fontId="4" fillId="9" borderId="0" xfId="0" applyNumberFormat="1" applyFont="1" applyFill="1"/>
    <xf numFmtId="164" fontId="5" fillId="9" borderId="0" xfId="0" applyNumberFormat="1" applyFont="1" applyFill="1"/>
    <xf numFmtId="6" fontId="12" fillId="9" borderId="0" xfId="0" applyNumberFormat="1" applyFont="1" applyFill="1"/>
    <xf numFmtId="0" fontId="2" fillId="9" borderId="0" xfId="0" applyFont="1" applyFill="1" applyAlignment="1">
      <alignment horizontal="center" vertical="center"/>
    </xf>
    <xf numFmtId="166" fontId="2" fillId="9" borderId="0" xfId="0" applyNumberFormat="1" applyFont="1" applyFill="1" applyAlignment="1">
      <alignment horizontal="center" vertical="center"/>
    </xf>
    <xf numFmtId="169" fontId="2" fillId="9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center"/>
    </xf>
    <xf numFmtId="165" fontId="6" fillId="10" borderId="0" xfId="0" applyNumberFormat="1" applyFont="1" applyFill="1"/>
    <xf numFmtId="0" fontId="6" fillId="10" borderId="0" xfId="0" applyFont="1" applyFill="1"/>
    <xf numFmtId="164" fontId="4" fillId="10" borderId="0" xfId="0" applyNumberFormat="1" applyFont="1" applyFill="1"/>
    <xf numFmtId="164" fontId="5" fillId="10" borderId="0" xfId="0" applyNumberFormat="1" applyFont="1" applyFill="1"/>
    <xf numFmtId="6" fontId="6" fillId="10" borderId="0" xfId="0" applyNumberFormat="1" applyFont="1" applyFill="1"/>
    <xf numFmtId="0" fontId="2" fillId="11" borderId="0" xfId="0" applyFont="1" applyFill="1"/>
    <xf numFmtId="165" fontId="12" fillId="11" borderId="0" xfId="0" applyNumberFormat="1" applyFont="1" applyFill="1"/>
    <xf numFmtId="0" fontId="12" fillId="11" borderId="0" xfId="0" applyFont="1" applyFill="1"/>
    <xf numFmtId="164" fontId="4" fillId="11" borderId="0" xfId="0" applyNumberFormat="1" applyFont="1" applyFill="1"/>
    <xf numFmtId="164" fontId="5" fillId="11" borderId="0" xfId="0" applyNumberFormat="1" applyFont="1" applyFill="1"/>
    <xf numFmtId="6" fontId="12" fillId="11" borderId="0" xfId="0" applyNumberFormat="1" applyFont="1" applyFill="1"/>
    <xf numFmtId="0" fontId="2" fillId="11" borderId="0" xfId="0" applyFont="1" applyFill="1" applyAlignment="1">
      <alignment horizontal="center" vertical="center"/>
    </xf>
    <xf numFmtId="166" fontId="2" fillId="11" borderId="0" xfId="0" applyNumberFormat="1" applyFont="1" applyFill="1" applyAlignment="1">
      <alignment horizontal="center" vertical="center"/>
    </xf>
    <xf numFmtId="169" fontId="2" fillId="11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166" fontId="0" fillId="10" borderId="0" xfId="0" applyNumberFormat="1" applyFill="1" applyAlignment="1">
      <alignment horizontal="center" vertical="center"/>
    </xf>
    <xf numFmtId="169" fontId="0" fillId="10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/>
    </xf>
    <xf numFmtId="0" fontId="10" fillId="12" borderId="0" xfId="0" applyFont="1" applyFill="1"/>
    <xf numFmtId="0" fontId="0" fillId="13" borderId="0" xfId="0" applyFill="1"/>
    <xf numFmtId="165" fontId="6" fillId="13" borderId="0" xfId="0" applyNumberFormat="1" applyFont="1" applyFill="1"/>
    <xf numFmtId="0" fontId="6" fillId="13" borderId="0" xfId="0" applyFont="1" applyFill="1"/>
    <xf numFmtId="164" fontId="4" fillId="13" borderId="0" xfId="0" applyNumberFormat="1" applyFont="1" applyFill="1"/>
    <xf numFmtId="164" fontId="5" fillId="13" borderId="0" xfId="0" applyNumberFormat="1" applyFont="1" applyFill="1"/>
    <xf numFmtId="6" fontId="6" fillId="13" borderId="0" xfId="0" applyNumberFormat="1" applyFont="1" applyFill="1"/>
    <xf numFmtId="0" fontId="0" fillId="13" borderId="0" xfId="0" applyFill="1" applyAlignment="1">
      <alignment horizontal="center" vertical="center"/>
    </xf>
    <xf numFmtId="166" fontId="0" fillId="13" borderId="0" xfId="0" applyNumberFormat="1" applyFill="1" applyAlignment="1">
      <alignment horizontal="center" vertical="center"/>
    </xf>
    <xf numFmtId="169" fontId="0" fillId="13" borderId="0" xfId="0" applyNumberFormat="1" applyFill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164" fontId="0" fillId="13" borderId="0" xfId="0" applyNumberFormat="1" applyFill="1" applyAlignment="1">
      <alignment horizontal="center"/>
    </xf>
    <xf numFmtId="15" fontId="6" fillId="0" borderId="0" xfId="0" applyNumberFormat="1" applyFont="1"/>
    <xf numFmtId="6" fontId="12" fillId="0" borderId="0" xfId="0" applyNumberFormat="1" applyFont="1"/>
    <xf numFmtId="14" fontId="6" fillId="0" borderId="0" xfId="0" applyNumberFormat="1" applyFont="1"/>
    <xf numFmtId="164" fontId="14" fillId="0" borderId="0" xfId="0" applyNumberFormat="1" applyFont="1"/>
    <xf numFmtId="0" fontId="13" fillId="0" borderId="0" xfId="0" applyFont="1"/>
    <xf numFmtId="164" fontId="15" fillId="0" borderId="0" xfId="0" applyNumberFormat="1" applyFont="1"/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numFmt numFmtId="10" formatCode="&quot;$&quot;#,##0;[Red]\-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numFmt numFmtId="10" formatCode="&quot;$&quot;#,##0;[Red]\-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499984740745262"/>
        <name val="Tahoma"/>
        <family val="2"/>
        <scheme val="none"/>
      </font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Tahoma"/>
        <family val="2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numFmt numFmtId="165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Tahoma"/>
        <family val="2"/>
        <scheme val="none"/>
      </font>
    </dxf>
    <dxf>
      <font>
        <b/>
        <i val="0"/>
        <color theme="0"/>
      </font>
      <fill>
        <patternFill>
          <fgColor auto="1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8FBC3688E6692A/Documentos/Bitacora%20AQI.xlsx" TargetMode="External"/><Relationship Id="rId1" Type="http://schemas.openxmlformats.org/officeDocument/2006/relationships/externalLinkPath" Target="https://d.docs.live.net/028FBC3688E6692A/Documentos/Bitacora%20AQ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bro"/>
      <sheetName val="13nov"/>
      <sheetName val="13nov2"/>
      <sheetName val="Presupuesto Viaje México"/>
      <sheetName val="Presupuesto Viaje Europa"/>
      <sheetName val="Ceres Flight Progression "/>
      <sheetName val="Informe 4oct21"/>
      <sheetName val="Hoja1"/>
      <sheetName val="Costos"/>
      <sheetName val="Pilotos"/>
      <sheetName val="Pendientes de Pago"/>
      <sheetName val="Detalle Pilotos"/>
      <sheetName val="Ceres"/>
      <sheetName val="Pago Overhaul"/>
      <sheetName val="Vuelos Mexico Ops"/>
      <sheetName val="Vuelos Airpull-Ceres"/>
      <sheetName val="SII F29 y Contador"/>
      <sheetName val="Vuelos Aerotrust-Ceres"/>
      <sheetName val="Sheet1"/>
      <sheetName val="Payment Differences"/>
      <sheetName val="Facturas 580 y 576"/>
      <sheetName val="Cuenta"/>
      <sheetName val="Combustible"/>
      <sheetName val="Sheet2"/>
      <sheetName val="Hoja5"/>
      <sheetName val="Presupuesto Viaje España 04-24"/>
      <sheetName val="Europe 89"/>
      <sheetName val="Aerotrust 88"/>
      <sheetName val="Europe 87"/>
      <sheetName val="Aerotrust 86"/>
      <sheetName val="Europe 85"/>
      <sheetName val="Aerotrust 84"/>
      <sheetName val="Aerotrust 83"/>
      <sheetName val="Aerotrust 82"/>
      <sheetName val="Aerotrust 81"/>
      <sheetName val="Aerotrust 80"/>
      <sheetName val="Aerotrust 79"/>
      <sheetName val="Aerotrust 78"/>
      <sheetName val="Aerotrust 77"/>
      <sheetName val="Aerotrust 76"/>
      <sheetName val="Aerotrust 75"/>
      <sheetName val="Aerotrust 74"/>
      <sheetName val="Aerotrust 73"/>
      <sheetName val="Aerotrust 72"/>
      <sheetName val="Aerotrust 71"/>
      <sheetName val="Aerotrust 70"/>
      <sheetName val="Aerotrust 69"/>
      <sheetName val="Aerotrust 68"/>
      <sheetName val="Aerotrust 67"/>
      <sheetName val="Aerotrust 66"/>
      <sheetName val="Aerotrust 65"/>
      <sheetName val="Aerotrust 64"/>
      <sheetName val="Aerotrust 63"/>
      <sheetName val="Aerotrust 62"/>
      <sheetName val="Aerotrust 61"/>
      <sheetName val="Aerotrust 60"/>
      <sheetName val="Aerotrust 59"/>
      <sheetName val="Europe 58"/>
      <sheetName val="Europe 57"/>
      <sheetName val="Europe 56"/>
      <sheetName val="Aerotrust 55"/>
      <sheetName val="Europe 54"/>
      <sheetName val="Aerotrust 53"/>
      <sheetName val="Aerotrust 52"/>
      <sheetName val="Europe 51"/>
      <sheetName val="Europe 50"/>
      <sheetName val="Aerotrust 49"/>
      <sheetName val="Aerotrust 48"/>
      <sheetName val="Aerotrust 47"/>
      <sheetName val="Aerotrust 46"/>
      <sheetName val="Aerotrust 45"/>
      <sheetName val="Aerotrust 44"/>
      <sheetName val="Aerotrust 43"/>
      <sheetName val="Aerotrust 42"/>
      <sheetName val="Aerotrust 41"/>
      <sheetName val="Aerotrust 40"/>
      <sheetName val="Aerotrust 39"/>
      <sheetName val="Aerotrust 38"/>
      <sheetName val="Aerotrust 37"/>
      <sheetName val="Aerotrust 36"/>
      <sheetName val="Aerotrust 35"/>
      <sheetName val="Aerotrust 34"/>
      <sheetName val="Aerotrust 33"/>
      <sheetName val="Aerotrust 32"/>
      <sheetName val="Aerotrust 31"/>
      <sheetName val="Aerotrust 30"/>
      <sheetName val="Aerotrust 29"/>
      <sheetName val="Aerotrust 28"/>
      <sheetName val="Aerotrust 27"/>
      <sheetName val="Aerotrust 26"/>
      <sheetName val="Aerotrust 25"/>
      <sheetName val="Aerotrust 24"/>
      <sheetName val="Aerotrust 23"/>
      <sheetName val="Aerotrust 22"/>
      <sheetName val="Aerotrust 21"/>
      <sheetName val="Aerotrust 20"/>
      <sheetName val="Aerotrust 19"/>
      <sheetName val="Aerotrust 18"/>
      <sheetName val="Aerotrust 17"/>
      <sheetName val="Aerotrust 16"/>
      <sheetName val="Aerotrust 15"/>
      <sheetName val="Aerotrust 14"/>
      <sheetName val="Aerotrust 13"/>
      <sheetName val="Aerotrust 12"/>
      <sheetName val="Aerotrust 11"/>
      <sheetName val="Aerotrust 10"/>
      <sheetName val="Aerotrust 9"/>
      <sheetName val="Aerotrust 8"/>
      <sheetName val="Aerotrust 7"/>
      <sheetName val="Aerotrust 6"/>
      <sheetName val="Aerotrust 5 "/>
      <sheetName val="Hoja2"/>
      <sheetName val="Detalle anexo"/>
      <sheetName val="Analisis de Costos"/>
      <sheetName val="Info Pilotos Seguro"/>
      <sheetName val="Valor curso PCA"/>
      <sheetName val="Valor curso Instructor"/>
      <sheetName val="Valor curso Convalidación"/>
      <sheetName val="Valor curso PPA"/>
      <sheetName val="Proyectos"/>
      <sheetName val="Variables"/>
      <sheetName val="Reunión Flypro 30aug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G3" t="str">
            <v>MA</v>
          </cell>
        </row>
      </sheetData>
      <sheetData sheetId="12"/>
      <sheetData sheetId="13"/>
      <sheetData sheetId="14"/>
      <sheetData sheetId="15"/>
      <sheetData sheetId="16"/>
      <sheetData sheetId="17">
        <row r="1">
          <cell r="P1" t="str">
            <v>Pago Piloto</v>
          </cell>
        </row>
        <row r="3">
          <cell r="L3">
            <v>1294335</v>
          </cell>
          <cell r="P3">
            <v>98600</v>
          </cell>
        </row>
        <row r="4">
          <cell r="P4">
            <v>133400</v>
          </cell>
        </row>
        <row r="5">
          <cell r="L5">
            <v>5528632</v>
          </cell>
          <cell r="P5">
            <v>150800</v>
          </cell>
        </row>
        <row r="6">
          <cell r="P6">
            <v>89900</v>
          </cell>
        </row>
        <row r="7">
          <cell r="L7">
            <v>1300675.355</v>
          </cell>
          <cell r="P7">
            <v>168200</v>
          </cell>
        </row>
        <row r="8">
          <cell r="L8">
            <v>2604691</v>
          </cell>
          <cell r="P8">
            <v>217500</v>
          </cell>
        </row>
        <row r="9">
          <cell r="L9">
            <v>1339903.1100000001</v>
          </cell>
          <cell r="P9">
            <v>89900</v>
          </cell>
        </row>
        <row r="10">
          <cell r="L10">
            <v>1351712.67</v>
          </cell>
          <cell r="P10">
            <v>104400</v>
          </cell>
        </row>
        <row r="11">
          <cell r="L11">
            <v>2703426.5300000003</v>
          </cell>
          <cell r="P11">
            <v>214600</v>
          </cell>
        </row>
        <row r="12">
          <cell r="L12">
            <v>2665879.65</v>
          </cell>
          <cell r="P12">
            <v>205900</v>
          </cell>
        </row>
        <row r="13">
          <cell r="L13">
            <v>2478141.6800000002</v>
          </cell>
          <cell r="P13">
            <v>191400</v>
          </cell>
        </row>
        <row r="14">
          <cell r="L14">
            <v>2259588.66</v>
          </cell>
          <cell r="P14">
            <v>174000</v>
          </cell>
        </row>
        <row r="15">
          <cell r="L15">
            <v>2033629.08</v>
          </cell>
          <cell r="P15">
            <v>156600</v>
          </cell>
        </row>
        <row r="16">
          <cell r="L16">
            <v>979154.61</v>
          </cell>
          <cell r="P16">
            <v>75400</v>
          </cell>
        </row>
        <row r="17">
          <cell r="L17">
            <v>2110861.27</v>
          </cell>
          <cell r="P17">
            <v>162400</v>
          </cell>
        </row>
        <row r="18">
          <cell r="L18">
            <v>1168512.17</v>
          </cell>
          <cell r="P18">
            <v>89900</v>
          </cell>
        </row>
        <row r="19">
          <cell r="L19">
            <v>613597.38799999992</v>
          </cell>
          <cell r="P19">
            <v>76500</v>
          </cell>
        </row>
        <row r="20">
          <cell r="L20">
            <v>577503.424</v>
          </cell>
          <cell r="P20">
            <v>72000</v>
          </cell>
        </row>
        <row r="21">
          <cell r="L21">
            <v>2201804.3939999999</v>
          </cell>
          <cell r="P21">
            <v>274500</v>
          </cell>
        </row>
        <row r="22">
          <cell r="L22">
            <v>1170434.02</v>
          </cell>
          <cell r="P22">
            <v>89900</v>
          </cell>
        </row>
        <row r="23">
          <cell r="L23">
            <v>2454137</v>
          </cell>
          <cell r="P23">
            <v>188500</v>
          </cell>
        </row>
        <row r="24">
          <cell r="L24">
            <v>2038821.05</v>
          </cell>
          <cell r="P24">
            <v>156600</v>
          </cell>
        </row>
        <row r="25">
          <cell r="L25">
            <v>1661262.6099999999</v>
          </cell>
          <cell r="P25">
            <v>127600.00000000001</v>
          </cell>
        </row>
        <row r="26">
          <cell r="L26">
            <v>2128154.35</v>
          </cell>
          <cell r="P26">
            <v>162400</v>
          </cell>
        </row>
        <row r="27">
          <cell r="L27">
            <v>1748126.66</v>
          </cell>
          <cell r="P27">
            <v>133400</v>
          </cell>
        </row>
        <row r="28">
          <cell r="L28">
            <v>1536423.28</v>
          </cell>
          <cell r="P28">
            <v>116000</v>
          </cell>
        </row>
        <row r="29">
          <cell r="L29">
            <v>1536423.28</v>
          </cell>
          <cell r="P29">
            <v>116000</v>
          </cell>
        </row>
        <row r="30">
          <cell r="L30">
            <v>2333316.2999999998</v>
          </cell>
          <cell r="P30">
            <v>174000</v>
          </cell>
        </row>
        <row r="31">
          <cell r="L31">
            <v>1799686.98</v>
          </cell>
          <cell r="P31">
            <v>133400</v>
          </cell>
        </row>
        <row r="32">
          <cell r="L32">
            <v>2052750</v>
          </cell>
          <cell r="P32">
            <v>145000</v>
          </cell>
        </row>
        <row r="33">
          <cell r="L33">
            <v>1755084.59</v>
          </cell>
          <cell r="P33">
            <v>141900</v>
          </cell>
        </row>
        <row r="34">
          <cell r="L34">
            <v>742427.91</v>
          </cell>
          <cell r="P34">
            <v>52800</v>
          </cell>
        </row>
        <row r="35">
          <cell r="L35">
            <v>2516005.6949999998</v>
          </cell>
          <cell r="P35">
            <v>201300</v>
          </cell>
        </row>
        <row r="36">
          <cell r="L36">
            <v>2103545.7450000001</v>
          </cell>
          <cell r="P36">
            <v>168300</v>
          </cell>
        </row>
        <row r="37">
          <cell r="L37">
            <v>2062299.75</v>
          </cell>
          <cell r="P37">
            <v>204600</v>
          </cell>
        </row>
        <row r="38">
          <cell r="L38">
            <v>2071302.1000000003</v>
          </cell>
          <cell r="P38">
            <v>165000</v>
          </cell>
        </row>
        <row r="39">
          <cell r="L39">
            <v>1574189.5960000001</v>
          </cell>
          <cell r="P39">
            <v>125400</v>
          </cell>
        </row>
        <row r="40">
          <cell r="L40">
            <v>2982675.0240000002</v>
          </cell>
          <cell r="P40">
            <v>237600</v>
          </cell>
        </row>
        <row r="41">
          <cell r="L41">
            <v>1169403.7608000003</v>
          </cell>
          <cell r="P41">
            <v>351000</v>
          </cell>
        </row>
        <row r="42">
          <cell r="L42">
            <v>2816970.8560000006</v>
          </cell>
          <cell r="P42">
            <v>224400</v>
          </cell>
        </row>
        <row r="43">
          <cell r="L43">
            <v>1988450.0160000003</v>
          </cell>
          <cell r="P43">
            <v>158400</v>
          </cell>
        </row>
        <row r="44">
          <cell r="L44">
            <v>1615615.6380000003</v>
          </cell>
          <cell r="P44">
            <v>128700</v>
          </cell>
        </row>
        <row r="45">
          <cell r="L45">
            <v>2734118.7720000003</v>
          </cell>
          <cell r="P45">
            <v>217800</v>
          </cell>
        </row>
        <row r="46">
          <cell r="L46">
            <v>1664012.5810000002</v>
          </cell>
          <cell r="P46">
            <v>235000</v>
          </cell>
        </row>
        <row r="47">
          <cell r="L47">
            <v>1203788.173</v>
          </cell>
          <cell r="P47">
            <v>170000</v>
          </cell>
        </row>
        <row r="48">
          <cell r="L48">
            <v>799771.39199999999</v>
          </cell>
          <cell r="P48">
            <v>208000</v>
          </cell>
        </row>
        <row r="49">
          <cell r="L49">
            <v>955757.66300000006</v>
          </cell>
          <cell r="P49">
            <v>75900</v>
          </cell>
        </row>
        <row r="50">
          <cell r="L50">
            <v>1786851.2829999998</v>
          </cell>
          <cell r="P50">
            <v>141900</v>
          </cell>
        </row>
        <row r="51">
          <cell r="L51">
            <v>1953070.007</v>
          </cell>
          <cell r="P51">
            <v>155100</v>
          </cell>
        </row>
        <row r="52">
          <cell r="L52">
            <v>2742608.946</v>
          </cell>
          <cell r="P52">
            <v>217800</v>
          </cell>
        </row>
        <row r="53">
          <cell r="L53">
            <v>2617944.9030000004</v>
          </cell>
          <cell r="P53">
            <v>207900</v>
          </cell>
        </row>
        <row r="54">
          <cell r="L54">
            <v>2410171.4980000001</v>
          </cell>
          <cell r="P54">
            <v>191400</v>
          </cell>
        </row>
        <row r="55">
          <cell r="L55">
            <v>1495968.5160000003</v>
          </cell>
          <cell r="P55">
            <v>118800</v>
          </cell>
        </row>
        <row r="56">
          <cell r="L56">
            <v>2795804.2070000004</v>
          </cell>
          <cell r="P56">
            <v>221100</v>
          </cell>
        </row>
        <row r="57">
          <cell r="L57">
            <v>2086421.05</v>
          </cell>
          <cell r="P57">
            <v>161700</v>
          </cell>
        </row>
        <row r="58">
          <cell r="L58">
            <v>2253334.7340000002</v>
          </cell>
          <cell r="P58">
            <v>178200</v>
          </cell>
        </row>
        <row r="59">
          <cell r="L59">
            <v>2295063.1550000003</v>
          </cell>
          <cell r="P59">
            <v>181500</v>
          </cell>
        </row>
        <row r="60">
          <cell r="P60">
            <v>125400</v>
          </cell>
        </row>
        <row r="61">
          <cell r="P61">
            <v>270600</v>
          </cell>
        </row>
        <row r="62">
          <cell r="P62">
            <v>122100</v>
          </cell>
        </row>
        <row r="63">
          <cell r="P63">
            <v>201300</v>
          </cell>
        </row>
        <row r="64">
          <cell r="P64">
            <v>227700</v>
          </cell>
        </row>
        <row r="65">
          <cell r="P65">
            <v>201300</v>
          </cell>
        </row>
        <row r="66">
          <cell r="P66">
            <v>161700</v>
          </cell>
        </row>
        <row r="67">
          <cell r="P67">
            <v>191400</v>
          </cell>
        </row>
        <row r="68">
          <cell r="P68">
            <v>158400</v>
          </cell>
        </row>
        <row r="69">
          <cell r="P69">
            <v>270600</v>
          </cell>
        </row>
        <row r="70">
          <cell r="P70">
            <v>145200</v>
          </cell>
        </row>
        <row r="71">
          <cell r="P71">
            <v>191400</v>
          </cell>
        </row>
        <row r="72">
          <cell r="P72">
            <v>211200</v>
          </cell>
        </row>
        <row r="73">
          <cell r="P73">
            <v>171600</v>
          </cell>
        </row>
        <row r="74">
          <cell r="P74">
            <v>250800</v>
          </cell>
        </row>
        <row r="75">
          <cell r="P75">
            <v>158400</v>
          </cell>
        </row>
        <row r="76">
          <cell r="P76">
            <v>155100</v>
          </cell>
        </row>
        <row r="77">
          <cell r="P77">
            <v>158400</v>
          </cell>
        </row>
        <row r="78">
          <cell r="P78">
            <v>122100</v>
          </cell>
        </row>
        <row r="79">
          <cell r="P79">
            <v>221100</v>
          </cell>
        </row>
        <row r="80">
          <cell r="P80">
            <v>165000</v>
          </cell>
        </row>
        <row r="81">
          <cell r="P81">
            <v>168300</v>
          </cell>
        </row>
        <row r="82">
          <cell r="P82">
            <v>85800</v>
          </cell>
        </row>
        <row r="83">
          <cell r="P83">
            <v>214500</v>
          </cell>
        </row>
        <row r="84">
          <cell r="P84">
            <v>112200</v>
          </cell>
        </row>
        <row r="85">
          <cell r="P85">
            <v>141000</v>
          </cell>
        </row>
        <row r="86">
          <cell r="P86">
            <v>159000</v>
          </cell>
        </row>
        <row r="87">
          <cell r="P87">
            <v>162000</v>
          </cell>
        </row>
        <row r="88">
          <cell r="P88">
            <v>162000</v>
          </cell>
        </row>
        <row r="89">
          <cell r="P89">
            <v>183000</v>
          </cell>
        </row>
        <row r="90">
          <cell r="P90">
            <v>201000</v>
          </cell>
        </row>
        <row r="91">
          <cell r="P91">
            <v>171000</v>
          </cell>
        </row>
        <row r="92">
          <cell r="P92">
            <v>168000</v>
          </cell>
        </row>
        <row r="93">
          <cell r="P93">
            <v>225000</v>
          </cell>
        </row>
        <row r="94">
          <cell r="P94">
            <v>156000</v>
          </cell>
        </row>
        <row r="95">
          <cell r="P95">
            <v>132000</v>
          </cell>
        </row>
        <row r="96">
          <cell r="P96">
            <v>84000</v>
          </cell>
        </row>
        <row r="97">
          <cell r="P97">
            <v>240000</v>
          </cell>
        </row>
        <row r="98">
          <cell r="P98">
            <v>72000</v>
          </cell>
        </row>
        <row r="99">
          <cell r="P99">
            <v>216000</v>
          </cell>
        </row>
        <row r="100">
          <cell r="P100">
            <v>162000</v>
          </cell>
        </row>
        <row r="101">
          <cell r="P101">
            <v>156000</v>
          </cell>
        </row>
        <row r="102">
          <cell r="P102">
            <v>135000</v>
          </cell>
        </row>
        <row r="103">
          <cell r="P103">
            <v>198000</v>
          </cell>
        </row>
        <row r="104">
          <cell r="P104">
            <v>153000</v>
          </cell>
        </row>
        <row r="105">
          <cell r="P105">
            <v>78000</v>
          </cell>
        </row>
        <row r="106">
          <cell r="P106">
            <v>186000</v>
          </cell>
        </row>
        <row r="107">
          <cell r="P107">
            <v>90000</v>
          </cell>
        </row>
        <row r="108">
          <cell r="P108">
            <v>210000</v>
          </cell>
        </row>
        <row r="109">
          <cell r="P109">
            <v>111000</v>
          </cell>
        </row>
        <row r="110">
          <cell r="P110">
            <v>135000</v>
          </cell>
        </row>
        <row r="111">
          <cell r="P111">
            <v>180000</v>
          </cell>
        </row>
        <row r="112">
          <cell r="P112">
            <v>104</v>
          </cell>
        </row>
        <row r="113">
          <cell r="P113">
            <v>195</v>
          </cell>
        </row>
        <row r="114">
          <cell r="P114">
            <v>308.75</v>
          </cell>
        </row>
        <row r="115">
          <cell r="P115">
            <v>273</v>
          </cell>
        </row>
        <row r="116">
          <cell r="P116">
            <v>75000</v>
          </cell>
        </row>
        <row r="117">
          <cell r="P117">
            <v>81000</v>
          </cell>
        </row>
        <row r="118">
          <cell r="P118">
            <v>0</v>
          </cell>
        </row>
        <row r="119">
          <cell r="P119">
            <v>69000</v>
          </cell>
        </row>
        <row r="120">
          <cell r="P120">
            <v>0</v>
          </cell>
        </row>
        <row r="121">
          <cell r="P121">
            <v>102000</v>
          </cell>
        </row>
        <row r="122">
          <cell r="P122">
            <v>111000</v>
          </cell>
        </row>
        <row r="123">
          <cell r="P123">
            <v>204000</v>
          </cell>
        </row>
        <row r="124">
          <cell r="P124">
            <v>42000</v>
          </cell>
        </row>
        <row r="125">
          <cell r="P125">
            <v>0</v>
          </cell>
        </row>
        <row r="126">
          <cell r="P126">
            <v>0</v>
          </cell>
        </row>
        <row r="127">
          <cell r="P127">
            <v>231000</v>
          </cell>
        </row>
        <row r="129">
          <cell r="P129">
            <v>174000</v>
          </cell>
        </row>
        <row r="130">
          <cell r="P130">
            <v>216000</v>
          </cell>
        </row>
        <row r="131">
          <cell r="P131">
            <v>81000</v>
          </cell>
        </row>
        <row r="132">
          <cell r="P132">
            <v>138000</v>
          </cell>
        </row>
        <row r="133">
          <cell r="P133">
            <v>156000</v>
          </cell>
        </row>
        <row r="134">
          <cell r="P134">
            <v>144000</v>
          </cell>
        </row>
        <row r="135">
          <cell r="P135">
            <v>153000</v>
          </cell>
        </row>
        <row r="136">
          <cell r="P136">
            <v>183000</v>
          </cell>
        </row>
        <row r="137">
          <cell r="P137">
            <v>177000</v>
          </cell>
        </row>
        <row r="138">
          <cell r="P138">
            <v>186000</v>
          </cell>
        </row>
        <row r="139">
          <cell r="P139">
            <v>135000</v>
          </cell>
        </row>
        <row r="140">
          <cell r="P140">
            <v>198000</v>
          </cell>
        </row>
        <row r="141">
          <cell r="P141">
            <v>213000</v>
          </cell>
        </row>
        <row r="142">
          <cell r="P142">
            <v>201000</v>
          </cell>
        </row>
        <row r="143">
          <cell r="P143">
            <v>168000</v>
          </cell>
        </row>
        <row r="144">
          <cell r="P144">
            <v>192000</v>
          </cell>
        </row>
        <row r="145">
          <cell r="P145">
            <v>87000</v>
          </cell>
        </row>
        <row r="146">
          <cell r="P146">
            <v>141000</v>
          </cell>
        </row>
        <row r="147">
          <cell r="P147">
            <v>122999.99999999999</v>
          </cell>
        </row>
        <row r="148">
          <cell r="P148">
            <v>156000</v>
          </cell>
        </row>
        <row r="149">
          <cell r="P149">
            <v>99000</v>
          </cell>
        </row>
        <row r="150">
          <cell r="P150">
            <v>105000</v>
          </cell>
        </row>
        <row r="151">
          <cell r="P151">
            <v>183000</v>
          </cell>
        </row>
        <row r="152">
          <cell r="P152">
            <v>168000</v>
          </cell>
        </row>
        <row r="153">
          <cell r="P153">
            <v>174000</v>
          </cell>
        </row>
        <row r="154">
          <cell r="P154">
            <v>147000</v>
          </cell>
        </row>
        <row r="155">
          <cell r="P155">
            <v>27000</v>
          </cell>
        </row>
        <row r="156">
          <cell r="P156">
            <v>141000</v>
          </cell>
        </row>
        <row r="157">
          <cell r="P157">
            <v>183000</v>
          </cell>
        </row>
        <row r="158">
          <cell r="P158">
            <v>189000</v>
          </cell>
        </row>
        <row r="159">
          <cell r="P159">
            <v>135000</v>
          </cell>
        </row>
        <row r="160">
          <cell r="P160">
            <v>180000</v>
          </cell>
        </row>
        <row r="161">
          <cell r="P161">
            <v>252000</v>
          </cell>
        </row>
        <row r="162">
          <cell r="P162">
            <v>168000</v>
          </cell>
        </row>
        <row r="163">
          <cell r="P163">
            <v>132000</v>
          </cell>
        </row>
        <row r="164">
          <cell r="P164">
            <v>159000</v>
          </cell>
        </row>
        <row r="165">
          <cell r="P165">
            <v>231000</v>
          </cell>
        </row>
        <row r="166">
          <cell r="P166">
            <v>204000</v>
          </cell>
        </row>
        <row r="167">
          <cell r="P167">
            <v>150000</v>
          </cell>
        </row>
        <row r="168">
          <cell r="P168">
            <v>111000</v>
          </cell>
        </row>
        <row r="169">
          <cell r="P169">
            <v>156000</v>
          </cell>
        </row>
        <row r="170">
          <cell r="P170">
            <v>168000</v>
          </cell>
        </row>
        <row r="171">
          <cell r="P171">
            <v>153000</v>
          </cell>
        </row>
        <row r="172">
          <cell r="P172">
            <v>153000</v>
          </cell>
        </row>
        <row r="173">
          <cell r="P173">
            <v>177000</v>
          </cell>
        </row>
        <row r="174">
          <cell r="P174">
            <v>87000</v>
          </cell>
        </row>
        <row r="175">
          <cell r="P175">
            <v>111000</v>
          </cell>
        </row>
        <row r="176">
          <cell r="P176">
            <v>126000</v>
          </cell>
        </row>
        <row r="177">
          <cell r="P177">
            <v>138000</v>
          </cell>
        </row>
        <row r="178">
          <cell r="P178">
            <v>204000</v>
          </cell>
        </row>
        <row r="179">
          <cell r="P179">
            <v>117000</v>
          </cell>
        </row>
        <row r="180">
          <cell r="P180">
            <v>201000</v>
          </cell>
        </row>
        <row r="181">
          <cell r="P181">
            <v>153000</v>
          </cell>
        </row>
        <row r="182">
          <cell r="P182">
            <v>195000</v>
          </cell>
        </row>
        <row r="183">
          <cell r="P183">
            <v>180000</v>
          </cell>
        </row>
        <row r="184">
          <cell r="P184">
            <v>108000</v>
          </cell>
        </row>
        <row r="185">
          <cell r="P185">
            <v>129000</v>
          </cell>
        </row>
        <row r="186">
          <cell r="P186">
            <v>126000</v>
          </cell>
        </row>
        <row r="187">
          <cell r="P187">
            <v>183000</v>
          </cell>
        </row>
        <row r="188">
          <cell r="P188">
            <v>144000</v>
          </cell>
        </row>
        <row r="189">
          <cell r="P189">
            <v>198000</v>
          </cell>
        </row>
        <row r="190">
          <cell r="P190">
            <v>123500</v>
          </cell>
        </row>
        <row r="191">
          <cell r="P191">
            <v>162500</v>
          </cell>
        </row>
        <row r="192">
          <cell r="P192">
            <v>143000</v>
          </cell>
        </row>
        <row r="193">
          <cell r="P193">
            <v>234000</v>
          </cell>
        </row>
        <row r="194">
          <cell r="P194">
            <v>221000</v>
          </cell>
        </row>
        <row r="195">
          <cell r="P195">
            <v>143000</v>
          </cell>
        </row>
        <row r="196">
          <cell r="P196">
            <v>172250</v>
          </cell>
        </row>
        <row r="197">
          <cell r="P197">
            <v>113750</v>
          </cell>
        </row>
        <row r="198">
          <cell r="P198">
            <v>201500</v>
          </cell>
        </row>
        <row r="199">
          <cell r="P199">
            <v>165750</v>
          </cell>
        </row>
        <row r="200">
          <cell r="P200">
            <v>130000</v>
          </cell>
        </row>
        <row r="201">
          <cell r="P201">
            <v>253500</v>
          </cell>
        </row>
        <row r="202">
          <cell r="P202">
            <v>178750</v>
          </cell>
        </row>
        <row r="203">
          <cell r="P203">
            <v>175500</v>
          </cell>
        </row>
        <row r="204">
          <cell r="P204">
            <v>182000</v>
          </cell>
        </row>
        <row r="205">
          <cell r="P205">
            <v>159250</v>
          </cell>
        </row>
        <row r="206">
          <cell r="P206">
            <v>120250</v>
          </cell>
        </row>
        <row r="207">
          <cell r="P207">
            <v>165750</v>
          </cell>
        </row>
        <row r="208">
          <cell r="P208">
            <v>146250</v>
          </cell>
        </row>
        <row r="209">
          <cell r="P209">
            <v>117000</v>
          </cell>
        </row>
        <row r="210">
          <cell r="P210">
            <v>237250</v>
          </cell>
        </row>
        <row r="211">
          <cell r="P211">
            <v>201500</v>
          </cell>
        </row>
        <row r="212">
          <cell r="P212">
            <v>143000</v>
          </cell>
        </row>
        <row r="213">
          <cell r="P213">
            <v>286000</v>
          </cell>
        </row>
        <row r="214">
          <cell r="P214">
            <v>107250</v>
          </cell>
        </row>
        <row r="215">
          <cell r="P215">
            <v>156000</v>
          </cell>
        </row>
        <row r="216">
          <cell r="P216">
            <v>188500</v>
          </cell>
        </row>
        <row r="217">
          <cell r="P217">
            <v>91000</v>
          </cell>
        </row>
        <row r="218">
          <cell r="P218">
            <v>146250</v>
          </cell>
        </row>
        <row r="219">
          <cell r="P219">
            <v>130000</v>
          </cell>
        </row>
        <row r="220">
          <cell r="P220">
            <v>208000</v>
          </cell>
        </row>
        <row r="221">
          <cell r="P221">
            <v>185250</v>
          </cell>
        </row>
        <row r="222">
          <cell r="P222">
            <v>234000</v>
          </cell>
        </row>
        <row r="223">
          <cell r="P223">
            <v>201500</v>
          </cell>
        </row>
        <row r="224">
          <cell r="P224">
            <v>195000</v>
          </cell>
        </row>
        <row r="225">
          <cell r="P225">
            <v>172250</v>
          </cell>
        </row>
        <row r="226">
          <cell r="P226">
            <v>146250</v>
          </cell>
        </row>
        <row r="227">
          <cell r="P227">
            <v>139750</v>
          </cell>
        </row>
        <row r="228">
          <cell r="P228">
            <v>136500</v>
          </cell>
        </row>
        <row r="229">
          <cell r="P229">
            <v>201500</v>
          </cell>
        </row>
        <row r="230">
          <cell r="P230">
            <v>208000</v>
          </cell>
        </row>
        <row r="231">
          <cell r="P231">
            <v>133250</v>
          </cell>
        </row>
        <row r="232">
          <cell r="P232">
            <v>227500</v>
          </cell>
        </row>
        <row r="233">
          <cell r="P233">
            <v>195000</v>
          </cell>
        </row>
        <row r="234">
          <cell r="P234">
            <v>156000</v>
          </cell>
        </row>
        <row r="235">
          <cell r="P235">
            <v>217750</v>
          </cell>
        </row>
        <row r="236">
          <cell r="P236">
            <v>117000</v>
          </cell>
        </row>
        <row r="237">
          <cell r="P237">
            <v>156000</v>
          </cell>
        </row>
        <row r="238">
          <cell r="P238">
            <v>185250</v>
          </cell>
        </row>
        <row r="239">
          <cell r="P239">
            <v>178750</v>
          </cell>
        </row>
        <row r="240">
          <cell r="P240">
            <v>165750</v>
          </cell>
        </row>
        <row r="241">
          <cell r="P241">
            <v>172250</v>
          </cell>
        </row>
        <row r="242">
          <cell r="P242">
            <v>214500</v>
          </cell>
        </row>
        <row r="243">
          <cell r="P243">
            <v>227500</v>
          </cell>
        </row>
        <row r="244">
          <cell r="P244">
            <v>182000</v>
          </cell>
        </row>
        <row r="245">
          <cell r="P245">
            <v>146250</v>
          </cell>
        </row>
        <row r="246">
          <cell r="P246">
            <v>201500</v>
          </cell>
        </row>
        <row r="247">
          <cell r="P247">
            <v>195000</v>
          </cell>
        </row>
        <row r="248">
          <cell r="P248">
            <v>133250</v>
          </cell>
        </row>
        <row r="249">
          <cell r="P249">
            <v>182000</v>
          </cell>
        </row>
        <row r="250">
          <cell r="P250">
            <v>201500</v>
          </cell>
        </row>
        <row r="251">
          <cell r="P251">
            <v>204750</v>
          </cell>
        </row>
        <row r="252">
          <cell r="P252">
            <v>221000</v>
          </cell>
        </row>
        <row r="253">
          <cell r="P253">
            <v>110500</v>
          </cell>
        </row>
        <row r="254">
          <cell r="P254">
            <v>169000</v>
          </cell>
        </row>
        <row r="255">
          <cell r="P255">
            <v>117000</v>
          </cell>
        </row>
        <row r="256">
          <cell r="P256">
            <v>188500</v>
          </cell>
        </row>
        <row r="257">
          <cell r="P257">
            <v>104000</v>
          </cell>
        </row>
        <row r="259">
          <cell r="P259">
            <v>178750</v>
          </cell>
        </row>
        <row r="260">
          <cell r="P260">
            <v>65000</v>
          </cell>
        </row>
        <row r="261">
          <cell r="P261">
            <v>260000</v>
          </cell>
        </row>
        <row r="262">
          <cell r="P262">
            <v>224250</v>
          </cell>
        </row>
        <row r="263">
          <cell r="P263">
            <v>100750</v>
          </cell>
        </row>
        <row r="264">
          <cell r="P264">
            <v>104000</v>
          </cell>
        </row>
        <row r="265">
          <cell r="P265">
            <v>110500</v>
          </cell>
        </row>
        <row r="266">
          <cell r="P266">
            <v>152750</v>
          </cell>
        </row>
        <row r="267">
          <cell r="P267">
            <v>117000</v>
          </cell>
        </row>
        <row r="269">
          <cell r="P269">
            <v>35750</v>
          </cell>
        </row>
      </sheetData>
      <sheetData sheetId="18"/>
      <sheetData sheetId="19"/>
      <sheetData sheetId="20"/>
      <sheetData sheetId="21"/>
      <sheetData sheetId="22">
        <row r="351">
          <cell r="G351">
            <v>44561</v>
          </cell>
        </row>
        <row r="352">
          <cell r="G352">
            <v>44563</v>
          </cell>
          <cell r="L352">
            <v>116388</v>
          </cell>
        </row>
        <row r="353">
          <cell r="G353">
            <v>44563</v>
          </cell>
          <cell r="L353">
            <v>91500</v>
          </cell>
        </row>
        <row r="354">
          <cell r="G354">
            <v>44563</v>
          </cell>
          <cell r="L354">
            <v>129630</v>
          </cell>
        </row>
        <row r="355">
          <cell r="G355">
            <v>44564</v>
          </cell>
          <cell r="L355">
            <v>79443</v>
          </cell>
        </row>
        <row r="356">
          <cell r="G356">
            <v>44564</v>
          </cell>
          <cell r="L356">
            <v>129630</v>
          </cell>
        </row>
        <row r="357">
          <cell r="G357">
            <v>44564</v>
          </cell>
          <cell r="L357">
            <v>123000</v>
          </cell>
        </row>
        <row r="358">
          <cell r="G358">
            <v>44565</v>
          </cell>
          <cell r="L358">
            <v>123670</v>
          </cell>
        </row>
        <row r="359">
          <cell r="L359">
            <v>143040</v>
          </cell>
        </row>
        <row r="360">
          <cell r="L360">
            <v>130513</v>
          </cell>
        </row>
        <row r="365">
          <cell r="C365">
            <v>128140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>
        <row r="1">
          <cell r="A1">
            <v>2017</v>
          </cell>
        </row>
        <row r="2">
          <cell r="A2">
            <v>2018</v>
          </cell>
        </row>
        <row r="3">
          <cell r="A3">
            <v>2019</v>
          </cell>
        </row>
        <row r="4">
          <cell r="A4">
            <v>2020</v>
          </cell>
        </row>
        <row r="5">
          <cell r="A5">
            <v>2021</v>
          </cell>
        </row>
      </sheetData>
      <sheetData sheetId="1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iago Nicolás Varas Saavedra" id="{330892ED-F6A2-B440-BFC6-03C6FF7CD558}" userId="028fbc3688e6692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E69AF-E518-DD44-AFAA-3F8EB945B0FC}" name="Tabla1" displayName="Tabla1" ref="C1:J1867" totalsRowShown="0" headerRowDxfId="9" dataDxfId="8">
  <autoFilter ref="C1:J1867" xr:uid="{2090D9C1-056B-2A40-AE1A-7357C829FD17}"/>
  <sortState xmlns:xlrd2="http://schemas.microsoft.com/office/spreadsheetml/2017/richdata2" ref="C2:I1809">
    <sortCondition ref="C1:C1809"/>
  </sortState>
  <tableColumns count="8">
    <tableColumn id="1" xr3:uid="{51B49821-AAB2-4749-8C8E-F369F62D4FBB}" name="Fecha" dataDxfId="7"/>
    <tableColumn id="2" xr3:uid="{E28F3C43-CAAA-0142-BA24-BE4AE28B43E1}" name="Descripción" dataDxfId="6"/>
    <tableColumn id="3" xr3:uid="{69CCF409-0141-BB41-8926-A57C3986A2DE}" name="egreso" dataDxfId="5"/>
    <tableColumn id="4" xr3:uid="{CAB6BA16-4624-5C4B-8CFD-2B98FD350ED9}" name="ingreso" dataDxfId="4"/>
    <tableColumn id="5" xr3:uid="{0D8B1390-2172-984C-BDF6-B2105EA0D6A8}" name="Saldo" dataDxfId="3"/>
    <tableColumn id="6" xr3:uid="{13960657-D0A5-D440-8D11-B2E651E309CF}" name="Tipo" dataDxfId="2"/>
    <tableColumn id="9" xr3:uid="{F57E6C18-E88D-9744-9E33-7055A05FB75E}" name="Cliente" dataDxfId="1"/>
    <tableColumn id="7" xr3:uid="{FA2362DE-1079-8F43-96E9-4E453CC4E72F}" name="Columna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15" dT="2025-01-15T21:39:54.17" personId="{330892ED-F6A2-B440-BFC6-03C6FF7CD558}" id="{4DF7A15B-60AE-CE4F-98FE-64BABEDB109A}">
    <text xml:space="preserve">Solo la mitad se transfiere a Aerostratus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4FB9-728F-D848-A8D7-695160A5079E}">
  <dimension ref="A1:AB3606"/>
  <sheetViews>
    <sheetView tabSelected="1" zoomScale="110" zoomScaleNormal="112" workbookViewId="0">
      <pane ySplit="1" topLeftCell="A1852" activePane="bottomLeft" state="frozen"/>
      <selection activeCell="C1" sqref="C1"/>
      <selection pane="bottomLeft" activeCell="F97" sqref="F97"/>
    </sheetView>
  </sheetViews>
  <sheetFormatPr baseColWidth="10" defaultColWidth="10.83203125" defaultRowHeight="16" x14ac:dyDescent="0.2"/>
  <cols>
    <col min="1" max="1" width="1.83203125" customWidth="1"/>
    <col min="2" max="2" width="0.83203125" customWidth="1"/>
    <col min="3" max="3" width="10.83203125" customWidth="1"/>
    <col min="4" max="4" width="73.1640625" bestFit="1" customWidth="1"/>
    <col min="5" max="5" width="13" style="107" bestFit="1" customWidth="1"/>
    <col min="6" max="6" width="17" style="108" bestFit="1" customWidth="1"/>
    <col min="7" max="7" width="13.5" bestFit="1" customWidth="1"/>
    <col min="8" max="8" width="14.1640625" bestFit="1" customWidth="1"/>
    <col min="9" max="9" width="13.5" customWidth="1"/>
    <col min="10" max="10" width="36.1640625" bestFit="1" customWidth="1"/>
    <col min="11" max="11" width="14" customWidth="1"/>
    <col min="12" max="12" width="12.83203125" bestFit="1" customWidth="1"/>
    <col min="13" max="13" width="10.83203125" style="18"/>
    <col min="14" max="14" width="13" style="19" bestFit="1" customWidth="1"/>
    <col min="15" max="15" width="13" style="42" bestFit="1" customWidth="1"/>
    <col min="16" max="16" width="11.83203125" style="24" bestFit="1" customWidth="1"/>
    <col min="17" max="17" width="12" bestFit="1" customWidth="1"/>
    <col min="21" max="21" width="13" style="43" bestFit="1" customWidth="1"/>
    <col min="22" max="22" width="12.33203125" bestFit="1" customWidth="1"/>
    <col min="23" max="23" width="15.1640625" bestFit="1" customWidth="1"/>
    <col min="24" max="25" width="13.5" bestFit="1" customWidth="1"/>
    <col min="26" max="26" width="13.5" customWidth="1"/>
    <col min="27" max="27" width="13.33203125" bestFit="1" customWidth="1"/>
    <col min="28" max="28" width="11.33203125" customWidth="1"/>
    <col min="29" max="29" width="14.6640625" bestFit="1" customWidth="1"/>
  </cols>
  <sheetData>
    <row r="1" spans="1:11" x14ac:dyDescent="0.2">
      <c r="C1" s="1" t="s">
        <v>0</v>
      </c>
      <c r="D1" s="1" t="s">
        <v>1</v>
      </c>
      <c r="E1" s="2" t="s">
        <v>2</v>
      </c>
      <c r="F1" s="3" t="s">
        <v>3</v>
      </c>
      <c r="G1" s="4" t="s">
        <v>4</v>
      </c>
      <c r="H1" s="1" t="s">
        <v>5</v>
      </c>
      <c r="I1" s="4" t="s">
        <v>6</v>
      </c>
      <c r="J1" s="1" t="s">
        <v>7</v>
      </c>
    </row>
    <row r="2" spans="1:11" x14ac:dyDescent="0.2">
      <c r="A2">
        <f>COUNTIF($I$2:I2,'[1]Detalle Pilotos'!$G$3)</f>
        <v>0</v>
      </c>
      <c r="B2">
        <f>IF(C2="","",1)</f>
        <v>1</v>
      </c>
      <c r="C2" s="5">
        <v>43082</v>
      </c>
      <c r="D2" s="1" t="s">
        <v>8</v>
      </c>
      <c r="E2" s="6"/>
      <c r="F2" s="3">
        <v>903000</v>
      </c>
      <c r="G2" s="7">
        <v>903000</v>
      </c>
      <c r="H2" s="7"/>
      <c r="I2" s="7"/>
      <c r="J2" s="4"/>
    </row>
    <row r="3" spans="1:11" x14ac:dyDescent="0.2">
      <c r="A3">
        <f>COUNTIF($I$2:I3,'[1]Detalle Pilotos'!$G$3)</f>
        <v>0</v>
      </c>
      <c r="B3">
        <f>IF(C3="","",1+B2)</f>
        <v>2</v>
      </c>
      <c r="C3" s="5">
        <v>43083</v>
      </c>
      <c r="D3" s="1" t="s">
        <v>9</v>
      </c>
      <c r="E3" s="6"/>
      <c r="F3" s="3">
        <v>50000</v>
      </c>
      <c r="G3" s="7">
        <f>G2+Tabla1[[#This Row],[ingreso]]-Tabla1[[#This Row],[egreso]]</f>
        <v>953000</v>
      </c>
      <c r="H3" s="7"/>
      <c r="I3" s="7" t="s">
        <v>10</v>
      </c>
      <c r="J3" s="4"/>
    </row>
    <row r="4" spans="1:11" x14ac:dyDescent="0.2">
      <c r="A4">
        <f>COUNTIF($I$2:I4,'[1]Detalle Pilotos'!$G$3)</f>
        <v>0</v>
      </c>
      <c r="B4">
        <f t="shared" ref="B4:B67" si="0">IF(C4="","",1+B3)</f>
        <v>3</v>
      </c>
      <c r="C4" s="5">
        <v>43083</v>
      </c>
      <c r="D4" s="1" t="s">
        <v>11</v>
      </c>
      <c r="E4" s="6"/>
      <c r="F4" s="3">
        <v>59500</v>
      </c>
      <c r="G4" s="7">
        <f>G3+Tabla1[[#This Row],[ingreso]]-Tabla1[[#This Row],[egreso]]</f>
        <v>1012500</v>
      </c>
      <c r="H4" s="7"/>
      <c r="I4" s="7" t="s">
        <v>11</v>
      </c>
      <c r="J4" s="4"/>
    </row>
    <row r="5" spans="1:11" x14ac:dyDescent="0.2">
      <c r="A5">
        <f>COUNTIF($I$2:I5,'[1]Detalle Pilotos'!$G$3)</f>
        <v>0</v>
      </c>
      <c r="B5">
        <f t="shared" si="0"/>
        <v>4</v>
      </c>
      <c r="C5" s="5">
        <v>43083</v>
      </c>
      <c r="D5" s="1" t="s">
        <v>9</v>
      </c>
      <c r="E5" s="6"/>
      <c r="F5" s="3">
        <v>211000</v>
      </c>
      <c r="G5" s="7">
        <f>G4+Tabla1[[#This Row],[ingreso]]-Tabla1[[#This Row],[egreso]]</f>
        <v>1223500</v>
      </c>
      <c r="H5" s="7"/>
      <c r="I5" s="7" t="s">
        <v>10</v>
      </c>
      <c r="J5" s="4"/>
    </row>
    <row r="6" spans="1:11" x14ac:dyDescent="0.2">
      <c r="A6">
        <f>COUNTIF($I$2:I6,'[1]Detalle Pilotos'!$G$3)</f>
        <v>0</v>
      </c>
      <c r="B6">
        <f t="shared" si="0"/>
        <v>5</v>
      </c>
      <c r="C6" s="5">
        <v>43083</v>
      </c>
      <c r="D6" s="1" t="s">
        <v>12</v>
      </c>
      <c r="E6" s="6"/>
      <c r="F6" s="3">
        <v>500000</v>
      </c>
      <c r="G6" s="7">
        <f>G5+Tabla1[[#This Row],[ingreso]]-Tabla1[[#This Row],[egreso]]</f>
        <v>1723500</v>
      </c>
      <c r="H6" s="7"/>
      <c r="I6" s="7" t="s">
        <v>13</v>
      </c>
      <c r="J6" s="4"/>
    </row>
    <row r="7" spans="1:11" x14ac:dyDescent="0.2">
      <c r="A7">
        <f>COUNTIF($I$2:I7,'[1]Detalle Pilotos'!$G$3)</f>
        <v>0</v>
      </c>
      <c r="B7">
        <f t="shared" si="0"/>
        <v>6</v>
      </c>
      <c r="C7" s="5">
        <v>43083</v>
      </c>
      <c r="D7" s="1" t="s">
        <v>11</v>
      </c>
      <c r="E7" s="8">
        <v>101074</v>
      </c>
      <c r="F7" s="3"/>
      <c r="G7" s="7">
        <f>G6+Tabla1[[#This Row],[ingreso]]-Tabla1[[#This Row],[egreso]]</f>
        <v>1622426</v>
      </c>
      <c r="H7" s="7" t="s">
        <v>14</v>
      </c>
      <c r="I7" s="7"/>
      <c r="J7" s="4"/>
    </row>
    <row r="8" spans="1:11" x14ac:dyDescent="0.2">
      <c r="A8">
        <f>COUNTIF($I$2:I8,'[1]Detalle Pilotos'!$G$3)</f>
        <v>0</v>
      </c>
      <c r="B8">
        <f t="shared" si="0"/>
        <v>7</v>
      </c>
      <c r="C8" s="5">
        <v>43090</v>
      </c>
      <c r="D8" s="1" t="s">
        <v>11</v>
      </c>
      <c r="E8" s="8">
        <v>97557</v>
      </c>
      <c r="F8" s="3"/>
      <c r="G8" s="7">
        <f>G7+Tabla1[[#This Row],[ingreso]]-Tabla1[[#This Row],[egreso]]</f>
        <v>1524869</v>
      </c>
      <c r="H8" s="7" t="s">
        <v>14</v>
      </c>
      <c r="I8" s="7"/>
      <c r="J8" s="4"/>
      <c r="K8">
        <f>146000000/790</f>
        <v>184810.12658227849</v>
      </c>
    </row>
    <row r="9" spans="1:11" x14ac:dyDescent="0.2">
      <c r="A9">
        <f>COUNTIF($I$2:I9,'[1]Detalle Pilotos'!$G$3)</f>
        <v>0</v>
      </c>
      <c r="B9">
        <f t="shared" si="0"/>
        <v>8</v>
      </c>
      <c r="C9" s="5">
        <v>43091</v>
      </c>
      <c r="D9" s="1" t="s">
        <v>12</v>
      </c>
      <c r="E9" s="6"/>
      <c r="F9" s="3">
        <v>500000</v>
      </c>
      <c r="G9" s="7">
        <f>G8+Tabla1[[#This Row],[ingreso]]-Tabla1[[#This Row],[egreso]]</f>
        <v>2024869</v>
      </c>
      <c r="H9" s="7"/>
      <c r="I9" s="7" t="s">
        <v>13</v>
      </c>
      <c r="J9" s="4"/>
    </row>
    <row r="10" spans="1:11" x14ac:dyDescent="0.2">
      <c r="A10">
        <f>COUNTIF($I$2:I10,'[1]Detalle Pilotos'!$G$3)</f>
        <v>0</v>
      </c>
      <c r="B10">
        <f t="shared" si="0"/>
        <v>9</v>
      </c>
      <c r="C10" s="5">
        <v>43097</v>
      </c>
      <c r="D10" s="1" t="s">
        <v>11</v>
      </c>
      <c r="E10" s="6"/>
      <c r="F10" s="3">
        <v>42500</v>
      </c>
      <c r="G10" s="7">
        <f>G9+Tabla1[[#This Row],[ingreso]]-Tabla1[[#This Row],[egreso]]</f>
        <v>2067369</v>
      </c>
      <c r="H10" s="7"/>
      <c r="I10" s="7" t="s">
        <v>11</v>
      </c>
      <c r="J10" s="4"/>
    </row>
    <row r="11" spans="1:11" x14ac:dyDescent="0.2">
      <c r="A11">
        <f>COUNTIF($I$2:I11,'[1]Detalle Pilotos'!$G$3)</f>
        <v>0</v>
      </c>
      <c r="B11">
        <f t="shared" si="0"/>
        <v>10</v>
      </c>
      <c r="C11" s="5">
        <v>43098</v>
      </c>
      <c r="D11" s="1" t="s">
        <v>15</v>
      </c>
      <c r="E11" s="6"/>
      <c r="F11" s="3">
        <v>51000</v>
      </c>
      <c r="G11" s="7">
        <f>G10+Tabla1[[#This Row],[ingreso]]-Tabla1[[#This Row],[egreso]]</f>
        <v>2118369</v>
      </c>
      <c r="H11" s="7"/>
      <c r="I11" s="7" t="s">
        <v>16</v>
      </c>
      <c r="J11" s="4"/>
    </row>
    <row r="12" spans="1:11" x14ac:dyDescent="0.2">
      <c r="A12">
        <f>COUNTIF($I$2:I12,'[1]Detalle Pilotos'!$G$3)</f>
        <v>0</v>
      </c>
      <c r="B12">
        <f t="shared" si="0"/>
        <v>11</v>
      </c>
      <c r="C12" s="5">
        <v>43098</v>
      </c>
      <c r="D12" s="1" t="s">
        <v>17</v>
      </c>
      <c r="E12" s="8">
        <v>136335</v>
      </c>
      <c r="F12" s="3"/>
      <c r="G12" s="7">
        <f>G11+Tabla1[[#This Row],[ingreso]]-Tabla1[[#This Row],[egreso]]</f>
        <v>1982034</v>
      </c>
      <c r="H12" s="7" t="s">
        <v>18</v>
      </c>
      <c r="I12" s="7"/>
      <c r="J12" s="4"/>
    </row>
    <row r="13" spans="1:11" x14ac:dyDescent="0.2">
      <c r="A13">
        <f>COUNTIF($I$2:I13,'[1]Detalle Pilotos'!$G$3)</f>
        <v>0</v>
      </c>
      <c r="B13">
        <f t="shared" si="0"/>
        <v>12</v>
      </c>
      <c r="C13" s="5">
        <v>43103</v>
      </c>
      <c r="D13" s="1" t="s">
        <v>11</v>
      </c>
      <c r="E13" s="8">
        <v>98420</v>
      </c>
      <c r="F13" s="3"/>
      <c r="G13" s="7">
        <f>G12+Tabla1[[#This Row],[ingreso]]-Tabla1[[#This Row],[egreso]]</f>
        <v>1883614</v>
      </c>
      <c r="H13" s="7" t="s">
        <v>14</v>
      </c>
      <c r="I13" s="7"/>
      <c r="J13" s="4"/>
    </row>
    <row r="14" spans="1:11" x14ac:dyDescent="0.2">
      <c r="A14">
        <f>COUNTIF($I$2:I14,'[1]Detalle Pilotos'!$G$3)</f>
        <v>0</v>
      </c>
      <c r="B14">
        <f t="shared" si="0"/>
        <v>13</v>
      </c>
      <c r="C14" s="5">
        <v>43109</v>
      </c>
      <c r="D14" s="1" t="s">
        <v>11</v>
      </c>
      <c r="E14" s="8">
        <v>89356</v>
      </c>
      <c r="F14" s="3"/>
      <c r="G14" s="7">
        <f>G13+Tabla1[[#This Row],[ingreso]]-Tabla1[[#This Row],[egreso]]</f>
        <v>1794258</v>
      </c>
      <c r="H14" s="7" t="s">
        <v>14</v>
      </c>
      <c r="I14" s="7"/>
      <c r="J14" s="4"/>
    </row>
    <row r="15" spans="1:11" x14ac:dyDescent="0.2">
      <c r="A15">
        <f>COUNTIF($I$2:I15,'[1]Detalle Pilotos'!$G$3)</f>
        <v>0</v>
      </c>
      <c r="B15">
        <f t="shared" si="0"/>
        <v>14</v>
      </c>
      <c r="C15" s="5">
        <v>43110</v>
      </c>
      <c r="D15" s="1" t="s">
        <v>11</v>
      </c>
      <c r="E15" s="6"/>
      <c r="F15" s="3">
        <v>212500</v>
      </c>
      <c r="G15" s="7">
        <f>G14+Tabla1[[#This Row],[ingreso]]-Tabla1[[#This Row],[egreso]]</f>
        <v>2006758</v>
      </c>
      <c r="H15" s="7"/>
      <c r="I15" s="7" t="s">
        <v>11</v>
      </c>
      <c r="J15" s="4"/>
    </row>
    <row r="16" spans="1:11" x14ac:dyDescent="0.2">
      <c r="A16">
        <f>COUNTIF($I$2:I16,'[1]Detalle Pilotos'!$G$3)</f>
        <v>0</v>
      </c>
      <c r="B16">
        <f t="shared" si="0"/>
        <v>15</v>
      </c>
      <c r="C16" s="5">
        <v>43118</v>
      </c>
      <c r="D16" s="1" t="s">
        <v>12</v>
      </c>
      <c r="E16" s="6"/>
      <c r="F16" s="3">
        <v>500000</v>
      </c>
      <c r="G16" s="7">
        <f>G15+Tabla1[[#This Row],[ingreso]]-Tabla1[[#This Row],[egreso]]</f>
        <v>2506758</v>
      </c>
      <c r="H16" s="7"/>
      <c r="I16" s="7" t="s">
        <v>13</v>
      </c>
      <c r="J16" s="4"/>
    </row>
    <row r="17" spans="1:10" x14ac:dyDescent="0.2">
      <c r="A17">
        <f>COUNTIF($I$2:I17,'[1]Detalle Pilotos'!$G$3)</f>
        <v>0</v>
      </c>
      <c r="B17">
        <f t="shared" si="0"/>
        <v>16</v>
      </c>
      <c r="C17" s="5">
        <v>43119</v>
      </c>
      <c r="D17" s="1" t="s">
        <v>19</v>
      </c>
      <c r="E17" s="8">
        <v>2419999</v>
      </c>
      <c r="F17" s="3"/>
      <c r="G17" s="7">
        <f>G16+Tabla1[[#This Row],[ingreso]]-Tabla1[[#This Row],[egreso]]</f>
        <v>86759</v>
      </c>
      <c r="H17" s="7" t="s">
        <v>20</v>
      </c>
      <c r="I17" s="7"/>
      <c r="J17" s="4"/>
    </row>
    <row r="18" spans="1:10" x14ac:dyDescent="0.2">
      <c r="A18">
        <f>COUNTIF($I$2:I18,'[1]Detalle Pilotos'!$G$3)</f>
        <v>0</v>
      </c>
      <c r="B18">
        <f t="shared" si="0"/>
        <v>17</v>
      </c>
      <c r="C18" s="5">
        <v>43124</v>
      </c>
      <c r="D18" s="1" t="s">
        <v>11</v>
      </c>
      <c r="E18" s="8">
        <v>69930</v>
      </c>
      <c r="F18" s="3"/>
      <c r="G18" s="7">
        <f>G17+Tabla1[[#This Row],[ingreso]]-Tabla1[[#This Row],[egreso]]</f>
        <v>16829</v>
      </c>
      <c r="H18" s="7" t="s">
        <v>14</v>
      </c>
      <c r="I18" s="7"/>
      <c r="J18" s="4"/>
    </row>
    <row r="19" spans="1:10" x14ac:dyDescent="0.2">
      <c r="A19">
        <f>COUNTIF($I$2:I19,'[1]Detalle Pilotos'!$G$3)</f>
        <v>0</v>
      </c>
      <c r="B19">
        <f t="shared" si="0"/>
        <v>18</v>
      </c>
      <c r="C19" s="5">
        <v>43125</v>
      </c>
      <c r="D19" s="1" t="s">
        <v>12</v>
      </c>
      <c r="E19" s="6"/>
      <c r="F19" s="3">
        <v>500000</v>
      </c>
      <c r="G19" s="7">
        <f>G18+Tabla1[[#This Row],[ingreso]]-Tabla1[[#This Row],[egreso]]</f>
        <v>516829</v>
      </c>
      <c r="H19" s="7"/>
      <c r="I19" s="7" t="s">
        <v>13</v>
      </c>
      <c r="J19" s="4"/>
    </row>
    <row r="20" spans="1:10" x14ac:dyDescent="0.2">
      <c r="A20">
        <f>COUNTIF($I$2:I20,'[1]Detalle Pilotos'!$G$3)</f>
        <v>0</v>
      </c>
      <c r="B20">
        <f t="shared" si="0"/>
        <v>19</v>
      </c>
      <c r="C20" s="5">
        <v>43130</v>
      </c>
      <c r="D20" s="1" t="s">
        <v>11</v>
      </c>
      <c r="E20" s="8">
        <v>41958</v>
      </c>
      <c r="F20" s="3"/>
      <c r="G20" s="7">
        <f>G19+Tabla1[[#This Row],[ingreso]]-Tabla1[[#This Row],[egreso]]</f>
        <v>474871</v>
      </c>
      <c r="H20" s="7" t="s">
        <v>14</v>
      </c>
      <c r="I20" s="7"/>
      <c r="J20" s="4"/>
    </row>
    <row r="21" spans="1:10" x14ac:dyDescent="0.2">
      <c r="A21">
        <f>COUNTIF($I$2:I21,'[1]Detalle Pilotos'!$G$3)</f>
        <v>0</v>
      </c>
      <c r="B21">
        <f t="shared" si="0"/>
        <v>20</v>
      </c>
      <c r="C21" s="5">
        <v>43133</v>
      </c>
      <c r="D21" s="1" t="s">
        <v>11</v>
      </c>
      <c r="E21" s="8">
        <v>82620</v>
      </c>
      <c r="F21" s="3"/>
      <c r="G21" s="7">
        <f>G20+Tabla1[[#This Row],[ingreso]]-Tabla1[[#This Row],[egreso]]</f>
        <v>392251</v>
      </c>
      <c r="H21" s="7" t="s">
        <v>14</v>
      </c>
      <c r="I21" s="7"/>
      <c r="J21" s="4"/>
    </row>
    <row r="22" spans="1:10" x14ac:dyDescent="0.2">
      <c r="A22">
        <f>COUNTIF($I$2:I22,'[1]Detalle Pilotos'!$G$3)</f>
        <v>0</v>
      </c>
      <c r="B22">
        <f t="shared" si="0"/>
        <v>21</v>
      </c>
      <c r="C22" s="5">
        <v>43137</v>
      </c>
      <c r="D22" s="1" t="s">
        <v>21</v>
      </c>
      <c r="E22" s="6"/>
      <c r="F22" s="3">
        <v>25000</v>
      </c>
      <c r="G22" s="7">
        <f>G21+Tabla1[[#This Row],[ingreso]]-Tabla1[[#This Row],[egreso]]</f>
        <v>417251</v>
      </c>
      <c r="H22" s="7" t="s">
        <v>22</v>
      </c>
      <c r="I22" s="7"/>
      <c r="J22" s="4"/>
    </row>
    <row r="23" spans="1:10" x14ac:dyDescent="0.2">
      <c r="A23">
        <f>COUNTIF($I$2:I23,'[1]Detalle Pilotos'!$G$3)</f>
        <v>0</v>
      </c>
      <c r="B23">
        <f t="shared" si="0"/>
        <v>22</v>
      </c>
      <c r="C23" s="5">
        <v>43137</v>
      </c>
      <c r="D23" s="1" t="s">
        <v>21</v>
      </c>
      <c r="E23" s="8">
        <v>50000</v>
      </c>
      <c r="F23" s="3"/>
      <c r="G23" s="7">
        <f>G22+Tabla1[[#This Row],[ingreso]]-Tabla1[[#This Row],[egreso]]</f>
        <v>367251</v>
      </c>
      <c r="H23" s="7" t="s">
        <v>22</v>
      </c>
      <c r="I23" s="7"/>
      <c r="J23" s="4"/>
    </row>
    <row r="24" spans="1:10" x14ac:dyDescent="0.2">
      <c r="A24">
        <f>COUNTIF($I$2:I24,'[1]Detalle Pilotos'!$G$3)</f>
        <v>0</v>
      </c>
      <c r="B24">
        <f t="shared" si="0"/>
        <v>23</v>
      </c>
      <c r="C24" s="5">
        <v>43138</v>
      </c>
      <c r="D24" s="1" t="s">
        <v>21</v>
      </c>
      <c r="E24" s="6"/>
      <c r="F24" s="3">
        <v>25000</v>
      </c>
      <c r="G24" s="7">
        <f>G23+Tabla1[[#This Row],[ingreso]]-Tabla1[[#This Row],[egreso]]</f>
        <v>392251</v>
      </c>
      <c r="H24" s="7" t="s">
        <v>22</v>
      </c>
      <c r="I24" s="7"/>
      <c r="J24" s="4"/>
    </row>
    <row r="25" spans="1:10" x14ac:dyDescent="0.2">
      <c r="A25">
        <f>COUNTIF($I$2:I25,'[1]Detalle Pilotos'!$G$3)</f>
        <v>0</v>
      </c>
      <c r="B25">
        <f t="shared" si="0"/>
        <v>24</v>
      </c>
      <c r="C25" s="5">
        <v>43140</v>
      </c>
      <c r="D25" s="1" t="s">
        <v>11</v>
      </c>
      <c r="E25" s="8">
        <v>28560</v>
      </c>
      <c r="F25" s="3"/>
      <c r="G25" s="7">
        <f>G24+Tabla1[[#This Row],[ingreso]]-Tabla1[[#This Row],[egreso]]</f>
        <v>363691</v>
      </c>
      <c r="H25" s="7" t="s">
        <v>14</v>
      </c>
      <c r="I25" s="7"/>
      <c r="J25" s="4"/>
    </row>
    <row r="26" spans="1:10" x14ac:dyDescent="0.2">
      <c r="A26">
        <f>COUNTIF($I$2:I26,'[1]Detalle Pilotos'!$G$3)</f>
        <v>0</v>
      </c>
      <c r="B26">
        <f t="shared" si="0"/>
        <v>25</v>
      </c>
      <c r="C26" s="5">
        <v>43140</v>
      </c>
      <c r="D26" s="1" t="s">
        <v>11</v>
      </c>
      <c r="E26" s="8">
        <v>78750</v>
      </c>
      <c r="F26" s="3"/>
      <c r="G26" s="7">
        <f>G25+Tabla1[[#This Row],[ingreso]]-Tabla1[[#This Row],[egreso]]</f>
        <v>284941</v>
      </c>
      <c r="H26" s="7" t="s">
        <v>14</v>
      </c>
      <c r="I26" s="7"/>
      <c r="J26" s="4"/>
    </row>
    <row r="27" spans="1:10" x14ac:dyDescent="0.2">
      <c r="A27">
        <f>COUNTIF($I$2:I27,'[1]Detalle Pilotos'!$G$3)</f>
        <v>0</v>
      </c>
      <c r="B27">
        <f t="shared" si="0"/>
        <v>26</v>
      </c>
      <c r="C27" s="5">
        <v>43140</v>
      </c>
      <c r="D27" s="1" t="s">
        <v>11</v>
      </c>
      <c r="E27" s="8">
        <v>95700</v>
      </c>
      <c r="F27" s="3"/>
      <c r="G27" s="7">
        <f>G26+Tabla1[[#This Row],[ingreso]]-Tabla1[[#This Row],[egreso]]</f>
        <v>189241</v>
      </c>
      <c r="H27" s="7" t="s">
        <v>14</v>
      </c>
      <c r="I27" s="7"/>
      <c r="J27" s="4"/>
    </row>
    <row r="28" spans="1:10" x14ac:dyDescent="0.2">
      <c r="A28">
        <f>COUNTIF($I$2:I28,'[1]Detalle Pilotos'!$G$3)</f>
        <v>0</v>
      </c>
      <c r="B28">
        <f t="shared" si="0"/>
        <v>27</v>
      </c>
      <c r="C28" s="5">
        <v>43140</v>
      </c>
      <c r="D28" s="1" t="s">
        <v>17</v>
      </c>
      <c r="E28" s="8">
        <v>141723</v>
      </c>
      <c r="F28" s="3"/>
      <c r="G28" s="7">
        <f>G27+Tabla1[[#This Row],[ingreso]]-Tabla1[[#This Row],[egreso]]</f>
        <v>47518</v>
      </c>
      <c r="H28" s="7" t="s">
        <v>18</v>
      </c>
      <c r="I28" s="7"/>
      <c r="J28" s="4"/>
    </row>
    <row r="29" spans="1:10" x14ac:dyDescent="0.2">
      <c r="A29">
        <f>COUNTIF($I$2:I29,'[1]Detalle Pilotos'!$G$3)</f>
        <v>0</v>
      </c>
      <c r="B29">
        <f t="shared" si="0"/>
        <v>28</v>
      </c>
      <c r="C29" s="5">
        <v>43143</v>
      </c>
      <c r="D29" s="1" t="s">
        <v>11</v>
      </c>
      <c r="E29" s="6"/>
      <c r="F29" s="3">
        <v>68000</v>
      </c>
      <c r="G29" s="7">
        <f>G28+Tabla1[[#This Row],[ingreso]]-Tabla1[[#This Row],[egreso]]</f>
        <v>115518</v>
      </c>
      <c r="H29" s="7"/>
      <c r="I29" s="7" t="s">
        <v>11</v>
      </c>
      <c r="J29" s="4"/>
    </row>
    <row r="30" spans="1:10" x14ac:dyDescent="0.2">
      <c r="A30">
        <f>COUNTIF($I$2:I30,'[1]Detalle Pilotos'!$G$3)</f>
        <v>0</v>
      </c>
      <c r="B30">
        <f t="shared" si="0"/>
        <v>29</v>
      </c>
      <c r="C30" s="5">
        <v>43143</v>
      </c>
      <c r="D30" s="1" t="s">
        <v>11</v>
      </c>
      <c r="E30" s="6"/>
      <c r="F30" s="3">
        <v>93500</v>
      </c>
      <c r="G30" s="7">
        <f>G29+Tabla1[[#This Row],[ingreso]]-Tabla1[[#This Row],[egreso]]</f>
        <v>209018</v>
      </c>
      <c r="H30" s="7"/>
      <c r="I30" s="7" t="s">
        <v>11</v>
      </c>
      <c r="J30" s="4"/>
    </row>
    <row r="31" spans="1:10" x14ac:dyDescent="0.2">
      <c r="A31">
        <f>COUNTIF($I$2:I31,'[1]Detalle Pilotos'!$G$3)</f>
        <v>0</v>
      </c>
      <c r="B31">
        <f t="shared" si="0"/>
        <v>30</v>
      </c>
      <c r="C31" s="5">
        <v>43143</v>
      </c>
      <c r="D31" s="1" t="s">
        <v>23</v>
      </c>
      <c r="E31" s="6"/>
      <c r="F31" s="3">
        <v>161500</v>
      </c>
      <c r="G31" s="7">
        <f>G30+Tabla1[[#This Row],[ingreso]]-Tabla1[[#This Row],[egreso]]</f>
        <v>370518</v>
      </c>
      <c r="H31" s="7"/>
      <c r="I31" s="7" t="s">
        <v>24</v>
      </c>
      <c r="J31" s="4"/>
    </row>
    <row r="32" spans="1:10" x14ac:dyDescent="0.2">
      <c r="A32">
        <f>COUNTIF($I$2:I32,'[1]Detalle Pilotos'!$G$3)</f>
        <v>0</v>
      </c>
      <c r="B32">
        <f t="shared" si="0"/>
        <v>31</v>
      </c>
      <c r="C32" s="5">
        <v>43143</v>
      </c>
      <c r="D32" s="1" t="s">
        <v>23</v>
      </c>
      <c r="E32" s="6"/>
      <c r="F32" s="3">
        <v>228000</v>
      </c>
      <c r="G32" s="7">
        <f>G31+Tabla1[[#This Row],[ingreso]]-Tabla1[[#This Row],[egreso]]</f>
        <v>598518</v>
      </c>
      <c r="H32" s="7"/>
      <c r="I32" s="7" t="s">
        <v>24</v>
      </c>
      <c r="J32" s="4"/>
    </row>
    <row r="33" spans="1:10" x14ac:dyDescent="0.2">
      <c r="A33">
        <f>COUNTIF($I$2:I33,'[1]Detalle Pilotos'!$G$3)</f>
        <v>0</v>
      </c>
      <c r="B33">
        <f t="shared" si="0"/>
        <v>32</v>
      </c>
      <c r="C33" s="5">
        <v>43143</v>
      </c>
      <c r="D33" s="1" t="s">
        <v>23</v>
      </c>
      <c r="E33" s="6"/>
      <c r="F33" s="3">
        <v>399000</v>
      </c>
      <c r="G33" s="7">
        <f>G32+Tabla1[[#This Row],[ingreso]]-Tabla1[[#This Row],[egreso]]</f>
        <v>997518</v>
      </c>
      <c r="H33" s="7"/>
      <c r="I33" s="7" t="s">
        <v>24</v>
      </c>
      <c r="J33" s="4"/>
    </row>
    <row r="34" spans="1:10" x14ac:dyDescent="0.2">
      <c r="A34">
        <f>COUNTIF($I$2:I34,'[1]Detalle Pilotos'!$G$3)</f>
        <v>0</v>
      </c>
      <c r="B34">
        <f t="shared" si="0"/>
        <v>33</v>
      </c>
      <c r="C34" s="5">
        <v>43143</v>
      </c>
      <c r="D34" s="1" t="s">
        <v>11</v>
      </c>
      <c r="E34" s="8">
        <v>22300</v>
      </c>
      <c r="F34" s="3"/>
      <c r="G34" s="7">
        <f>G33+Tabla1[[#This Row],[ingreso]]-Tabla1[[#This Row],[egreso]]</f>
        <v>975218</v>
      </c>
      <c r="H34" s="7" t="s">
        <v>14</v>
      </c>
      <c r="I34" s="7"/>
      <c r="J34" s="4"/>
    </row>
    <row r="35" spans="1:10" x14ac:dyDescent="0.2">
      <c r="A35">
        <f>COUNTIF($I$2:I35,'[1]Detalle Pilotos'!$G$3)</f>
        <v>0</v>
      </c>
      <c r="B35">
        <f t="shared" si="0"/>
        <v>34</v>
      </c>
      <c r="C35" s="5">
        <v>43143</v>
      </c>
      <c r="D35" s="1" t="s">
        <v>11</v>
      </c>
      <c r="E35" s="8">
        <v>65560</v>
      </c>
      <c r="F35" s="3"/>
      <c r="G35" s="7">
        <f>G34+Tabla1[[#This Row],[ingreso]]-Tabla1[[#This Row],[egreso]]</f>
        <v>909658</v>
      </c>
      <c r="H35" s="7" t="s">
        <v>14</v>
      </c>
      <c r="I35" s="7"/>
      <c r="J35" s="4"/>
    </row>
    <row r="36" spans="1:10" x14ac:dyDescent="0.2">
      <c r="A36">
        <f>COUNTIF($I$2:I36,'[1]Detalle Pilotos'!$G$3)</f>
        <v>0</v>
      </c>
      <c r="B36">
        <f t="shared" si="0"/>
        <v>35</v>
      </c>
      <c r="C36" s="5">
        <v>43143</v>
      </c>
      <c r="D36" s="1" t="s">
        <v>25</v>
      </c>
      <c r="E36" s="8">
        <v>108308</v>
      </c>
      <c r="F36" s="3"/>
      <c r="G36" s="7">
        <f>G35+Tabla1[[#This Row],[ingreso]]-Tabla1[[#This Row],[egreso]]</f>
        <v>801350</v>
      </c>
      <c r="H36" s="7" t="s">
        <v>18</v>
      </c>
      <c r="I36" s="7"/>
      <c r="J36" s="4"/>
    </row>
    <row r="37" spans="1:10" x14ac:dyDescent="0.2">
      <c r="A37">
        <f>COUNTIF($I$2:I37,'[1]Detalle Pilotos'!$G$3)</f>
        <v>0</v>
      </c>
      <c r="B37">
        <f t="shared" si="0"/>
        <v>36</v>
      </c>
      <c r="C37" s="5">
        <v>43144</v>
      </c>
      <c r="D37" s="1" t="s">
        <v>11</v>
      </c>
      <c r="E37" s="8">
        <v>55110</v>
      </c>
      <c r="F37" s="3"/>
      <c r="G37" s="7">
        <f>G36+Tabla1[[#This Row],[ingreso]]-Tabla1[[#This Row],[egreso]]</f>
        <v>746240</v>
      </c>
      <c r="H37" s="7" t="s">
        <v>14</v>
      </c>
      <c r="I37" s="7"/>
      <c r="J37" s="4"/>
    </row>
    <row r="38" spans="1:10" x14ac:dyDescent="0.2">
      <c r="A38">
        <f>COUNTIF($I$2:I38,'[1]Detalle Pilotos'!$G$3)</f>
        <v>0</v>
      </c>
      <c r="B38">
        <f t="shared" si="0"/>
        <v>37</v>
      </c>
      <c r="C38" s="5">
        <v>43144</v>
      </c>
      <c r="D38" s="1" t="s">
        <v>26</v>
      </c>
      <c r="E38" s="8">
        <v>87120</v>
      </c>
      <c r="F38" s="3"/>
      <c r="G38" s="7">
        <f>G37+Tabla1[[#This Row],[ingreso]]-Tabla1[[#This Row],[egreso]]</f>
        <v>659120</v>
      </c>
      <c r="H38" s="7" t="s">
        <v>14</v>
      </c>
      <c r="I38" s="7"/>
      <c r="J38" s="4"/>
    </row>
    <row r="39" spans="1:10" x14ac:dyDescent="0.2">
      <c r="A39">
        <f>COUNTIF($I$2:I39,'[1]Detalle Pilotos'!$G$3)</f>
        <v>0</v>
      </c>
      <c r="B39">
        <f t="shared" si="0"/>
        <v>38</v>
      </c>
      <c r="C39" s="5">
        <v>43146</v>
      </c>
      <c r="D39" s="1" t="s">
        <v>27</v>
      </c>
      <c r="E39" s="6"/>
      <c r="F39" s="3">
        <v>350000</v>
      </c>
      <c r="G39" s="7">
        <f>G38+Tabla1[[#This Row],[ingreso]]-Tabla1[[#This Row],[egreso]]</f>
        <v>1009120</v>
      </c>
      <c r="H39" s="7"/>
      <c r="I39" s="7"/>
      <c r="J39" s="4"/>
    </row>
    <row r="40" spans="1:10" x14ac:dyDescent="0.2">
      <c r="A40">
        <f>COUNTIF($I$2:I40,'[1]Detalle Pilotos'!$G$3)</f>
        <v>0</v>
      </c>
      <c r="B40">
        <f t="shared" si="0"/>
        <v>39</v>
      </c>
      <c r="C40" s="9">
        <v>43148</v>
      </c>
      <c r="D40" s="4" t="s">
        <v>11</v>
      </c>
      <c r="E40" s="8">
        <v>99330</v>
      </c>
      <c r="F40" s="3"/>
      <c r="G40" s="7">
        <f>G39+Tabla1[[#This Row],[ingreso]]-Tabla1[[#This Row],[egreso]]</f>
        <v>909790</v>
      </c>
      <c r="H40" s="7" t="s">
        <v>14</v>
      </c>
      <c r="I40" s="7"/>
      <c r="J40" s="4"/>
    </row>
    <row r="41" spans="1:10" x14ac:dyDescent="0.2">
      <c r="A41">
        <f>COUNTIF($I$2:I41,'[1]Detalle Pilotos'!$G$3)</f>
        <v>0</v>
      </c>
      <c r="B41">
        <f t="shared" si="0"/>
        <v>40</v>
      </c>
      <c r="C41" s="5">
        <v>43159</v>
      </c>
      <c r="D41" s="1" t="s">
        <v>15</v>
      </c>
      <c r="E41" s="6"/>
      <c r="F41" s="3">
        <v>93500</v>
      </c>
      <c r="G41" s="7">
        <f>G40+Tabla1[[#This Row],[ingreso]]-Tabla1[[#This Row],[egreso]]</f>
        <v>1003290</v>
      </c>
      <c r="H41" s="7"/>
      <c r="I41" s="7" t="s">
        <v>16</v>
      </c>
      <c r="J41" s="4"/>
    </row>
    <row r="42" spans="1:10" x14ac:dyDescent="0.2">
      <c r="A42">
        <f>COUNTIF($I$2:I42,'[1]Detalle Pilotos'!$G$3)</f>
        <v>0</v>
      </c>
      <c r="B42">
        <f t="shared" si="0"/>
        <v>41</v>
      </c>
      <c r="C42" s="5">
        <v>43159</v>
      </c>
      <c r="D42" s="1" t="s">
        <v>15</v>
      </c>
      <c r="E42" s="8">
        <v>35700</v>
      </c>
      <c r="F42" s="3"/>
      <c r="G42" s="7">
        <f>G41+Tabla1[[#This Row],[ingreso]]-Tabla1[[#This Row],[egreso]]</f>
        <v>967590</v>
      </c>
      <c r="H42" s="7" t="s">
        <v>14</v>
      </c>
      <c r="I42" s="7" t="s">
        <v>16</v>
      </c>
      <c r="J42" s="4"/>
    </row>
    <row r="43" spans="1:10" x14ac:dyDescent="0.2">
      <c r="A43">
        <f>COUNTIF($I$2:I43,'[1]Detalle Pilotos'!$G$3)</f>
        <v>0</v>
      </c>
      <c r="B43">
        <f t="shared" si="0"/>
        <v>42</v>
      </c>
      <c r="C43" s="5">
        <v>43164</v>
      </c>
      <c r="D43" s="1" t="s">
        <v>11</v>
      </c>
      <c r="E43" s="6"/>
      <c r="F43" s="3">
        <v>68000</v>
      </c>
      <c r="G43" s="7">
        <f>G42+Tabla1[[#This Row],[ingreso]]-Tabla1[[#This Row],[egreso]]</f>
        <v>1035590</v>
      </c>
      <c r="H43" s="7"/>
      <c r="I43" s="7" t="s">
        <v>11</v>
      </c>
      <c r="J43" s="4"/>
    </row>
    <row r="44" spans="1:10" x14ac:dyDescent="0.2">
      <c r="A44">
        <f>COUNTIF($I$2:I44,'[1]Detalle Pilotos'!$G$3)</f>
        <v>0</v>
      </c>
      <c r="B44">
        <f t="shared" si="0"/>
        <v>43</v>
      </c>
      <c r="C44" s="9">
        <v>43164</v>
      </c>
      <c r="D44" s="4" t="s">
        <v>11</v>
      </c>
      <c r="E44" s="8">
        <v>109782</v>
      </c>
      <c r="F44" s="3"/>
      <c r="G44" s="7">
        <f>G43+Tabla1[[#This Row],[ingreso]]-Tabla1[[#This Row],[egreso]]</f>
        <v>925808</v>
      </c>
      <c r="H44" s="7" t="s">
        <v>14</v>
      </c>
      <c r="I44" s="7"/>
      <c r="J44" s="4"/>
    </row>
    <row r="45" spans="1:10" x14ac:dyDescent="0.2">
      <c r="A45">
        <f>COUNTIF($I$2:I45,'[1]Detalle Pilotos'!$G$3)</f>
        <v>0</v>
      </c>
      <c r="B45">
        <f t="shared" si="0"/>
        <v>44</v>
      </c>
      <c r="C45" s="5">
        <v>43167</v>
      </c>
      <c r="D45" s="1" t="s">
        <v>28</v>
      </c>
      <c r="E45" s="6"/>
      <c r="F45" s="3">
        <v>270000</v>
      </c>
      <c r="G45" s="7">
        <f>G44+Tabla1[[#This Row],[ingreso]]-Tabla1[[#This Row],[egreso]]</f>
        <v>1195808</v>
      </c>
      <c r="H45" s="7"/>
      <c r="I45" s="7"/>
      <c r="J45" s="4"/>
    </row>
    <row r="46" spans="1:10" x14ac:dyDescent="0.2">
      <c r="A46">
        <f>COUNTIF($I$2:I46,'[1]Detalle Pilotos'!$G$3)</f>
        <v>0</v>
      </c>
      <c r="B46">
        <f t="shared" si="0"/>
        <v>45</v>
      </c>
      <c r="C46" s="5">
        <v>43167</v>
      </c>
      <c r="D46" s="1" t="s">
        <v>29</v>
      </c>
      <c r="E46" s="8">
        <v>1400000</v>
      </c>
      <c r="F46" s="3"/>
      <c r="G46" s="7">
        <f>G45+Tabla1[[#This Row],[ingreso]]-Tabla1[[#This Row],[egreso]]</f>
        <v>-204192</v>
      </c>
      <c r="H46" s="7" t="s">
        <v>22</v>
      </c>
      <c r="I46" s="7"/>
      <c r="J46" s="4"/>
    </row>
    <row r="47" spans="1:10" x14ac:dyDescent="0.2">
      <c r="A47">
        <f>COUNTIF($I$2:I47,'[1]Detalle Pilotos'!$G$3)</f>
        <v>0</v>
      </c>
      <c r="B47">
        <f t="shared" si="0"/>
        <v>46</v>
      </c>
      <c r="C47" s="9">
        <v>43168</v>
      </c>
      <c r="D47" s="4" t="s">
        <v>15</v>
      </c>
      <c r="E47" s="8">
        <v>36594</v>
      </c>
      <c r="F47" s="3"/>
      <c r="G47" s="7">
        <f>G46+Tabla1[[#This Row],[ingreso]]-Tabla1[[#This Row],[egreso]]</f>
        <v>-240786</v>
      </c>
      <c r="H47" s="7" t="s">
        <v>14</v>
      </c>
      <c r="I47" s="7" t="s">
        <v>16</v>
      </c>
      <c r="J47" s="4"/>
    </row>
    <row r="48" spans="1:10" x14ac:dyDescent="0.2">
      <c r="A48">
        <f>COUNTIF($I$2:I48,'[1]Detalle Pilotos'!$G$3)</f>
        <v>0</v>
      </c>
      <c r="B48">
        <f t="shared" si="0"/>
        <v>47</v>
      </c>
      <c r="C48" s="9">
        <v>43169</v>
      </c>
      <c r="D48" s="4" t="s">
        <v>15</v>
      </c>
      <c r="E48" s="8">
        <v>33705</v>
      </c>
      <c r="F48" s="3"/>
      <c r="G48" s="7">
        <f>G47+Tabla1[[#This Row],[ingreso]]-Tabla1[[#This Row],[egreso]]</f>
        <v>-274491</v>
      </c>
      <c r="H48" s="7" t="s">
        <v>14</v>
      </c>
      <c r="I48" s="7" t="s">
        <v>16</v>
      </c>
      <c r="J48" s="4"/>
    </row>
    <row r="49" spans="1:10" x14ac:dyDescent="0.2">
      <c r="A49">
        <f>COUNTIF($I$2:I49,'[1]Detalle Pilotos'!$G$3)</f>
        <v>0</v>
      </c>
      <c r="B49">
        <f t="shared" si="0"/>
        <v>48</v>
      </c>
      <c r="C49" s="9">
        <v>43178</v>
      </c>
      <c r="D49" s="4" t="s">
        <v>11</v>
      </c>
      <c r="E49" s="8">
        <v>84744</v>
      </c>
      <c r="F49" s="3"/>
      <c r="G49" s="7">
        <f>G48+Tabla1[[#This Row],[ingreso]]-Tabla1[[#This Row],[egreso]]</f>
        <v>-359235</v>
      </c>
      <c r="H49" s="7" t="s">
        <v>14</v>
      </c>
      <c r="I49" s="7"/>
      <c r="J49" s="4"/>
    </row>
    <row r="50" spans="1:10" x14ac:dyDescent="0.2">
      <c r="A50">
        <f>COUNTIF($I$2:I50,'[1]Detalle Pilotos'!$G$3)</f>
        <v>0</v>
      </c>
      <c r="B50">
        <f t="shared" si="0"/>
        <v>49</v>
      </c>
      <c r="C50" s="9">
        <v>43180</v>
      </c>
      <c r="D50" s="4" t="s">
        <v>11</v>
      </c>
      <c r="E50" s="8">
        <v>75000</v>
      </c>
      <c r="F50" s="3"/>
      <c r="G50" s="7">
        <f>G49+Tabla1[[#This Row],[ingreso]]-Tabla1[[#This Row],[egreso]]</f>
        <v>-434235</v>
      </c>
      <c r="H50" s="7" t="s">
        <v>14</v>
      </c>
      <c r="I50" s="7"/>
      <c r="J50" s="4"/>
    </row>
    <row r="51" spans="1:10" x14ac:dyDescent="0.2">
      <c r="A51">
        <f>COUNTIF($I$2:I51,'[1]Detalle Pilotos'!$G$3)</f>
        <v>0</v>
      </c>
      <c r="B51">
        <f t="shared" si="0"/>
        <v>50</v>
      </c>
      <c r="C51" s="9">
        <v>43184</v>
      </c>
      <c r="D51" s="4" t="s">
        <v>11</v>
      </c>
      <c r="E51" s="8">
        <v>81564</v>
      </c>
      <c r="F51" s="3"/>
      <c r="G51" s="7">
        <f>G50+Tabla1[[#This Row],[ingreso]]-Tabla1[[#This Row],[egreso]]</f>
        <v>-515799</v>
      </c>
      <c r="H51" s="7" t="s">
        <v>14</v>
      </c>
      <c r="I51" s="7"/>
      <c r="J51" s="4"/>
    </row>
    <row r="52" spans="1:10" x14ac:dyDescent="0.2">
      <c r="A52">
        <f>COUNTIF($I$2:I52,'[1]Detalle Pilotos'!$G$3)</f>
        <v>0</v>
      </c>
      <c r="B52">
        <f t="shared" si="0"/>
        <v>51</v>
      </c>
      <c r="C52" s="9">
        <v>43184</v>
      </c>
      <c r="D52" s="4" t="s">
        <v>11</v>
      </c>
      <c r="E52" s="8">
        <v>64086</v>
      </c>
      <c r="F52" s="3"/>
      <c r="G52" s="7">
        <f>G51+Tabla1[[#This Row],[ingreso]]-Tabla1[[#This Row],[egreso]]</f>
        <v>-579885</v>
      </c>
      <c r="H52" s="7" t="s">
        <v>14</v>
      </c>
      <c r="I52" s="7"/>
      <c r="J52" s="4"/>
    </row>
    <row r="53" spans="1:10" x14ac:dyDescent="0.2">
      <c r="A53">
        <f>COUNTIF($I$2:I53,'[1]Detalle Pilotos'!$G$3)</f>
        <v>0</v>
      </c>
      <c r="B53">
        <f t="shared" si="0"/>
        <v>52</v>
      </c>
      <c r="C53" s="5">
        <v>43188</v>
      </c>
      <c r="D53" s="1" t="s">
        <v>15</v>
      </c>
      <c r="E53" s="6"/>
      <c r="F53" s="3">
        <v>136000</v>
      </c>
      <c r="G53" s="7">
        <f>G52+Tabla1[[#This Row],[ingreso]]-Tabla1[[#This Row],[egreso]]</f>
        <v>-443885</v>
      </c>
      <c r="H53" s="7"/>
      <c r="I53" s="7" t="s">
        <v>16</v>
      </c>
      <c r="J53" s="4"/>
    </row>
    <row r="54" spans="1:10" x14ac:dyDescent="0.2">
      <c r="A54">
        <f>COUNTIF($I$2:I54,'[1]Detalle Pilotos'!$G$3)</f>
        <v>0</v>
      </c>
      <c r="B54">
        <f t="shared" si="0"/>
        <v>53</v>
      </c>
      <c r="C54" s="9">
        <v>43189</v>
      </c>
      <c r="D54" s="4" t="s">
        <v>15</v>
      </c>
      <c r="E54" s="8">
        <v>90303</v>
      </c>
      <c r="F54" s="3"/>
      <c r="G54" s="7">
        <f>G53+Tabla1[[#This Row],[ingreso]]-Tabla1[[#This Row],[egreso]]</f>
        <v>-534188</v>
      </c>
      <c r="H54" s="7" t="s">
        <v>14</v>
      </c>
      <c r="I54" s="7" t="s">
        <v>16</v>
      </c>
      <c r="J54" s="4"/>
    </row>
    <row r="55" spans="1:10" x14ac:dyDescent="0.2">
      <c r="A55">
        <f>COUNTIF($I$2:I55,'[1]Detalle Pilotos'!$G$3)</f>
        <v>0</v>
      </c>
      <c r="B55">
        <f t="shared" si="0"/>
        <v>54</v>
      </c>
      <c r="C55" s="9">
        <v>43203</v>
      </c>
      <c r="D55" s="4" t="s">
        <v>11</v>
      </c>
      <c r="E55" s="6"/>
      <c r="F55" s="3">
        <v>170000</v>
      </c>
      <c r="G55" s="7">
        <f>G54+Tabla1[[#This Row],[ingreso]]-Tabla1[[#This Row],[egreso]]</f>
        <v>-364188</v>
      </c>
      <c r="H55" s="7"/>
      <c r="I55" s="7" t="s">
        <v>11</v>
      </c>
      <c r="J55" s="4"/>
    </row>
    <row r="56" spans="1:10" x14ac:dyDescent="0.2">
      <c r="A56">
        <f>COUNTIF($I$2:I56,'[1]Detalle Pilotos'!$G$3)</f>
        <v>0</v>
      </c>
      <c r="B56">
        <f t="shared" si="0"/>
        <v>55</v>
      </c>
      <c r="C56" s="9">
        <v>43203</v>
      </c>
      <c r="D56" s="4" t="s">
        <v>23</v>
      </c>
      <c r="E56" s="6"/>
      <c r="F56" s="3">
        <v>800500</v>
      </c>
      <c r="G56" s="7">
        <f>G55+Tabla1[[#This Row],[ingreso]]-Tabla1[[#This Row],[egreso]]</f>
        <v>436312</v>
      </c>
      <c r="H56" s="7"/>
      <c r="I56" s="7" t="s">
        <v>24</v>
      </c>
      <c r="J56" s="4"/>
    </row>
    <row r="57" spans="1:10" x14ac:dyDescent="0.2">
      <c r="A57">
        <f>COUNTIF($I$2:I57,'[1]Detalle Pilotos'!$G$3)</f>
        <v>0</v>
      </c>
      <c r="B57">
        <f t="shared" si="0"/>
        <v>56</v>
      </c>
      <c r="C57" s="9">
        <v>43203</v>
      </c>
      <c r="D57" s="4" t="s">
        <v>27</v>
      </c>
      <c r="E57" s="6"/>
      <c r="F57" s="3">
        <v>570000</v>
      </c>
      <c r="G57" s="7">
        <f>G56+Tabla1[[#This Row],[ingreso]]-Tabla1[[#This Row],[egreso]]</f>
        <v>1006312</v>
      </c>
      <c r="H57" s="7"/>
      <c r="I57" s="7"/>
      <c r="J57" s="4"/>
    </row>
    <row r="58" spans="1:10" x14ac:dyDescent="0.2">
      <c r="A58">
        <f>COUNTIF($I$2:I58,'[1]Detalle Pilotos'!$G$3)</f>
        <v>0</v>
      </c>
      <c r="B58">
        <f t="shared" si="0"/>
        <v>57</v>
      </c>
      <c r="C58" s="9">
        <v>43204</v>
      </c>
      <c r="D58" s="4" t="s">
        <v>11</v>
      </c>
      <c r="E58" s="8">
        <v>115500</v>
      </c>
      <c r="F58" s="3"/>
      <c r="G58" s="7">
        <f>G57+Tabla1[[#This Row],[ingreso]]-Tabla1[[#This Row],[egreso]]</f>
        <v>890812</v>
      </c>
      <c r="H58" s="7" t="s">
        <v>14</v>
      </c>
      <c r="I58" s="7"/>
      <c r="J58" s="4"/>
    </row>
    <row r="59" spans="1:10" x14ac:dyDescent="0.2">
      <c r="A59">
        <f>COUNTIF($I$2:I59,'[1]Detalle Pilotos'!$G$3)</f>
        <v>0</v>
      </c>
      <c r="B59">
        <f t="shared" si="0"/>
        <v>58</v>
      </c>
      <c r="C59" s="9">
        <v>43205</v>
      </c>
      <c r="D59" s="4" t="s">
        <v>30</v>
      </c>
      <c r="E59" s="8">
        <v>56051</v>
      </c>
      <c r="F59" s="3"/>
      <c r="G59" s="7">
        <f>G58+Tabla1[[#This Row],[ingreso]]-Tabla1[[#This Row],[egreso]]</f>
        <v>834761</v>
      </c>
      <c r="H59" s="7" t="s">
        <v>14</v>
      </c>
      <c r="I59" s="7" t="s">
        <v>31</v>
      </c>
      <c r="J59" s="4"/>
    </row>
    <row r="60" spans="1:10" x14ac:dyDescent="0.2">
      <c r="A60">
        <f>COUNTIF($I$2:I60,'[1]Detalle Pilotos'!$G$3)</f>
        <v>0</v>
      </c>
      <c r="B60">
        <f t="shared" si="0"/>
        <v>59</v>
      </c>
      <c r="C60" s="9">
        <v>43205</v>
      </c>
      <c r="D60" s="4" t="s">
        <v>30</v>
      </c>
      <c r="E60" s="6"/>
      <c r="F60" s="3">
        <v>207000</v>
      </c>
      <c r="G60" s="7">
        <f>G59+Tabla1[[#This Row],[ingreso]]-Tabla1[[#This Row],[egreso]]</f>
        <v>1041761</v>
      </c>
      <c r="H60" s="7"/>
      <c r="I60" s="7" t="s">
        <v>31</v>
      </c>
      <c r="J60" s="4"/>
    </row>
    <row r="61" spans="1:10" x14ac:dyDescent="0.2">
      <c r="A61">
        <f>COUNTIF($I$2:I61,'[1]Detalle Pilotos'!$G$3)</f>
        <v>0</v>
      </c>
      <c r="B61">
        <f t="shared" si="0"/>
        <v>60</v>
      </c>
      <c r="C61" s="9">
        <v>43207</v>
      </c>
      <c r="D61" s="4" t="s">
        <v>32</v>
      </c>
      <c r="E61" s="6"/>
      <c r="F61" s="3">
        <v>3800000</v>
      </c>
      <c r="G61" s="7">
        <f>G60+Tabla1[[#This Row],[ingreso]]-Tabla1[[#This Row],[egreso]]</f>
        <v>4841761</v>
      </c>
      <c r="H61" s="7"/>
      <c r="I61" s="7" t="s">
        <v>32</v>
      </c>
      <c r="J61" s="4"/>
    </row>
    <row r="62" spans="1:10" x14ac:dyDescent="0.2">
      <c r="A62">
        <f>COUNTIF($I$2:I62,'[1]Detalle Pilotos'!$G$3)</f>
        <v>0</v>
      </c>
      <c r="B62">
        <f t="shared" si="0"/>
        <v>61</v>
      </c>
      <c r="C62" s="9">
        <v>43210</v>
      </c>
      <c r="D62" s="4" t="s">
        <v>15</v>
      </c>
      <c r="E62" s="8">
        <v>80080</v>
      </c>
      <c r="F62" s="3"/>
      <c r="G62" s="7">
        <f>G61+Tabla1[[#This Row],[ingreso]]-Tabla1[[#This Row],[egreso]]</f>
        <v>4761681</v>
      </c>
      <c r="H62" s="7" t="s">
        <v>14</v>
      </c>
      <c r="I62" s="7" t="s">
        <v>16</v>
      </c>
      <c r="J62" s="4"/>
    </row>
    <row r="63" spans="1:10" x14ac:dyDescent="0.2">
      <c r="A63">
        <f>COUNTIF($I$2:I63,'[1]Detalle Pilotos'!$G$3)</f>
        <v>0</v>
      </c>
      <c r="B63">
        <f t="shared" si="0"/>
        <v>62</v>
      </c>
      <c r="C63" s="9">
        <v>43213</v>
      </c>
      <c r="D63" s="4" t="s">
        <v>33</v>
      </c>
      <c r="E63" s="8">
        <v>30000</v>
      </c>
      <c r="F63" s="3"/>
      <c r="G63" s="7">
        <f>G62+Tabla1[[#This Row],[ingreso]]-Tabla1[[#This Row],[egreso]]</f>
        <v>4731681</v>
      </c>
      <c r="H63" s="7" t="s">
        <v>34</v>
      </c>
      <c r="I63" s="7"/>
      <c r="J63" s="4"/>
    </row>
    <row r="64" spans="1:10" x14ac:dyDescent="0.2">
      <c r="A64">
        <f>COUNTIF($I$2:I64,'[1]Detalle Pilotos'!$G$3)</f>
        <v>0</v>
      </c>
      <c r="B64">
        <f t="shared" si="0"/>
        <v>63</v>
      </c>
      <c r="C64" s="9">
        <v>43214</v>
      </c>
      <c r="D64" s="4" t="s">
        <v>35</v>
      </c>
      <c r="E64" s="8">
        <v>1996500</v>
      </c>
      <c r="F64" s="3"/>
      <c r="G64" s="7">
        <f>G63+Tabla1[[#This Row],[ingreso]]-Tabla1[[#This Row],[egreso]]</f>
        <v>2735181</v>
      </c>
      <c r="H64" s="7" t="s">
        <v>22</v>
      </c>
      <c r="I64" s="7"/>
      <c r="J64" s="4"/>
    </row>
    <row r="65" spans="1:10" x14ac:dyDescent="0.2">
      <c r="A65">
        <f>COUNTIF($I$2:I65,'[1]Detalle Pilotos'!$G$3)</f>
        <v>0</v>
      </c>
      <c r="B65">
        <f t="shared" si="0"/>
        <v>64</v>
      </c>
      <c r="C65" s="9">
        <v>43220</v>
      </c>
      <c r="D65" s="4" t="s">
        <v>12</v>
      </c>
      <c r="E65" s="6"/>
      <c r="F65" s="3">
        <v>700000</v>
      </c>
      <c r="G65" s="7">
        <f>G64+Tabla1[[#This Row],[ingreso]]-Tabla1[[#This Row],[egreso]]</f>
        <v>3435181</v>
      </c>
      <c r="H65" s="7"/>
      <c r="I65" s="7" t="s">
        <v>13</v>
      </c>
      <c r="J65" s="4"/>
    </row>
    <row r="66" spans="1:10" x14ac:dyDescent="0.2">
      <c r="A66">
        <f>COUNTIF($I$2:I66,'[1]Detalle Pilotos'!$G$3)</f>
        <v>0</v>
      </c>
      <c r="B66">
        <f t="shared" si="0"/>
        <v>65</v>
      </c>
      <c r="C66" s="9">
        <v>43242</v>
      </c>
      <c r="D66" s="4" t="s">
        <v>11</v>
      </c>
      <c r="E66" s="8">
        <v>56056</v>
      </c>
      <c r="F66" s="3"/>
      <c r="G66" s="7">
        <f>G65+Tabla1[[#This Row],[ingreso]]-Tabla1[[#This Row],[egreso]]</f>
        <v>3379125</v>
      </c>
      <c r="H66" s="7" t="s">
        <v>14</v>
      </c>
      <c r="I66" s="7"/>
      <c r="J66" s="4"/>
    </row>
    <row r="67" spans="1:10" x14ac:dyDescent="0.2">
      <c r="A67">
        <f>COUNTIF($I$2:I67,'[1]Detalle Pilotos'!$G$3)</f>
        <v>0</v>
      </c>
      <c r="B67">
        <f t="shared" si="0"/>
        <v>66</v>
      </c>
      <c r="C67" s="9">
        <v>43242</v>
      </c>
      <c r="D67" s="4" t="s">
        <v>11</v>
      </c>
      <c r="E67" s="8">
        <v>98261</v>
      </c>
      <c r="F67" s="3"/>
      <c r="G67" s="7">
        <f>G66+Tabla1[[#This Row],[ingreso]]-Tabla1[[#This Row],[egreso]]</f>
        <v>3280864</v>
      </c>
      <c r="H67" s="7" t="s">
        <v>14</v>
      </c>
      <c r="I67" s="7"/>
      <c r="J67" s="4"/>
    </row>
    <row r="68" spans="1:10" x14ac:dyDescent="0.2">
      <c r="A68">
        <f>COUNTIF($I$2:I68,'[1]Detalle Pilotos'!$G$3)</f>
        <v>0</v>
      </c>
      <c r="B68">
        <f t="shared" ref="B68:B131" si="1">IF(C68="","",1+B67)</f>
        <v>67</v>
      </c>
      <c r="C68" s="9">
        <v>43242</v>
      </c>
      <c r="D68" s="4" t="s">
        <v>11</v>
      </c>
      <c r="E68" s="8">
        <v>36142</v>
      </c>
      <c r="F68" s="3"/>
      <c r="G68" s="7">
        <f>G67+Tabla1[[#This Row],[ingreso]]-Tabla1[[#This Row],[egreso]]</f>
        <v>3244722</v>
      </c>
      <c r="H68" s="7" t="s">
        <v>14</v>
      </c>
      <c r="I68" s="7"/>
      <c r="J68" s="4"/>
    </row>
    <row r="69" spans="1:10" x14ac:dyDescent="0.2">
      <c r="A69">
        <f>COUNTIF($I$2:I69,'[1]Detalle Pilotos'!$G$3)</f>
        <v>0</v>
      </c>
      <c r="B69">
        <f t="shared" si="1"/>
        <v>68</v>
      </c>
      <c r="C69" s="9">
        <v>43242</v>
      </c>
      <c r="D69" s="4" t="s">
        <v>36</v>
      </c>
      <c r="E69" s="6"/>
      <c r="F69" s="3">
        <v>85000</v>
      </c>
      <c r="G69" s="7">
        <f>G68+Tabla1[[#This Row],[ingreso]]-Tabla1[[#This Row],[egreso]]</f>
        <v>3329722</v>
      </c>
      <c r="H69" s="7"/>
      <c r="I69" s="7" t="s">
        <v>37</v>
      </c>
      <c r="J69" s="4"/>
    </row>
    <row r="70" spans="1:10" x14ac:dyDescent="0.2">
      <c r="A70">
        <f>COUNTIF($I$2:I70,'[1]Detalle Pilotos'!$G$3)</f>
        <v>0</v>
      </c>
      <c r="B70">
        <f t="shared" si="1"/>
        <v>69</v>
      </c>
      <c r="C70" s="9">
        <v>43247</v>
      </c>
      <c r="D70" s="4" t="s">
        <v>11</v>
      </c>
      <c r="E70" s="8">
        <v>90446</v>
      </c>
      <c r="F70" s="3"/>
      <c r="G70" s="7">
        <f>G69+Tabla1[[#This Row],[ingreso]]-Tabla1[[#This Row],[egreso]]</f>
        <v>3239276</v>
      </c>
      <c r="H70" s="7" t="s">
        <v>14</v>
      </c>
      <c r="I70" s="7"/>
      <c r="J70" s="4"/>
    </row>
    <row r="71" spans="1:10" x14ac:dyDescent="0.2">
      <c r="A71">
        <f>COUNTIF($I$2:I71,'[1]Detalle Pilotos'!$G$3)</f>
        <v>0</v>
      </c>
      <c r="B71">
        <f t="shared" si="1"/>
        <v>70</v>
      </c>
      <c r="C71" s="9">
        <v>43255</v>
      </c>
      <c r="D71" s="4" t="s">
        <v>11</v>
      </c>
      <c r="E71" s="8">
        <v>61768</v>
      </c>
      <c r="F71" s="3"/>
      <c r="G71" s="7">
        <f>G70+Tabla1[[#This Row],[ingreso]]-Tabla1[[#This Row],[egreso]]</f>
        <v>3177508</v>
      </c>
      <c r="H71" s="7" t="s">
        <v>14</v>
      </c>
      <c r="I71" s="7"/>
      <c r="J71" s="4"/>
    </row>
    <row r="72" spans="1:10" x14ac:dyDescent="0.2">
      <c r="A72">
        <f>COUNTIF($I$2:I72,'[1]Detalle Pilotos'!$G$3)</f>
        <v>0</v>
      </c>
      <c r="B72">
        <f t="shared" si="1"/>
        <v>71</v>
      </c>
      <c r="C72" s="9">
        <v>43266</v>
      </c>
      <c r="D72" s="4" t="s">
        <v>38</v>
      </c>
      <c r="E72" s="8">
        <v>296500</v>
      </c>
      <c r="F72" s="3"/>
      <c r="G72" s="7">
        <f>G71+Tabla1[[#This Row],[ingreso]]-Tabla1[[#This Row],[egreso]]</f>
        <v>2881008</v>
      </c>
      <c r="H72" s="7" t="s">
        <v>22</v>
      </c>
      <c r="I72" s="7"/>
      <c r="J72" s="4"/>
    </row>
    <row r="73" spans="1:10" x14ac:dyDescent="0.2">
      <c r="A73">
        <f>COUNTIF($I$2:I73,'[1]Detalle Pilotos'!$G$3)</f>
        <v>0</v>
      </c>
      <c r="B73">
        <f t="shared" si="1"/>
        <v>72</v>
      </c>
      <c r="C73" s="9">
        <v>43269</v>
      </c>
      <c r="D73" s="4" t="s">
        <v>36</v>
      </c>
      <c r="E73" s="6"/>
      <c r="F73" s="3">
        <v>57000</v>
      </c>
      <c r="G73" s="7">
        <f>G72+Tabla1[[#This Row],[ingreso]]-Tabla1[[#This Row],[egreso]]</f>
        <v>2938008</v>
      </c>
      <c r="H73" s="7"/>
      <c r="I73" s="7" t="s">
        <v>37</v>
      </c>
      <c r="J73" s="4"/>
    </row>
    <row r="74" spans="1:10" x14ac:dyDescent="0.2">
      <c r="A74">
        <f>COUNTIF($I$2:I74,'[1]Detalle Pilotos'!$G$3)</f>
        <v>0</v>
      </c>
      <c r="B74">
        <f t="shared" si="1"/>
        <v>73</v>
      </c>
      <c r="C74" s="9">
        <v>43269</v>
      </c>
      <c r="D74" s="4" t="s">
        <v>36</v>
      </c>
      <c r="E74" s="6"/>
      <c r="F74" s="3">
        <v>66500</v>
      </c>
      <c r="G74" s="7">
        <f>G73+Tabla1[[#This Row],[ingreso]]-Tabla1[[#This Row],[egreso]]</f>
        <v>3004508</v>
      </c>
      <c r="H74" s="7"/>
      <c r="I74" s="7" t="s">
        <v>37</v>
      </c>
      <c r="J74" s="4"/>
    </row>
    <row r="75" spans="1:10" x14ac:dyDescent="0.2">
      <c r="A75">
        <f>COUNTIF($I$2:I75,'[1]Detalle Pilotos'!$G$3)</f>
        <v>0</v>
      </c>
      <c r="B75">
        <f t="shared" si="1"/>
        <v>74</v>
      </c>
      <c r="C75" s="9">
        <v>43269</v>
      </c>
      <c r="D75" s="4" t="s">
        <v>36</v>
      </c>
      <c r="E75" s="6"/>
      <c r="F75" s="3">
        <v>289850</v>
      </c>
      <c r="G75" s="7">
        <f>G74+Tabla1[[#This Row],[ingreso]]-Tabla1[[#This Row],[egreso]]</f>
        <v>3294358</v>
      </c>
      <c r="H75" s="7"/>
      <c r="I75" s="7" t="s">
        <v>37</v>
      </c>
      <c r="J75" s="4"/>
    </row>
    <row r="76" spans="1:10" x14ac:dyDescent="0.2">
      <c r="A76">
        <f>COUNTIF($I$2:I76,'[1]Detalle Pilotos'!$G$3)</f>
        <v>0</v>
      </c>
      <c r="B76">
        <f t="shared" si="1"/>
        <v>75</v>
      </c>
      <c r="C76" s="9">
        <v>43270</v>
      </c>
      <c r="D76" s="4" t="s">
        <v>39</v>
      </c>
      <c r="E76" s="8">
        <v>578840</v>
      </c>
      <c r="F76" s="3"/>
      <c r="G76" s="7">
        <f>G75+Tabla1[[#This Row],[ingreso]]-Tabla1[[#This Row],[egreso]]</f>
        <v>2715518</v>
      </c>
      <c r="H76" s="7" t="s">
        <v>22</v>
      </c>
      <c r="I76" s="7"/>
      <c r="J76" s="4"/>
    </row>
    <row r="77" spans="1:10" x14ac:dyDescent="0.2">
      <c r="A77">
        <f>COUNTIF($I$2:I77,'[1]Detalle Pilotos'!$G$3)</f>
        <v>0</v>
      </c>
      <c r="B77">
        <f t="shared" si="1"/>
        <v>76</v>
      </c>
      <c r="C77" s="9">
        <v>43270</v>
      </c>
      <c r="D77" s="4" t="s">
        <v>15</v>
      </c>
      <c r="E77" s="6"/>
      <c r="F77" s="3">
        <v>195500</v>
      </c>
      <c r="G77" s="7">
        <f>G76+Tabla1[[#This Row],[ingreso]]-Tabla1[[#This Row],[egreso]]</f>
        <v>2911018</v>
      </c>
      <c r="H77" s="7"/>
      <c r="I77" s="7" t="s">
        <v>16</v>
      </c>
      <c r="J77" s="4"/>
    </row>
    <row r="78" spans="1:10" x14ac:dyDescent="0.2">
      <c r="A78">
        <f>COUNTIF($I$2:I78,'[1]Detalle Pilotos'!$G$3)</f>
        <v>0</v>
      </c>
      <c r="B78">
        <f t="shared" si="1"/>
        <v>77</v>
      </c>
      <c r="C78" s="9">
        <v>43276</v>
      </c>
      <c r="D78" s="4" t="s">
        <v>40</v>
      </c>
      <c r="E78" s="6"/>
      <c r="F78" s="3">
        <v>261000</v>
      </c>
      <c r="G78" s="7">
        <f>G77+Tabla1[[#This Row],[ingreso]]-Tabla1[[#This Row],[egreso]]</f>
        <v>3172018</v>
      </c>
      <c r="H78" s="7"/>
      <c r="I78" s="7" t="s">
        <v>41</v>
      </c>
      <c r="J78" s="4"/>
    </row>
    <row r="79" spans="1:10" x14ac:dyDescent="0.2">
      <c r="A79">
        <f>COUNTIF($I$2:I79,'[1]Detalle Pilotos'!$G$3)</f>
        <v>0</v>
      </c>
      <c r="B79">
        <f t="shared" si="1"/>
        <v>78</v>
      </c>
      <c r="C79" s="9">
        <v>43279</v>
      </c>
      <c r="D79" s="4" t="s">
        <v>42</v>
      </c>
      <c r="E79" s="8">
        <v>450000</v>
      </c>
      <c r="F79" s="3"/>
      <c r="G79" s="7">
        <f>G78+Tabla1[[#This Row],[ingreso]]-Tabla1[[#This Row],[egreso]]</f>
        <v>2722018</v>
      </c>
      <c r="H79" s="7" t="s">
        <v>43</v>
      </c>
      <c r="I79" s="7"/>
      <c r="J79" s="4"/>
    </row>
    <row r="80" spans="1:10" x14ac:dyDescent="0.2">
      <c r="A80">
        <f>COUNTIF($I$2:I80,'[1]Detalle Pilotos'!$G$3)</f>
        <v>0</v>
      </c>
      <c r="B80">
        <f t="shared" si="1"/>
        <v>79</v>
      </c>
      <c r="C80" s="9">
        <v>43279</v>
      </c>
      <c r="D80" s="4" t="s">
        <v>44</v>
      </c>
      <c r="E80" s="8">
        <v>1050000</v>
      </c>
      <c r="F80" s="3"/>
      <c r="G80" s="7">
        <f>G79+Tabla1[[#This Row],[ingreso]]-Tabla1[[#This Row],[egreso]]</f>
        <v>1672018</v>
      </c>
      <c r="H80" s="7" t="s">
        <v>22</v>
      </c>
      <c r="I80" s="7"/>
      <c r="J80" s="4"/>
    </row>
    <row r="81" spans="1:10" x14ac:dyDescent="0.2">
      <c r="A81">
        <f>COUNTIF($I$2:I81,'[1]Detalle Pilotos'!$G$3)</f>
        <v>0</v>
      </c>
      <c r="B81">
        <f t="shared" si="1"/>
        <v>80</v>
      </c>
      <c r="C81" s="9">
        <v>43290</v>
      </c>
      <c r="D81" s="4" t="s">
        <v>36</v>
      </c>
      <c r="E81" s="6"/>
      <c r="F81" s="3">
        <v>133000</v>
      </c>
      <c r="G81" s="7">
        <f>G80+Tabla1[[#This Row],[ingreso]]-Tabla1[[#This Row],[egreso]]</f>
        <v>1805018</v>
      </c>
      <c r="H81" s="7"/>
      <c r="I81" s="7" t="s">
        <v>37</v>
      </c>
      <c r="J81" s="4"/>
    </row>
    <row r="82" spans="1:10" x14ac:dyDescent="0.2">
      <c r="A82">
        <f>COUNTIF($I$2:I82,'[1]Detalle Pilotos'!$G$3)</f>
        <v>0</v>
      </c>
      <c r="B82">
        <f t="shared" si="1"/>
        <v>81</v>
      </c>
      <c r="C82" s="9">
        <v>43290</v>
      </c>
      <c r="D82" s="4" t="s">
        <v>12</v>
      </c>
      <c r="E82" s="6"/>
      <c r="F82" s="3">
        <v>350000</v>
      </c>
      <c r="G82" s="7">
        <f>G81+Tabla1[[#This Row],[ingreso]]-Tabla1[[#This Row],[egreso]]</f>
        <v>2155018</v>
      </c>
      <c r="H82" s="7"/>
      <c r="I82" s="7" t="s">
        <v>13</v>
      </c>
      <c r="J82" s="4"/>
    </row>
    <row r="83" spans="1:10" x14ac:dyDescent="0.2">
      <c r="A83">
        <f>COUNTIF($I$2:I83,'[1]Detalle Pilotos'!$G$3)</f>
        <v>0</v>
      </c>
      <c r="B83">
        <f t="shared" si="1"/>
        <v>82</v>
      </c>
      <c r="C83" s="9">
        <v>43297</v>
      </c>
      <c r="D83" s="4" t="s">
        <v>36</v>
      </c>
      <c r="E83" s="6"/>
      <c r="F83" s="3">
        <v>53920</v>
      </c>
      <c r="G83" s="7">
        <f>G82+Tabla1[[#This Row],[ingreso]]-Tabla1[[#This Row],[egreso]]</f>
        <v>2208938</v>
      </c>
      <c r="H83" s="7"/>
      <c r="I83" s="7" t="s">
        <v>37</v>
      </c>
      <c r="J83" s="4"/>
    </row>
    <row r="84" spans="1:10" x14ac:dyDescent="0.2">
      <c r="A84">
        <f>COUNTIF($I$2:I84,'[1]Detalle Pilotos'!$G$3)</f>
        <v>0</v>
      </c>
      <c r="B84">
        <f t="shared" si="1"/>
        <v>83</v>
      </c>
      <c r="C84" s="9">
        <v>43299</v>
      </c>
      <c r="D84" s="4" t="s">
        <v>11</v>
      </c>
      <c r="E84" s="8">
        <v>202943</v>
      </c>
      <c r="F84" s="3"/>
      <c r="G84" s="7">
        <f>G83+Tabla1[[#This Row],[ingreso]]-Tabla1[[#This Row],[egreso]]</f>
        <v>2005995</v>
      </c>
      <c r="H84" s="7" t="s">
        <v>14</v>
      </c>
      <c r="I84" s="7"/>
      <c r="J84" s="4"/>
    </row>
    <row r="85" spans="1:10" x14ac:dyDescent="0.2">
      <c r="A85">
        <f>COUNTIF($I$2:I85,'[1]Detalle Pilotos'!$G$3)</f>
        <v>0</v>
      </c>
      <c r="B85">
        <f t="shared" si="1"/>
        <v>84</v>
      </c>
      <c r="C85" s="9">
        <v>43304</v>
      </c>
      <c r="D85" s="4" t="s">
        <v>36</v>
      </c>
      <c r="E85" s="6"/>
      <c r="F85" s="3">
        <v>237500</v>
      </c>
      <c r="G85" s="7">
        <f>G84+Tabla1[[#This Row],[ingreso]]-Tabla1[[#This Row],[egreso]]</f>
        <v>2243495</v>
      </c>
      <c r="H85" s="7"/>
      <c r="I85" s="7" t="s">
        <v>37</v>
      </c>
      <c r="J85" s="4"/>
    </row>
    <row r="86" spans="1:10" x14ac:dyDescent="0.2">
      <c r="A86">
        <f>COUNTIF($I$2:I86,'[1]Detalle Pilotos'!$G$3)</f>
        <v>0</v>
      </c>
      <c r="B86">
        <f t="shared" si="1"/>
        <v>85</v>
      </c>
      <c r="C86" s="9">
        <v>43311</v>
      </c>
      <c r="D86" s="4" t="s">
        <v>45</v>
      </c>
      <c r="E86" s="8">
        <v>34751</v>
      </c>
      <c r="F86" s="3"/>
      <c r="G86" s="7">
        <f>G85+Tabla1[[#This Row],[ingreso]]-Tabla1[[#This Row],[egreso]]</f>
        <v>2208744</v>
      </c>
      <c r="H86" s="7" t="s">
        <v>14</v>
      </c>
      <c r="I86" s="7"/>
      <c r="J86" s="4"/>
    </row>
    <row r="87" spans="1:10" x14ac:dyDescent="0.2">
      <c r="A87">
        <f>COUNTIF($I$2:I87,'[1]Detalle Pilotos'!$G$3)</f>
        <v>0</v>
      </c>
      <c r="B87">
        <f t="shared" si="1"/>
        <v>86</v>
      </c>
      <c r="C87" s="9">
        <v>43312</v>
      </c>
      <c r="D87" s="4" t="s">
        <v>11</v>
      </c>
      <c r="E87" s="8">
        <v>186576</v>
      </c>
      <c r="F87" s="3"/>
      <c r="G87" s="7">
        <f>G86+Tabla1[[#This Row],[ingreso]]-Tabla1[[#This Row],[egreso]]</f>
        <v>2022168</v>
      </c>
      <c r="H87" s="7" t="s">
        <v>14</v>
      </c>
      <c r="I87" s="7"/>
      <c r="J87" s="4"/>
    </row>
    <row r="88" spans="1:10" x14ac:dyDescent="0.2">
      <c r="A88">
        <f>COUNTIF($I$2:I88,'[1]Detalle Pilotos'!$G$3)</f>
        <v>0</v>
      </c>
      <c r="B88">
        <f t="shared" si="1"/>
        <v>87</v>
      </c>
      <c r="C88" s="9">
        <v>43312</v>
      </c>
      <c r="D88" s="4" t="s">
        <v>46</v>
      </c>
      <c r="E88" s="8">
        <v>1711982</v>
      </c>
      <c r="F88" s="3"/>
      <c r="G88" s="7">
        <f>G87+Tabla1[[#This Row],[ingreso]]-Tabla1[[#This Row],[egreso]]</f>
        <v>310186</v>
      </c>
      <c r="H88" s="7" t="s">
        <v>34</v>
      </c>
      <c r="I88" s="7"/>
      <c r="J88" s="4"/>
    </row>
    <row r="89" spans="1:10" x14ac:dyDescent="0.2">
      <c r="A89">
        <f>COUNTIF($I$2:I89,'[1]Detalle Pilotos'!$G$3)</f>
        <v>0</v>
      </c>
      <c r="B89">
        <f t="shared" si="1"/>
        <v>88</v>
      </c>
      <c r="C89" s="9">
        <v>43318</v>
      </c>
      <c r="D89" s="4" t="s">
        <v>11</v>
      </c>
      <c r="E89" s="6"/>
      <c r="F89" s="3">
        <v>181500</v>
      </c>
      <c r="G89" s="7">
        <f>G88+Tabla1[[#This Row],[ingreso]]-Tabla1[[#This Row],[egreso]]</f>
        <v>491686</v>
      </c>
      <c r="H89" s="7"/>
      <c r="I89" s="7" t="s">
        <v>11</v>
      </c>
      <c r="J89" s="4"/>
    </row>
    <row r="90" spans="1:10" x14ac:dyDescent="0.2">
      <c r="A90">
        <f>COUNTIF($I$2:I90,'[1]Detalle Pilotos'!$G$3)</f>
        <v>0</v>
      </c>
      <c r="B90">
        <f t="shared" si="1"/>
        <v>89</v>
      </c>
      <c r="C90" s="9">
        <v>43318</v>
      </c>
      <c r="D90" s="4" t="s">
        <v>23</v>
      </c>
      <c r="E90" s="6"/>
      <c r="F90" s="3">
        <v>1263500</v>
      </c>
      <c r="G90" s="7">
        <f>G89+Tabla1[[#This Row],[ingreso]]-Tabla1[[#This Row],[egreso]]</f>
        <v>1755186</v>
      </c>
      <c r="H90" s="7"/>
      <c r="I90" s="7" t="s">
        <v>24</v>
      </c>
      <c r="J90" s="4"/>
    </row>
    <row r="91" spans="1:10" x14ac:dyDescent="0.2">
      <c r="A91">
        <f>COUNTIF($I$2:I91,'[1]Detalle Pilotos'!$G$3)</f>
        <v>0</v>
      </c>
      <c r="B91">
        <f t="shared" si="1"/>
        <v>90</v>
      </c>
      <c r="C91" s="9">
        <v>43319</v>
      </c>
      <c r="D91" s="4" t="s">
        <v>47</v>
      </c>
      <c r="E91" s="6"/>
      <c r="F91" s="3">
        <v>237500</v>
      </c>
      <c r="G91" s="7">
        <f>G90+Tabla1[[#This Row],[ingreso]]-Tabla1[[#This Row],[egreso]]</f>
        <v>1992686</v>
      </c>
      <c r="H91" s="7"/>
      <c r="I91" s="7" t="s">
        <v>48</v>
      </c>
      <c r="J91" s="4"/>
    </row>
    <row r="92" spans="1:10" x14ac:dyDescent="0.2">
      <c r="A92">
        <f>COUNTIF($I$2:I92,'[1]Detalle Pilotos'!$G$3)</f>
        <v>0</v>
      </c>
      <c r="B92">
        <f t="shared" si="1"/>
        <v>91</v>
      </c>
      <c r="C92" s="9">
        <v>43319</v>
      </c>
      <c r="D92" s="4" t="s">
        <v>47</v>
      </c>
      <c r="E92" s="6"/>
      <c r="F92" s="3">
        <v>144818</v>
      </c>
      <c r="G92" s="7">
        <f>G91+Tabla1[[#This Row],[ingreso]]-Tabla1[[#This Row],[egreso]]</f>
        <v>2137504</v>
      </c>
      <c r="H92" s="7"/>
      <c r="I92" s="7" t="s">
        <v>48</v>
      </c>
      <c r="J92" s="4"/>
    </row>
    <row r="93" spans="1:10" x14ac:dyDescent="0.2">
      <c r="A93">
        <f>COUNTIF($I$2:I93,'[1]Detalle Pilotos'!$G$3)</f>
        <v>0</v>
      </c>
      <c r="B93">
        <f t="shared" si="1"/>
        <v>92</v>
      </c>
      <c r="C93" s="9">
        <v>43320</v>
      </c>
      <c r="D93" s="4" t="s">
        <v>49</v>
      </c>
      <c r="E93" s="8">
        <v>75956</v>
      </c>
      <c r="F93" s="3"/>
      <c r="G93" s="7">
        <f>G92+Tabla1[[#This Row],[ingreso]]-Tabla1[[#This Row],[egreso]]</f>
        <v>2061548</v>
      </c>
      <c r="H93" s="7" t="s">
        <v>14</v>
      </c>
      <c r="I93" s="7"/>
      <c r="J93" s="4"/>
    </row>
    <row r="94" spans="1:10" x14ac:dyDescent="0.2">
      <c r="A94">
        <f>COUNTIF($I$2:I94,'[1]Detalle Pilotos'!$G$3)</f>
        <v>0</v>
      </c>
      <c r="B94">
        <f t="shared" si="1"/>
        <v>93</v>
      </c>
      <c r="C94" s="9">
        <v>43321</v>
      </c>
      <c r="D94" s="4" t="s">
        <v>50</v>
      </c>
      <c r="E94" s="8">
        <v>71744</v>
      </c>
      <c r="F94" s="3"/>
      <c r="G94" s="7">
        <f>G93+Tabla1[[#This Row],[ingreso]]-Tabla1[[#This Row],[egreso]]</f>
        <v>1989804</v>
      </c>
      <c r="H94" s="7" t="s">
        <v>14</v>
      </c>
      <c r="I94" s="7"/>
      <c r="J94" s="4"/>
    </row>
    <row r="95" spans="1:10" x14ac:dyDescent="0.2">
      <c r="A95">
        <f>COUNTIF($I$2:I95,'[1]Detalle Pilotos'!$G$3)</f>
        <v>0</v>
      </c>
      <c r="B95">
        <f t="shared" si="1"/>
        <v>94</v>
      </c>
      <c r="C95" s="9">
        <v>43321</v>
      </c>
      <c r="D95" s="4" t="s">
        <v>15</v>
      </c>
      <c r="E95" s="6"/>
      <c r="F95" s="3">
        <v>63000</v>
      </c>
      <c r="G95" s="7">
        <f>G94+Tabla1[[#This Row],[ingreso]]-Tabla1[[#This Row],[egreso]]</f>
        <v>2052804</v>
      </c>
      <c r="H95" s="7"/>
      <c r="I95" s="7" t="s">
        <v>16</v>
      </c>
      <c r="J95" s="4"/>
    </row>
    <row r="96" spans="1:10" x14ac:dyDescent="0.2">
      <c r="A96">
        <f>COUNTIF($I$2:I96,'[1]Detalle Pilotos'!$G$3)</f>
        <v>0</v>
      </c>
      <c r="B96">
        <f t="shared" si="1"/>
        <v>95</v>
      </c>
      <c r="C96" s="9">
        <v>43321</v>
      </c>
      <c r="D96" s="4" t="s">
        <v>15</v>
      </c>
      <c r="E96" s="6"/>
      <c r="F96" s="3">
        <v>70000</v>
      </c>
      <c r="G96" s="7">
        <f>G95+Tabla1[[#This Row],[ingreso]]-Tabla1[[#This Row],[egreso]]</f>
        <v>2122804</v>
      </c>
      <c r="H96" s="7"/>
      <c r="I96" s="7" t="s">
        <v>16</v>
      </c>
      <c r="J96" s="4"/>
    </row>
    <row r="97" spans="1:10" x14ac:dyDescent="0.2">
      <c r="A97">
        <f>COUNTIF($I$2:I97,'[1]Detalle Pilotos'!$G$3)</f>
        <v>0</v>
      </c>
      <c r="B97">
        <f t="shared" si="1"/>
        <v>96</v>
      </c>
      <c r="C97" s="9">
        <v>43321</v>
      </c>
      <c r="D97" s="4" t="s">
        <v>51</v>
      </c>
      <c r="E97" s="8">
        <v>78000</v>
      </c>
      <c r="F97" s="3"/>
      <c r="G97" s="7">
        <f>G96+Tabla1[[#This Row],[ingreso]]-Tabla1[[#This Row],[egreso]]</f>
        <v>2044804</v>
      </c>
      <c r="H97" s="7" t="s">
        <v>14</v>
      </c>
      <c r="I97" s="7"/>
      <c r="J97" s="4"/>
    </row>
    <row r="98" spans="1:10" x14ac:dyDescent="0.2">
      <c r="A98">
        <f>COUNTIF($I$2:I98,'[1]Detalle Pilotos'!$G$3)</f>
        <v>0</v>
      </c>
      <c r="B98">
        <f t="shared" si="1"/>
        <v>97</v>
      </c>
      <c r="C98" s="9">
        <v>43321</v>
      </c>
      <c r="D98" s="4" t="s">
        <v>51</v>
      </c>
      <c r="E98" s="8">
        <v>95991</v>
      </c>
      <c r="F98" s="3"/>
      <c r="G98" s="7">
        <f>G97+Tabla1[[#This Row],[ingreso]]-Tabla1[[#This Row],[egreso]]</f>
        <v>1948813</v>
      </c>
      <c r="H98" s="7" t="s">
        <v>14</v>
      </c>
      <c r="I98" s="7"/>
      <c r="J98" s="4"/>
    </row>
    <row r="99" spans="1:10" x14ac:dyDescent="0.2">
      <c r="A99">
        <f>COUNTIF($I$2:I99,'[1]Detalle Pilotos'!$G$3)</f>
        <v>0</v>
      </c>
      <c r="B99">
        <f t="shared" si="1"/>
        <v>98</v>
      </c>
      <c r="C99" s="9">
        <v>43325</v>
      </c>
      <c r="D99" s="4" t="s">
        <v>51</v>
      </c>
      <c r="E99" s="8">
        <v>96062</v>
      </c>
      <c r="F99" s="3"/>
      <c r="G99" s="7">
        <f>G98+Tabla1[[#This Row],[ingreso]]-Tabla1[[#This Row],[egreso]]</f>
        <v>1852751</v>
      </c>
      <c r="H99" s="7" t="s">
        <v>14</v>
      </c>
      <c r="I99" s="7"/>
      <c r="J99" s="4"/>
    </row>
    <row r="100" spans="1:10" x14ac:dyDescent="0.2">
      <c r="A100">
        <f>COUNTIF($I$2:I100,'[1]Detalle Pilotos'!$G$3)</f>
        <v>0</v>
      </c>
      <c r="B100">
        <f t="shared" si="1"/>
        <v>99</v>
      </c>
      <c r="C100" s="9">
        <v>43326</v>
      </c>
      <c r="D100" s="4" t="s">
        <v>52</v>
      </c>
      <c r="E100" s="8">
        <v>233740</v>
      </c>
      <c r="F100" s="3"/>
      <c r="G100" s="7">
        <f>G99+Tabla1[[#This Row],[ingreso]]-Tabla1[[#This Row],[egreso]]</f>
        <v>1619011</v>
      </c>
      <c r="H100" s="7" t="s">
        <v>34</v>
      </c>
      <c r="I100" s="7"/>
      <c r="J100" s="4"/>
    </row>
    <row r="101" spans="1:10" x14ac:dyDescent="0.2">
      <c r="A101">
        <f>COUNTIF($I$2:I101,'[1]Detalle Pilotos'!$G$3)</f>
        <v>0</v>
      </c>
      <c r="B101">
        <f t="shared" si="1"/>
        <v>100</v>
      </c>
      <c r="C101" s="9">
        <v>43328</v>
      </c>
      <c r="D101" s="4" t="s">
        <v>53</v>
      </c>
      <c r="E101" s="6"/>
      <c r="F101" s="3">
        <v>300234</v>
      </c>
      <c r="G101" s="7">
        <f>G100+Tabla1[[#This Row],[ingreso]]-Tabla1[[#This Row],[egreso]]</f>
        <v>1919245</v>
      </c>
      <c r="H101" s="7"/>
      <c r="I101" s="4" t="s">
        <v>54</v>
      </c>
      <c r="J101" s="4"/>
    </row>
    <row r="102" spans="1:10" x14ac:dyDescent="0.2">
      <c r="A102">
        <f>COUNTIF($I$2:I102,'[1]Detalle Pilotos'!$G$3)</f>
        <v>0</v>
      </c>
      <c r="B102">
        <f t="shared" si="1"/>
        <v>101</v>
      </c>
      <c r="C102" s="9">
        <v>43328</v>
      </c>
      <c r="D102" s="4" t="s">
        <v>55</v>
      </c>
      <c r="E102" s="8">
        <v>525000</v>
      </c>
      <c r="F102" s="3"/>
      <c r="G102" s="7">
        <f>G101+Tabla1[[#This Row],[ingreso]]-Tabla1[[#This Row],[egreso]]</f>
        <v>1394245</v>
      </c>
      <c r="H102" s="7" t="s">
        <v>43</v>
      </c>
      <c r="I102" s="7"/>
      <c r="J102" s="4"/>
    </row>
    <row r="103" spans="1:10" x14ac:dyDescent="0.2">
      <c r="A103">
        <f>COUNTIF($I$2:I103,'[1]Detalle Pilotos'!$G$3)</f>
        <v>0</v>
      </c>
      <c r="B103">
        <f t="shared" si="1"/>
        <v>102</v>
      </c>
      <c r="C103" s="9">
        <v>43332</v>
      </c>
      <c r="D103" s="4" t="s">
        <v>47</v>
      </c>
      <c r="E103" s="6"/>
      <c r="F103" s="3">
        <v>51618</v>
      </c>
      <c r="G103" s="7">
        <f>G102+Tabla1[[#This Row],[ingreso]]-Tabla1[[#This Row],[egreso]]</f>
        <v>1445863</v>
      </c>
      <c r="H103" s="7"/>
      <c r="I103" s="7" t="s">
        <v>48</v>
      </c>
      <c r="J103" s="4"/>
    </row>
    <row r="104" spans="1:10" x14ac:dyDescent="0.2">
      <c r="A104">
        <f>COUNTIF($I$2:I104,'[1]Detalle Pilotos'!$G$3)</f>
        <v>0</v>
      </c>
      <c r="B104">
        <f t="shared" si="1"/>
        <v>103</v>
      </c>
      <c r="C104" s="9">
        <v>43335</v>
      </c>
      <c r="D104" s="4" t="s">
        <v>11</v>
      </c>
      <c r="E104" s="8">
        <v>83475</v>
      </c>
      <c r="F104" s="3"/>
      <c r="G104" s="7">
        <f>G103+Tabla1[[#This Row],[ingreso]]-Tabla1[[#This Row],[egreso]]</f>
        <v>1362388</v>
      </c>
      <c r="H104" s="7" t="s">
        <v>14</v>
      </c>
      <c r="I104" s="7"/>
      <c r="J104" s="4"/>
    </row>
    <row r="105" spans="1:10" x14ac:dyDescent="0.2">
      <c r="A105">
        <f>COUNTIF($I$2:I105,'[1]Detalle Pilotos'!$G$3)</f>
        <v>0</v>
      </c>
      <c r="B105">
        <f t="shared" si="1"/>
        <v>104</v>
      </c>
      <c r="C105" s="9">
        <v>43339</v>
      </c>
      <c r="D105" s="4" t="s">
        <v>32</v>
      </c>
      <c r="E105" s="6"/>
      <c r="F105" s="3">
        <v>224005</v>
      </c>
      <c r="G105" s="7">
        <f>G104+Tabla1[[#This Row],[ingreso]]-Tabla1[[#This Row],[egreso]]</f>
        <v>1586393</v>
      </c>
      <c r="H105" s="7"/>
      <c r="I105" s="7" t="s">
        <v>32</v>
      </c>
      <c r="J105" s="4"/>
    </row>
    <row r="106" spans="1:10" x14ac:dyDescent="0.2">
      <c r="A106">
        <f>COUNTIF($I$2:I106,'[1]Detalle Pilotos'!$G$3)</f>
        <v>0</v>
      </c>
      <c r="B106">
        <f t="shared" si="1"/>
        <v>105</v>
      </c>
      <c r="C106" s="9">
        <v>43340</v>
      </c>
      <c r="D106" s="4" t="s">
        <v>36</v>
      </c>
      <c r="E106" s="6"/>
      <c r="F106" s="3">
        <v>13700</v>
      </c>
      <c r="G106" s="7">
        <f>G105+Tabla1[[#This Row],[ingreso]]-Tabla1[[#This Row],[egreso]]</f>
        <v>1600093</v>
      </c>
      <c r="H106" s="7"/>
      <c r="I106" s="7" t="s">
        <v>37</v>
      </c>
      <c r="J106" s="4"/>
    </row>
    <row r="107" spans="1:10" x14ac:dyDescent="0.2">
      <c r="A107">
        <f>COUNTIF($I$2:I107,'[1]Detalle Pilotos'!$G$3)</f>
        <v>0</v>
      </c>
      <c r="B107">
        <f t="shared" si="1"/>
        <v>106</v>
      </c>
      <c r="C107" s="9">
        <v>43342</v>
      </c>
      <c r="D107" s="4" t="s">
        <v>12</v>
      </c>
      <c r="E107" s="6"/>
      <c r="F107" s="3">
        <v>350000</v>
      </c>
      <c r="G107" s="7">
        <f>G106+Tabla1[[#This Row],[ingreso]]-Tabla1[[#This Row],[egreso]]</f>
        <v>1950093</v>
      </c>
      <c r="H107" s="7"/>
      <c r="I107" s="7" t="s">
        <v>13</v>
      </c>
      <c r="J107" s="4"/>
    </row>
    <row r="108" spans="1:10" x14ac:dyDescent="0.2">
      <c r="A108">
        <f>COUNTIF($I$2:I108,'[1]Detalle Pilotos'!$G$3)</f>
        <v>0</v>
      </c>
      <c r="B108">
        <f t="shared" si="1"/>
        <v>107</v>
      </c>
      <c r="C108" s="9">
        <v>43343</v>
      </c>
      <c r="D108" s="4" t="s">
        <v>56</v>
      </c>
      <c r="E108" s="6"/>
      <c r="F108" s="3">
        <v>161500</v>
      </c>
      <c r="G108" s="7">
        <f>G107+Tabla1[[#This Row],[ingreso]]-Tabla1[[#This Row],[egreso]]</f>
        <v>2111593</v>
      </c>
      <c r="H108" s="7"/>
      <c r="I108" s="7" t="s">
        <v>57</v>
      </c>
      <c r="J108" s="4"/>
    </row>
    <row r="109" spans="1:10" x14ac:dyDescent="0.2">
      <c r="A109">
        <f>COUNTIF($I$2:I109,'[1]Detalle Pilotos'!$G$3)</f>
        <v>0</v>
      </c>
      <c r="B109">
        <f t="shared" si="1"/>
        <v>108</v>
      </c>
      <c r="C109" s="9">
        <v>43346</v>
      </c>
      <c r="D109" s="4" t="s">
        <v>25</v>
      </c>
      <c r="E109" s="8">
        <v>142163</v>
      </c>
      <c r="F109" s="3"/>
      <c r="G109" s="7">
        <f>G108+Tabla1[[#This Row],[ingreso]]-Tabla1[[#This Row],[egreso]]</f>
        <v>1969430</v>
      </c>
      <c r="H109" s="7" t="s">
        <v>18</v>
      </c>
      <c r="I109" s="7"/>
      <c r="J109" s="4"/>
    </row>
    <row r="110" spans="1:10" x14ac:dyDescent="0.2">
      <c r="A110">
        <f>COUNTIF($I$2:I110,'[1]Detalle Pilotos'!$G$3)</f>
        <v>0</v>
      </c>
      <c r="B110">
        <f t="shared" si="1"/>
        <v>109</v>
      </c>
      <c r="C110" s="9">
        <v>43346</v>
      </c>
      <c r="D110" s="4" t="s">
        <v>58</v>
      </c>
      <c r="E110" s="8">
        <v>350000</v>
      </c>
      <c r="F110" s="3"/>
      <c r="G110" s="7">
        <f>G109+Tabla1[[#This Row],[ingreso]]-Tabla1[[#This Row],[egreso]]</f>
        <v>1619430</v>
      </c>
      <c r="H110" s="7" t="s">
        <v>43</v>
      </c>
      <c r="I110" s="7"/>
      <c r="J110" s="4"/>
    </row>
    <row r="111" spans="1:10" x14ac:dyDescent="0.2">
      <c r="A111">
        <f>COUNTIF($I$2:I111,'[1]Detalle Pilotos'!$G$3)</f>
        <v>0</v>
      </c>
      <c r="B111">
        <f t="shared" si="1"/>
        <v>110</v>
      </c>
      <c r="C111" s="9">
        <v>43353</v>
      </c>
      <c r="D111" s="4" t="s">
        <v>11</v>
      </c>
      <c r="E111" s="8">
        <v>97665</v>
      </c>
      <c r="F111" s="3"/>
      <c r="G111" s="7">
        <f>G110+Tabla1[[#This Row],[ingreso]]-Tabla1[[#This Row],[egreso]]</f>
        <v>1521765</v>
      </c>
      <c r="H111" s="7" t="s">
        <v>14</v>
      </c>
      <c r="I111" s="7"/>
      <c r="J111" s="4"/>
    </row>
    <row r="112" spans="1:10" x14ac:dyDescent="0.2">
      <c r="A112">
        <f>COUNTIF($I$2:I112,'[1]Detalle Pilotos'!$G$3)</f>
        <v>0</v>
      </c>
      <c r="B112">
        <f t="shared" si="1"/>
        <v>111</v>
      </c>
      <c r="C112" s="9">
        <v>43353</v>
      </c>
      <c r="D112" s="4" t="s">
        <v>59</v>
      </c>
      <c r="E112" s="8">
        <v>500000</v>
      </c>
      <c r="F112" s="3"/>
      <c r="G112" s="7">
        <f>G111+Tabla1[[#This Row],[ingreso]]-Tabla1[[#This Row],[egreso]]</f>
        <v>1021765</v>
      </c>
      <c r="H112" s="7"/>
      <c r="I112" s="7"/>
      <c r="J112" s="4"/>
    </row>
    <row r="113" spans="1:11" x14ac:dyDescent="0.2">
      <c r="A113">
        <f>COUNTIF($I$2:I113,'[1]Detalle Pilotos'!$G$3)</f>
        <v>0</v>
      </c>
      <c r="B113">
        <f t="shared" si="1"/>
        <v>112</v>
      </c>
      <c r="C113" s="9">
        <v>43353</v>
      </c>
      <c r="D113" s="4" t="s">
        <v>47</v>
      </c>
      <c r="E113" s="6"/>
      <c r="F113" s="3">
        <v>123500</v>
      </c>
      <c r="G113" s="7">
        <f>G112+Tabla1[[#This Row],[ingreso]]-Tabla1[[#This Row],[egreso]]</f>
        <v>1145265</v>
      </c>
      <c r="H113" s="7"/>
      <c r="I113" s="7" t="s">
        <v>48</v>
      </c>
      <c r="J113" s="4"/>
    </row>
    <row r="114" spans="1:11" x14ac:dyDescent="0.2">
      <c r="A114">
        <f>COUNTIF($I$2:I114,'[1]Detalle Pilotos'!$G$3)</f>
        <v>0</v>
      </c>
      <c r="B114">
        <f t="shared" si="1"/>
        <v>113</v>
      </c>
      <c r="C114" s="9">
        <v>43354</v>
      </c>
      <c r="D114" s="4" t="s">
        <v>59</v>
      </c>
      <c r="E114" s="6"/>
      <c r="F114" s="3">
        <v>500000</v>
      </c>
      <c r="G114" s="7">
        <f>G113+Tabla1[[#This Row],[ingreso]]-Tabla1[[#This Row],[egreso]]</f>
        <v>1645265</v>
      </c>
      <c r="H114" s="7"/>
      <c r="I114" s="7"/>
      <c r="J114" s="4"/>
    </row>
    <row r="115" spans="1:11" x14ac:dyDescent="0.2">
      <c r="A115">
        <f>COUNTIF($I$2:I115,'[1]Detalle Pilotos'!$G$3)</f>
        <v>0</v>
      </c>
      <c r="B115">
        <f t="shared" si="1"/>
        <v>114</v>
      </c>
      <c r="C115" s="9">
        <v>43354</v>
      </c>
      <c r="D115" s="4" t="s">
        <v>11</v>
      </c>
      <c r="E115" s="6"/>
      <c r="F115" s="3">
        <v>385000</v>
      </c>
      <c r="G115" s="7">
        <f>G114+Tabla1[[#This Row],[ingreso]]-Tabla1[[#This Row],[egreso]]</f>
        <v>2030265</v>
      </c>
      <c r="H115" s="7"/>
      <c r="I115" s="7" t="s">
        <v>11</v>
      </c>
      <c r="J115" s="4"/>
    </row>
    <row r="116" spans="1:11" x14ac:dyDescent="0.2">
      <c r="A116">
        <f>COUNTIF($I$2:I116,'[1]Detalle Pilotos'!$G$3)</f>
        <v>0</v>
      </c>
      <c r="B116">
        <f t="shared" si="1"/>
        <v>115</v>
      </c>
      <c r="C116" s="9">
        <v>43355</v>
      </c>
      <c r="D116" s="4" t="s">
        <v>53</v>
      </c>
      <c r="E116" s="6"/>
      <c r="F116" s="3">
        <v>82900</v>
      </c>
      <c r="G116" s="7">
        <f>G115+Tabla1[[#This Row],[ingreso]]-Tabla1[[#This Row],[egreso]]</f>
        <v>2113165</v>
      </c>
      <c r="H116" s="7"/>
      <c r="I116" s="4" t="s">
        <v>54</v>
      </c>
      <c r="J116" s="4"/>
    </row>
    <row r="117" spans="1:11" x14ac:dyDescent="0.2">
      <c r="A117">
        <f>COUNTIF($I$2:I117,'[1]Detalle Pilotos'!$G$3)</f>
        <v>0</v>
      </c>
      <c r="B117">
        <f t="shared" si="1"/>
        <v>116</v>
      </c>
      <c r="C117" s="9">
        <v>43363</v>
      </c>
      <c r="D117" s="4" t="s">
        <v>53</v>
      </c>
      <c r="E117" s="6"/>
      <c r="F117" s="3">
        <v>171454</v>
      </c>
      <c r="G117" s="7">
        <f>G116+Tabla1[[#This Row],[ingreso]]-Tabla1[[#This Row],[egreso]]</f>
        <v>2284619</v>
      </c>
      <c r="H117" s="7"/>
      <c r="I117" s="4" t="s">
        <v>54</v>
      </c>
      <c r="J117" s="4"/>
    </row>
    <row r="118" spans="1:11" x14ac:dyDescent="0.2">
      <c r="A118">
        <f>COUNTIF($I$2:I118,'[1]Detalle Pilotos'!$G$3)</f>
        <v>0</v>
      </c>
      <c r="B118">
        <f t="shared" si="1"/>
        <v>117</v>
      </c>
      <c r="C118" s="9">
        <v>43374</v>
      </c>
      <c r="D118" s="4" t="s">
        <v>60</v>
      </c>
      <c r="E118" s="8">
        <v>80920</v>
      </c>
      <c r="F118" s="3"/>
      <c r="G118" s="7">
        <f>G117+Tabla1[[#This Row],[ingreso]]-Tabla1[[#This Row],[egreso]]</f>
        <v>2203699</v>
      </c>
      <c r="H118" s="7" t="s">
        <v>14</v>
      </c>
      <c r="I118" s="7"/>
      <c r="J118" s="4"/>
    </row>
    <row r="119" spans="1:11" x14ac:dyDescent="0.2">
      <c r="A119">
        <f>COUNTIF($I$2:I119,'[1]Detalle Pilotos'!$G$3)</f>
        <v>0</v>
      </c>
      <c r="B119">
        <f t="shared" si="1"/>
        <v>118</v>
      </c>
      <c r="C119" s="9">
        <v>43376</v>
      </c>
      <c r="D119" s="4" t="s">
        <v>61</v>
      </c>
      <c r="E119" s="8">
        <v>350000</v>
      </c>
      <c r="F119" s="3"/>
      <c r="G119" s="7">
        <f>G118+Tabla1[[#This Row],[ingreso]]-Tabla1[[#This Row],[egreso]]</f>
        <v>1853699</v>
      </c>
      <c r="H119" s="7" t="s">
        <v>43</v>
      </c>
      <c r="I119" s="7"/>
      <c r="J119" s="4"/>
    </row>
    <row r="120" spans="1:11" x14ac:dyDescent="0.2">
      <c r="A120">
        <f>COUNTIF($I$2:I120,'[1]Detalle Pilotos'!$G$3)</f>
        <v>0</v>
      </c>
      <c r="B120">
        <f t="shared" si="1"/>
        <v>119</v>
      </c>
      <c r="C120" s="9">
        <v>43381</v>
      </c>
      <c r="D120" s="4" t="s">
        <v>62</v>
      </c>
      <c r="E120" s="8">
        <v>23600</v>
      </c>
      <c r="F120" s="3"/>
      <c r="G120" s="7">
        <f>G119+Tabla1[[#This Row],[ingreso]]-Tabla1[[#This Row],[egreso]]</f>
        <v>1830099</v>
      </c>
      <c r="H120" s="7" t="s">
        <v>14</v>
      </c>
      <c r="I120" s="7"/>
      <c r="J120" s="4"/>
    </row>
    <row r="121" spans="1:11" x14ac:dyDescent="0.2">
      <c r="A121">
        <f>COUNTIF($I$2:I121,'[1]Detalle Pilotos'!$G$3)</f>
        <v>0</v>
      </c>
      <c r="B121">
        <f t="shared" si="1"/>
        <v>120</v>
      </c>
      <c r="C121" s="9">
        <v>43381</v>
      </c>
      <c r="D121" s="4" t="s">
        <v>49</v>
      </c>
      <c r="E121" s="8">
        <v>82600</v>
      </c>
      <c r="F121" s="3"/>
      <c r="G121" s="7">
        <f>G120+Tabla1[[#This Row],[ingreso]]-Tabla1[[#This Row],[egreso]]</f>
        <v>1747499</v>
      </c>
      <c r="H121" s="7" t="s">
        <v>14</v>
      </c>
      <c r="I121" s="7"/>
      <c r="J121" s="4"/>
      <c r="K121" s="10"/>
    </row>
    <row r="122" spans="1:11" x14ac:dyDescent="0.2">
      <c r="A122">
        <f>COUNTIF($I$2:I122,'[1]Detalle Pilotos'!$G$3)</f>
        <v>0</v>
      </c>
      <c r="B122">
        <f t="shared" si="1"/>
        <v>121</v>
      </c>
      <c r="C122" s="9">
        <v>43381</v>
      </c>
      <c r="D122" s="4" t="s">
        <v>12</v>
      </c>
      <c r="E122" s="6"/>
      <c r="F122" s="3">
        <v>500000</v>
      </c>
      <c r="G122" s="7">
        <f>G121+Tabla1[[#This Row],[ingreso]]-Tabla1[[#This Row],[egreso]]</f>
        <v>2247499</v>
      </c>
      <c r="H122" s="7"/>
      <c r="I122" s="7" t="s">
        <v>13</v>
      </c>
      <c r="J122" s="4"/>
    </row>
    <row r="123" spans="1:11" x14ac:dyDescent="0.2">
      <c r="A123">
        <f>COUNTIF($I$2:I123,'[1]Detalle Pilotos'!$G$3)</f>
        <v>0</v>
      </c>
      <c r="B123">
        <f t="shared" si="1"/>
        <v>122</v>
      </c>
      <c r="C123" s="9">
        <v>43381</v>
      </c>
      <c r="D123" s="4" t="s">
        <v>12</v>
      </c>
      <c r="E123" s="8">
        <v>75600</v>
      </c>
      <c r="F123" s="3"/>
      <c r="G123" s="7">
        <f>G122+Tabla1[[#This Row],[ingreso]]-Tabla1[[#This Row],[egreso]]</f>
        <v>2171899</v>
      </c>
      <c r="H123" s="7" t="s">
        <v>14</v>
      </c>
      <c r="I123" s="7" t="s">
        <v>13</v>
      </c>
      <c r="J123" s="4"/>
    </row>
    <row r="124" spans="1:11" x14ac:dyDescent="0.2">
      <c r="A124">
        <f>COUNTIF($I$2:I124,'[1]Detalle Pilotos'!$G$3)</f>
        <v>0</v>
      </c>
      <c r="B124">
        <f t="shared" si="1"/>
        <v>123</v>
      </c>
      <c r="C124" s="9">
        <v>43385</v>
      </c>
      <c r="D124" s="4" t="s">
        <v>63</v>
      </c>
      <c r="E124" s="6"/>
      <c r="F124" s="3">
        <v>123500</v>
      </c>
      <c r="G124" s="7">
        <f>G123+Tabla1[[#This Row],[ingreso]]-Tabla1[[#This Row],[egreso]]</f>
        <v>2295399</v>
      </c>
      <c r="H124" s="7"/>
      <c r="I124" s="7" t="s">
        <v>64</v>
      </c>
      <c r="J124" s="4"/>
    </row>
    <row r="125" spans="1:11" x14ac:dyDescent="0.2">
      <c r="A125">
        <f>COUNTIF($I$2:I125,'[1]Detalle Pilotos'!$G$3)</f>
        <v>0</v>
      </c>
      <c r="B125">
        <f t="shared" si="1"/>
        <v>124</v>
      </c>
      <c r="C125" s="9">
        <v>43385</v>
      </c>
      <c r="D125" s="4" t="s">
        <v>49</v>
      </c>
      <c r="E125" s="8">
        <v>104397</v>
      </c>
      <c r="F125" s="3"/>
      <c r="G125" s="7">
        <f>G124+Tabla1[[#This Row],[ingreso]]-Tabla1[[#This Row],[egreso]]</f>
        <v>2191002</v>
      </c>
      <c r="H125" s="7" t="s">
        <v>14</v>
      </c>
      <c r="I125" s="7"/>
      <c r="J125" s="4"/>
    </row>
    <row r="126" spans="1:11" x14ac:dyDescent="0.2">
      <c r="A126">
        <f>COUNTIF($I$2:I126,'[1]Detalle Pilotos'!$G$3)</f>
        <v>0</v>
      </c>
      <c r="B126">
        <f t="shared" si="1"/>
        <v>125</v>
      </c>
      <c r="C126" s="9">
        <v>43389</v>
      </c>
      <c r="D126" s="4" t="s">
        <v>49</v>
      </c>
      <c r="E126" s="8">
        <v>68115</v>
      </c>
      <c r="F126" s="3"/>
      <c r="G126" s="7">
        <f>G125+Tabla1[[#This Row],[ingreso]]-Tabla1[[#This Row],[egreso]]</f>
        <v>2122887</v>
      </c>
      <c r="H126" s="7" t="s">
        <v>14</v>
      </c>
      <c r="I126" s="7"/>
      <c r="J126" s="4"/>
    </row>
    <row r="127" spans="1:11" x14ac:dyDescent="0.2">
      <c r="A127">
        <f>COUNTIF($I$2:I127,'[1]Detalle Pilotos'!$G$3)</f>
        <v>0</v>
      </c>
      <c r="B127">
        <f t="shared" si="1"/>
        <v>126</v>
      </c>
      <c r="C127" s="9">
        <v>43389</v>
      </c>
      <c r="D127" s="4" t="s">
        <v>65</v>
      </c>
      <c r="E127" s="8">
        <v>34300</v>
      </c>
      <c r="F127" s="3"/>
      <c r="G127" s="7">
        <f>G126+Tabla1[[#This Row],[ingreso]]-Tabla1[[#This Row],[egreso]]</f>
        <v>2088587</v>
      </c>
      <c r="H127" s="7" t="s">
        <v>34</v>
      </c>
      <c r="I127" s="7"/>
      <c r="J127" s="4"/>
    </row>
    <row r="128" spans="1:11" x14ac:dyDescent="0.2">
      <c r="A128">
        <f>COUNTIF($I$2:I128,'[1]Detalle Pilotos'!$G$3)</f>
        <v>0</v>
      </c>
      <c r="B128">
        <f t="shared" si="1"/>
        <v>127</v>
      </c>
      <c r="C128" s="9">
        <v>43389</v>
      </c>
      <c r="D128" s="4" t="s">
        <v>66</v>
      </c>
      <c r="E128" s="8">
        <v>309970</v>
      </c>
      <c r="F128" s="3"/>
      <c r="G128" s="7">
        <f>G127+Tabla1[[#This Row],[ingreso]]-Tabla1[[#This Row],[egreso]]</f>
        <v>1778617</v>
      </c>
      <c r="H128" s="7" t="s">
        <v>22</v>
      </c>
      <c r="I128" s="7"/>
      <c r="J128" s="4"/>
    </row>
    <row r="129" spans="1:10" x14ac:dyDescent="0.2">
      <c r="A129">
        <f>COUNTIF($I$2:I129,'[1]Detalle Pilotos'!$G$3)</f>
        <v>0</v>
      </c>
      <c r="B129">
        <f t="shared" si="1"/>
        <v>128</v>
      </c>
      <c r="C129" s="9">
        <v>43389</v>
      </c>
      <c r="D129" s="4" t="s">
        <v>67</v>
      </c>
      <c r="E129" s="8">
        <v>1000000</v>
      </c>
      <c r="F129" s="3"/>
      <c r="G129" s="7">
        <f>G128+Tabla1[[#This Row],[ingreso]]-Tabla1[[#This Row],[egreso]]</f>
        <v>778617</v>
      </c>
      <c r="H129" s="7" t="s">
        <v>34</v>
      </c>
      <c r="I129" s="7"/>
      <c r="J129" s="4"/>
    </row>
    <row r="130" spans="1:10" x14ac:dyDescent="0.2">
      <c r="A130">
        <f>COUNTIF($I$2:I130,'[1]Detalle Pilotos'!$G$3)</f>
        <v>0</v>
      </c>
      <c r="B130">
        <f t="shared" si="1"/>
        <v>129</v>
      </c>
      <c r="C130" s="9">
        <v>43389</v>
      </c>
      <c r="D130" s="4" t="s">
        <v>68</v>
      </c>
      <c r="E130" s="8">
        <v>70000</v>
      </c>
      <c r="F130" s="3"/>
      <c r="G130" s="7">
        <f>G129+Tabla1[[#This Row],[ingreso]]-Tabla1[[#This Row],[egreso]]</f>
        <v>708617</v>
      </c>
      <c r="H130" s="7" t="s">
        <v>22</v>
      </c>
      <c r="I130" s="7"/>
      <c r="J130" s="4"/>
    </row>
    <row r="131" spans="1:10" x14ac:dyDescent="0.2">
      <c r="A131">
        <f>COUNTIF($I$2:I131,'[1]Detalle Pilotos'!$G$3)</f>
        <v>0</v>
      </c>
      <c r="B131">
        <f t="shared" si="1"/>
        <v>130</v>
      </c>
      <c r="C131" s="9">
        <v>43389</v>
      </c>
      <c r="D131" s="4" t="s">
        <v>36</v>
      </c>
      <c r="E131" s="6"/>
      <c r="F131" s="3">
        <v>132000</v>
      </c>
      <c r="G131" s="7">
        <f>G130+Tabla1[[#This Row],[ingreso]]-Tabla1[[#This Row],[egreso]]</f>
        <v>840617</v>
      </c>
      <c r="H131" s="7"/>
      <c r="I131" s="7" t="s">
        <v>37</v>
      </c>
      <c r="J131" s="4"/>
    </row>
    <row r="132" spans="1:10" x14ac:dyDescent="0.2">
      <c r="A132">
        <f>COUNTIF($I$2:I132,'[1]Detalle Pilotos'!$G$3)</f>
        <v>0</v>
      </c>
      <c r="B132">
        <f t="shared" ref="B132:B195" si="2">IF(C132="","",1+B131)</f>
        <v>131</v>
      </c>
      <c r="C132" s="9">
        <v>43389</v>
      </c>
      <c r="D132" s="4" t="s">
        <v>53</v>
      </c>
      <c r="E132" s="6"/>
      <c r="F132" s="3">
        <v>938765</v>
      </c>
      <c r="G132" s="7">
        <f>G131+Tabla1[[#This Row],[ingreso]]-Tabla1[[#This Row],[egreso]]</f>
        <v>1779382</v>
      </c>
      <c r="H132" s="7"/>
      <c r="I132" s="4" t="s">
        <v>54</v>
      </c>
      <c r="J132" s="4"/>
    </row>
    <row r="133" spans="1:10" x14ac:dyDescent="0.2">
      <c r="A133">
        <f>COUNTIF($I$2:I133,'[1]Detalle Pilotos'!$G$3)</f>
        <v>0</v>
      </c>
      <c r="B133">
        <f t="shared" si="2"/>
        <v>132</v>
      </c>
      <c r="C133" s="9">
        <v>43390</v>
      </c>
      <c r="D133" s="4" t="s">
        <v>69</v>
      </c>
      <c r="E133" s="8">
        <v>65000</v>
      </c>
      <c r="F133" s="3"/>
      <c r="G133" s="7">
        <f>G132+Tabla1[[#This Row],[ingreso]]-Tabla1[[#This Row],[egreso]]</f>
        <v>1714382</v>
      </c>
      <c r="H133" s="7" t="s">
        <v>34</v>
      </c>
      <c r="I133" s="7"/>
      <c r="J133" s="4"/>
    </row>
    <row r="134" spans="1:10" x14ac:dyDescent="0.2">
      <c r="A134">
        <f>COUNTIF($I$2:I134,'[1]Detalle Pilotos'!$G$3)</f>
        <v>0</v>
      </c>
      <c r="B134">
        <f t="shared" si="2"/>
        <v>133</v>
      </c>
      <c r="C134" s="9">
        <v>43402</v>
      </c>
      <c r="D134" s="4" t="s">
        <v>70</v>
      </c>
      <c r="E134" s="8">
        <v>574525</v>
      </c>
      <c r="F134" s="3"/>
      <c r="G134" s="7">
        <f>G133+Tabla1[[#This Row],[ingreso]]-Tabla1[[#This Row],[egreso]]</f>
        <v>1139857</v>
      </c>
      <c r="H134" s="7" t="s">
        <v>34</v>
      </c>
      <c r="I134" s="7"/>
      <c r="J134" s="4"/>
    </row>
    <row r="135" spans="1:10" x14ac:dyDescent="0.2">
      <c r="A135">
        <f>COUNTIF($I$2:I135,'[1]Detalle Pilotos'!$G$3)</f>
        <v>0</v>
      </c>
      <c r="B135">
        <f t="shared" si="2"/>
        <v>134</v>
      </c>
      <c r="C135" s="9">
        <v>43402</v>
      </c>
      <c r="D135" s="4" t="s">
        <v>53</v>
      </c>
      <c r="E135" s="6"/>
      <c r="F135" s="3">
        <v>784718</v>
      </c>
      <c r="G135" s="7">
        <f>G134+Tabla1[[#This Row],[ingreso]]-Tabla1[[#This Row],[egreso]]</f>
        <v>1924575</v>
      </c>
      <c r="H135" s="7"/>
      <c r="I135" s="4" t="s">
        <v>54</v>
      </c>
      <c r="J135" s="4"/>
    </row>
    <row r="136" spans="1:10" x14ac:dyDescent="0.2">
      <c r="A136">
        <f>COUNTIF($I$2:I136,'[1]Detalle Pilotos'!$G$3)</f>
        <v>0</v>
      </c>
      <c r="B136">
        <f t="shared" si="2"/>
        <v>135</v>
      </c>
      <c r="C136" s="9">
        <v>43403</v>
      </c>
      <c r="D136" s="4" t="s">
        <v>47</v>
      </c>
      <c r="E136" s="6"/>
      <c r="F136" s="3">
        <v>467188</v>
      </c>
      <c r="G136" s="7">
        <f>G135+Tabla1[[#This Row],[ingreso]]-Tabla1[[#This Row],[egreso]]</f>
        <v>2391763</v>
      </c>
      <c r="H136" s="7"/>
      <c r="I136" s="7" t="s">
        <v>48</v>
      </c>
      <c r="J136" s="4"/>
    </row>
    <row r="137" spans="1:10" x14ac:dyDescent="0.2">
      <c r="A137">
        <f>COUNTIF($I$2:I137,'[1]Detalle Pilotos'!$G$3)</f>
        <v>0</v>
      </c>
      <c r="B137">
        <f t="shared" si="2"/>
        <v>136</v>
      </c>
      <c r="C137" s="9">
        <v>43409</v>
      </c>
      <c r="D137" s="4" t="s">
        <v>49</v>
      </c>
      <c r="E137" s="8">
        <v>70440</v>
      </c>
      <c r="F137" s="3"/>
      <c r="G137" s="7">
        <f>G136+Tabla1[[#This Row],[ingreso]]-Tabla1[[#This Row],[egreso]]</f>
        <v>2321323</v>
      </c>
      <c r="H137" s="7" t="s">
        <v>14</v>
      </c>
      <c r="I137" s="7"/>
      <c r="J137" s="4"/>
    </row>
    <row r="138" spans="1:10" x14ac:dyDescent="0.2">
      <c r="A138">
        <f>COUNTIF($I$2:I138,'[1]Detalle Pilotos'!$G$3)</f>
        <v>0</v>
      </c>
      <c r="B138">
        <f t="shared" si="2"/>
        <v>137</v>
      </c>
      <c r="C138" s="9">
        <v>43409</v>
      </c>
      <c r="D138" s="4" t="s">
        <v>71</v>
      </c>
      <c r="E138" s="8">
        <v>54418</v>
      </c>
      <c r="F138" s="3"/>
      <c r="G138" s="7">
        <f>G137+Tabla1[[#This Row],[ingreso]]-Tabla1[[#This Row],[egreso]]</f>
        <v>2266905</v>
      </c>
      <c r="H138" s="7" t="s">
        <v>14</v>
      </c>
      <c r="I138" s="7"/>
      <c r="J138" s="4"/>
    </row>
    <row r="139" spans="1:10" x14ac:dyDescent="0.2">
      <c r="A139">
        <f>COUNTIF($I$2:I139,'[1]Detalle Pilotos'!$G$3)</f>
        <v>0</v>
      </c>
      <c r="B139">
        <f t="shared" si="2"/>
        <v>138</v>
      </c>
      <c r="C139" s="9">
        <v>43409</v>
      </c>
      <c r="D139" s="4" t="s">
        <v>72</v>
      </c>
      <c r="E139" s="8">
        <v>350000</v>
      </c>
      <c r="F139" s="3"/>
      <c r="G139" s="7">
        <f>G138+Tabla1[[#This Row],[ingreso]]-Tabla1[[#This Row],[egreso]]</f>
        <v>1916905</v>
      </c>
      <c r="H139" s="7" t="s">
        <v>43</v>
      </c>
      <c r="I139" s="7"/>
      <c r="J139" s="4"/>
    </row>
    <row r="140" spans="1:10" x14ac:dyDescent="0.2">
      <c r="A140">
        <f>COUNTIF($I$2:I140,'[1]Detalle Pilotos'!$G$3)</f>
        <v>0</v>
      </c>
      <c r="B140">
        <f t="shared" si="2"/>
        <v>139</v>
      </c>
      <c r="C140" s="9">
        <v>43411</v>
      </c>
      <c r="D140" s="4" t="s">
        <v>12</v>
      </c>
      <c r="E140" s="6"/>
      <c r="F140" s="3">
        <v>500000</v>
      </c>
      <c r="G140" s="7">
        <f>G139+Tabla1[[#This Row],[ingreso]]-Tabla1[[#This Row],[egreso]]</f>
        <v>2416905</v>
      </c>
      <c r="H140" s="7"/>
      <c r="I140" s="7" t="s">
        <v>13</v>
      </c>
      <c r="J140" s="4"/>
    </row>
    <row r="141" spans="1:10" x14ac:dyDescent="0.2">
      <c r="A141">
        <f>COUNTIF($I$2:I141,'[1]Detalle Pilotos'!$G$3)</f>
        <v>0</v>
      </c>
      <c r="B141">
        <f t="shared" si="2"/>
        <v>140</v>
      </c>
      <c r="C141" s="9">
        <v>43412</v>
      </c>
      <c r="D141" s="4" t="s">
        <v>49</v>
      </c>
      <c r="E141" s="8">
        <v>63396</v>
      </c>
      <c r="F141" s="3"/>
      <c r="G141" s="7">
        <f>G140+Tabla1[[#This Row],[ingreso]]-Tabla1[[#This Row],[egreso]]</f>
        <v>2353509</v>
      </c>
      <c r="H141" s="7" t="s">
        <v>14</v>
      </c>
      <c r="I141" s="7"/>
      <c r="J141" s="4"/>
    </row>
    <row r="142" spans="1:10" x14ac:dyDescent="0.2">
      <c r="A142">
        <f>COUNTIF($I$2:I142,'[1]Detalle Pilotos'!$G$3)</f>
        <v>0</v>
      </c>
      <c r="B142">
        <f t="shared" si="2"/>
        <v>141</v>
      </c>
      <c r="C142" s="9">
        <v>43412</v>
      </c>
      <c r="D142" s="4" t="s">
        <v>53</v>
      </c>
      <c r="E142" s="6"/>
      <c r="F142" s="3">
        <v>1072718</v>
      </c>
      <c r="G142" s="7">
        <f>G141+Tabla1[[#This Row],[ingreso]]-Tabla1[[#This Row],[egreso]]</f>
        <v>3426227</v>
      </c>
      <c r="H142" s="7"/>
      <c r="I142" s="4" t="s">
        <v>54</v>
      </c>
      <c r="J142" s="4"/>
    </row>
    <row r="143" spans="1:10" x14ac:dyDescent="0.2">
      <c r="A143">
        <f>COUNTIF($I$2:I143,'[1]Detalle Pilotos'!$G$3)</f>
        <v>0</v>
      </c>
      <c r="B143">
        <f t="shared" si="2"/>
        <v>142</v>
      </c>
      <c r="C143" s="9">
        <v>43413</v>
      </c>
      <c r="D143" s="4" t="s">
        <v>73</v>
      </c>
      <c r="E143" s="8">
        <v>38400</v>
      </c>
      <c r="F143" s="3"/>
      <c r="G143" s="7">
        <f>G142+Tabla1[[#This Row],[ingreso]]-Tabla1[[#This Row],[egreso]]</f>
        <v>3387827</v>
      </c>
      <c r="H143" s="7" t="s">
        <v>34</v>
      </c>
      <c r="I143" s="7"/>
      <c r="J143" s="4"/>
    </row>
    <row r="144" spans="1:10" x14ac:dyDescent="0.2">
      <c r="A144">
        <f>COUNTIF($I$2:I144,'[1]Detalle Pilotos'!$G$3)</f>
        <v>0</v>
      </c>
      <c r="B144">
        <f t="shared" si="2"/>
        <v>143</v>
      </c>
      <c r="C144" s="9">
        <v>43413</v>
      </c>
      <c r="D144" s="4" t="s">
        <v>49</v>
      </c>
      <c r="E144" s="8">
        <v>64570</v>
      </c>
      <c r="F144" s="3"/>
      <c r="G144" s="7">
        <f>G143+Tabla1[[#This Row],[ingreso]]-Tabla1[[#This Row],[egreso]]</f>
        <v>3323257</v>
      </c>
      <c r="H144" s="7" t="s">
        <v>14</v>
      </c>
      <c r="I144" s="7"/>
      <c r="J144" s="4"/>
    </row>
    <row r="145" spans="1:11" x14ac:dyDescent="0.2">
      <c r="A145">
        <f>COUNTIF($I$2:I145,'[1]Detalle Pilotos'!$G$3)</f>
        <v>0</v>
      </c>
      <c r="B145">
        <f t="shared" si="2"/>
        <v>144</v>
      </c>
      <c r="C145" s="9">
        <v>43413</v>
      </c>
      <c r="D145" s="4" t="s">
        <v>74</v>
      </c>
      <c r="E145" s="8">
        <v>250000</v>
      </c>
      <c r="F145" s="3"/>
      <c r="G145" s="7">
        <f>G144+Tabla1[[#This Row],[ingreso]]-Tabla1[[#This Row],[egreso]]</f>
        <v>3073257</v>
      </c>
      <c r="H145" s="7" t="s">
        <v>34</v>
      </c>
      <c r="I145" s="7"/>
      <c r="J145" s="4"/>
      <c r="K145">
        <f>19000000/910</f>
        <v>20879.120879120877</v>
      </c>
    </row>
    <row r="146" spans="1:11" x14ac:dyDescent="0.2">
      <c r="A146">
        <f>COUNTIF($I$2:I146,'[1]Detalle Pilotos'!$G$3)</f>
        <v>0</v>
      </c>
      <c r="B146">
        <f t="shared" si="2"/>
        <v>145</v>
      </c>
      <c r="C146" s="9">
        <v>43416</v>
      </c>
      <c r="D146" s="4" t="s">
        <v>36</v>
      </c>
      <c r="E146" s="6"/>
      <c r="F146" s="3">
        <v>880000</v>
      </c>
      <c r="G146" s="7">
        <f>G145+Tabla1[[#This Row],[ingreso]]-Tabla1[[#This Row],[egreso]]</f>
        <v>3953257</v>
      </c>
      <c r="H146" s="7"/>
      <c r="I146" s="7" t="s">
        <v>37</v>
      </c>
      <c r="J146" s="4"/>
    </row>
    <row r="147" spans="1:11" x14ac:dyDescent="0.2">
      <c r="A147">
        <f>COUNTIF($I$2:I147,'[1]Detalle Pilotos'!$G$3)</f>
        <v>0</v>
      </c>
      <c r="B147">
        <f t="shared" si="2"/>
        <v>146</v>
      </c>
      <c r="C147" s="9">
        <v>43430</v>
      </c>
      <c r="D147" s="4" t="s">
        <v>53</v>
      </c>
      <c r="E147" s="6"/>
      <c r="F147" s="3">
        <v>2308395</v>
      </c>
      <c r="G147" s="7">
        <f>G146+Tabla1[[#This Row],[ingreso]]-Tabla1[[#This Row],[egreso]]</f>
        <v>6261652</v>
      </c>
      <c r="H147" s="7"/>
      <c r="I147" s="4" t="s">
        <v>54</v>
      </c>
      <c r="J147" s="4"/>
    </row>
    <row r="148" spans="1:11" x14ac:dyDescent="0.2">
      <c r="A148">
        <f>COUNTIF($I$2:I148,'[1]Detalle Pilotos'!$G$3)</f>
        <v>0</v>
      </c>
      <c r="B148">
        <f t="shared" si="2"/>
        <v>147</v>
      </c>
      <c r="C148" s="9">
        <v>43430</v>
      </c>
      <c r="D148" s="4" t="s">
        <v>75</v>
      </c>
      <c r="E148" s="8">
        <v>59500</v>
      </c>
      <c r="F148" s="3"/>
      <c r="G148" s="7">
        <f>G147+Tabla1[[#This Row],[ingreso]]-Tabla1[[#This Row],[egreso]]</f>
        <v>6202152</v>
      </c>
      <c r="H148" s="7" t="s">
        <v>34</v>
      </c>
      <c r="I148" s="7"/>
      <c r="J148" s="4"/>
    </row>
    <row r="149" spans="1:11" x14ac:dyDescent="0.2">
      <c r="A149">
        <f>COUNTIF($I$2:I149,'[1]Detalle Pilotos'!$G$3)</f>
        <v>0</v>
      </c>
      <c r="B149">
        <f t="shared" si="2"/>
        <v>148</v>
      </c>
      <c r="C149" s="9">
        <v>43430</v>
      </c>
      <c r="D149" s="4" t="s">
        <v>49</v>
      </c>
      <c r="E149" s="8">
        <v>85760</v>
      </c>
      <c r="F149" s="3"/>
      <c r="G149" s="7">
        <f>G148+Tabla1[[#This Row],[ingreso]]-Tabla1[[#This Row],[egreso]]</f>
        <v>6116392</v>
      </c>
      <c r="H149" s="7" t="s">
        <v>14</v>
      </c>
      <c r="I149" s="7"/>
      <c r="J149" s="4"/>
    </row>
    <row r="150" spans="1:11" x14ac:dyDescent="0.2">
      <c r="A150">
        <f>COUNTIF($I$2:I150,'[1]Detalle Pilotos'!$G$3)</f>
        <v>0</v>
      </c>
      <c r="B150">
        <f t="shared" si="2"/>
        <v>149</v>
      </c>
      <c r="C150" s="9">
        <v>43431</v>
      </c>
      <c r="D150" s="4" t="s">
        <v>63</v>
      </c>
      <c r="E150" s="6"/>
      <c r="F150" s="3">
        <v>80324</v>
      </c>
      <c r="G150" s="7">
        <f>G149+Tabla1[[#This Row],[ingreso]]-Tabla1[[#This Row],[egreso]]</f>
        <v>6196716</v>
      </c>
      <c r="H150" s="7"/>
      <c r="I150" s="7" t="s">
        <v>64</v>
      </c>
      <c r="J150" s="4"/>
    </row>
    <row r="151" spans="1:11" x14ac:dyDescent="0.2">
      <c r="A151">
        <f>COUNTIF($I$2:I151,'[1]Detalle Pilotos'!$G$3)</f>
        <v>0</v>
      </c>
      <c r="B151">
        <f t="shared" si="2"/>
        <v>150</v>
      </c>
      <c r="C151" s="9">
        <v>43437</v>
      </c>
      <c r="D151" s="4" t="s">
        <v>49</v>
      </c>
      <c r="E151" s="8">
        <v>32160</v>
      </c>
      <c r="F151" s="3"/>
      <c r="G151" s="7">
        <f>G150+Tabla1[[#This Row],[ingreso]]-Tabla1[[#This Row],[egreso]]</f>
        <v>6164556</v>
      </c>
      <c r="H151" s="7" t="s">
        <v>14</v>
      </c>
      <c r="I151" s="7"/>
      <c r="J151" s="4"/>
    </row>
    <row r="152" spans="1:11" x14ac:dyDescent="0.2">
      <c r="A152">
        <f>COUNTIF($I$2:I152,'[1]Detalle Pilotos'!$G$3)</f>
        <v>0</v>
      </c>
      <c r="B152">
        <f t="shared" si="2"/>
        <v>151</v>
      </c>
      <c r="C152" s="9">
        <v>43441</v>
      </c>
      <c r="D152" s="4" t="s">
        <v>49</v>
      </c>
      <c r="E152" s="8">
        <v>48240</v>
      </c>
      <c r="F152" s="3"/>
      <c r="G152" s="7">
        <f>G151+Tabla1[[#This Row],[ingreso]]-Tabla1[[#This Row],[egreso]]</f>
        <v>6116316</v>
      </c>
      <c r="H152" s="7" t="s">
        <v>14</v>
      </c>
      <c r="I152" s="7"/>
      <c r="J152" s="4"/>
    </row>
    <row r="153" spans="1:11" x14ac:dyDescent="0.2">
      <c r="A153">
        <f>COUNTIF($I$2:I153,'[1]Detalle Pilotos'!$G$3)</f>
        <v>0</v>
      </c>
      <c r="B153">
        <f t="shared" si="2"/>
        <v>152</v>
      </c>
      <c r="C153" s="9">
        <v>43441</v>
      </c>
      <c r="D153" s="4" t="s">
        <v>49</v>
      </c>
      <c r="E153" s="8">
        <v>62640</v>
      </c>
      <c r="F153" s="3"/>
      <c r="G153" s="7">
        <f>G152+Tabla1[[#This Row],[ingreso]]-Tabla1[[#This Row],[egreso]]</f>
        <v>6053676</v>
      </c>
      <c r="H153" s="7" t="s">
        <v>14</v>
      </c>
      <c r="I153" s="7"/>
      <c r="J153" s="4"/>
    </row>
    <row r="154" spans="1:11" x14ac:dyDescent="0.2">
      <c r="A154">
        <f>COUNTIF($I$2:I154,'[1]Detalle Pilotos'!$G$3)</f>
        <v>0</v>
      </c>
      <c r="B154">
        <f t="shared" si="2"/>
        <v>153</v>
      </c>
      <c r="C154" s="9">
        <v>43444</v>
      </c>
      <c r="D154" s="4" t="s">
        <v>12</v>
      </c>
      <c r="E154" s="8">
        <v>145296</v>
      </c>
      <c r="F154" s="3"/>
      <c r="G154" s="7">
        <f>G153+Tabla1[[#This Row],[ingreso]]-Tabla1[[#This Row],[egreso]]</f>
        <v>5908380</v>
      </c>
      <c r="H154" s="7" t="s">
        <v>14</v>
      </c>
      <c r="I154" s="7" t="s">
        <v>13</v>
      </c>
      <c r="J154" s="4"/>
    </row>
    <row r="155" spans="1:11" x14ac:dyDescent="0.2">
      <c r="A155">
        <f>COUNTIF($I$2:I155,'[1]Detalle Pilotos'!$G$3)</f>
        <v>0</v>
      </c>
      <c r="B155">
        <f t="shared" si="2"/>
        <v>154</v>
      </c>
      <c r="C155" s="9">
        <v>43444</v>
      </c>
      <c r="D155" s="4" t="s">
        <v>36</v>
      </c>
      <c r="E155" s="6"/>
      <c r="F155" s="3">
        <v>440000</v>
      </c>
      <c r="G155" s="7">
        <f>G154+Tabla1[[#This Row],[ingreso]]-Tabla1[[#This Row],[egreso]]</f>
        <v>6348380</v>
      </c>
      <c r="H155" s="7"/>
      <c r="I155" s="7" t="s">
        <v>37</v>
      </c>
      <c r="J155" s="4"/>
    </row>
    <row r="156" spans="1:11" x14ac:dyDescent="0.2">
      <c r="A156">
        <f>COUNTIF($I$2:I156,'[1]Detalle Pilotos'!$G$3)</f>
        <v>0</v>
      </c>
      <c r="B156">
        <f t="shared" si="2"/>
        <v>155</v>
      </c>
      <c r="C156" s="9">
        <v>43445</v>
      </c>
      <c r="D156" s="4" t="s">
        <v>12</v>
      </c>
      <c r="E156" s="6"/>
      <c r="F156" s="3">
        <v>500000</v>
      </c>
      <c r="G156" s="7">
        <f>G155+Tabla1[[#This Row],[ingreso]]-Tabla1[[#This Row],[egreso]]</f>
        <v>6848380</v>
      </c>
      <c r="H156" s="7"/>
      <c r="I156" s="7" t="s">
        <v>13</v>
      </c>
      <c r="J156" s="4"/>
    </row>
    <row r="157" spans="1:11" x14ac:dyDescent="0.2">
      <c r="A157">
        <f>COUNTIF($I$2:I157,'[1]Detalle Pilotos'!$G$3)</f>
        <v>0</v>
      </c>
      <c r="B157">
        <f t="shared" si="2"/>
        <v>156</v>
      </c>
      <c r="C157" s="9">
        <v>43445</v>
      </c>
      <c r="D157" s="4" t="s">
        <v>46</v>
      </c>
      <c r="E157" s="8">
        <v>2203606</v>
      </c>
      <c r="F157" s="3"/>
      <c r="G157" s="7">
        <f>G156+Tabla1[[#This Row],[ingreso]]-Tabla1[[#This Row],[egreso]]</f>
        <v>4644774</v>
      </c>
      <c r="H157" s="7" t="s">
        <v>34</v>
      </c>
      <c r="I157" s="7"/>
      <c r="J157" s="4"/>
    </row>
    <row r="158" spans="1:11" x14ac:dyDescent="0.2">
      <c r="A158">
        <f>COUNTIF($I$2:I158,'[1]Detalle Pilotos'!$G$3)</f>
        <v>0</v>
      </c>
      <c r="B158">
        <f t="shared" si="2"/>
        <v>157</v>
      </c>
      <c r="C158" s="9">
        <v>43445</v>
      </c>
      <c r="D158" s="4" t="s">
        <v>76</v>
      </c>
      <c r="E158" s="8">
        <v>194000</v>
      </c>
      <c r="F158" s="3"/>
      <c r="G158" s="7">
        <f>G157+Tabla1[[#This Row],[ingreso]]-Tabla1[[#This Row],[egreso]]</f>
        <v>4450774</v>
      </c>
      <c r="H158" s="7" t="s">
        <v>22</v>
      </c>
      <c r="I158" s="7"/>
      <c r="J158" s="4"/>
    </row>
    <row r="159" spans="1:11" x14ac:dyDescent="0.2">
      <c r="A159">
        <f>COUNTIF($I$2:I159,'[1]Detalle Pilotos'!$G$3)</f>
        <v>0</v>
      </c>
      <c r="B159">
        <f t="shared" si="2"/>
        <v>158</v>
      </c>
      <c r="C159" s="9">
        <v>43446</v>
      </c>
      <c r="D159" s="4" t="s">
        <v>53</v>
      </c>
      <c r="E159" s="6"/>
      <c r="F159" s="3">
        <v>2000000</v>
      </c>
      <c r="G159" s="7">
        <f>G158+Tabla1[[#This Row],[ingreso]]-Tabla1[[#This Row],[egreso]]</f>
        <v>6450774</v>
      </c>
      <c r="H159" s="7"/>
      <c r="I159" s="4" t="s">
        <v>54</v>
      </c>
      <c r="J159" s="4"/>
    </row>
    <row r="160" spans="1:11" x14ac:dyDescent="0.2">
      <c r="A160">
        <f>COUNTIF($I$2:I160,'[1]Detalle Pilotos'!$G$3)</f>
        <v>0</v>
      </c>
      <c r="B160">
        <f t="shared" si="2"/>
        <v>159</v>
      </c>
      <c r="C160" s="9">
        <v>43448</v>
      </c>
      <c r="D160" s="4" t="s">
        <v>53</v>
      </c>
      <c r="E160" s="6"/>
      <c r="F160" s="3">
        <v>700000</v>
      </c>
      <c r="G160" s="7">
        <f>G159+Tabla1[[#This Row],[ingreso]]-Tabla1[[#This Row],[egreso]]</f>
        <v>7150774</v>
      </c>
      <c r="H160" s="7"/>
      <c r="I160" s="4" t="s">
        <v>54</v>
      </c>
      <c r="J160" s="4"/>
    </row>
    <row r="161" spans="1:10" x14ac:dyDescent="0.2">
      <c r="A161">
        <f>COUNTIF($I$2:I161,'[1]Detalle Pilotos'!$G$3)</f>
        <v>0</v>
      </c>
      <c r="B161">
        <f t="shared" si="2"/>
        <v>160</v>
      </c>
      <c r="C161" s="9">
        <v>43448</v>
      </c>
      <c r="D161" s="4" t="s">
        <v>77</v>
      </c>
      <c r="E161" s="8">
        <v>700000</v>
      </c>
      <c r="F161" s="3"/>
      <c r="G161" s="7">
        <f>G160+Tabla1[[#This Row],[ingreso]]-Tabla1[[#This Row],[egreso]]</f>
        <v>6450774</v>
      </c>
      <c r="H161" s="7" t="s">
        <v>43</v>
      </c>
      <c r="I161" s="7"/>
      <c r="J161" s="4"/>
    </row>
    <row r="162" spans="1:10" x14ac:dyDescent="0.2">
      <c r="A162">
        <f>COUNTIF($I$2:I162,'[1]Detalle Pilotos'!$G$3)</f>
        <v>0</v>
      </c>
      <c r="B162">
        <f t="shared" si="2"/>
        <v>161</v>
      </c>
      <c r="C162" s="9">
        <v>43451</v>
      </c>
      <c r="D162" s="4" t="s">
        <v>78</v>
      </c>
      <c r="E162" s="8">
        <v>1522160</v>
      </c>
      <c r="F162" s="3"/>
      <c r="G162" s="7">
        <f>G161+Tabla1[[#This Row],[ingreso]]-Tabla1[[#This Row],[egreso]]</f>
        <v>4928614</v>
      </c>
      <c r="H162" s="7" t="s">
        <v>20</v>
      </c>
      <c r="I162" s="7"/>
      <c r="J162" s="4"/>
    </row>
    <row r="163" spans="1:10" x14ac:dyDescent="0.2">
      <c r="A163">
        <f>COUNTIF($I$2:I163,'[1]Detalle Pilotos'!$G$3)</f>
        <v>0</v>
      </c>
      <c r="B163">
        <f t="shared" si="2"/>
        <v>162</v>
      </c>
      <c r="C163" s="9">
        <v>43454</v>
      </c>
      <c r="D163" s="4" t="s">
        <v>79</v>
      </c>
      <c r="E163" s="6"/>
      <c r="F163" s="3">
        <v>250000</v>
      </c>
      <c r="G163" s="7">
        <f>G162+Tabla1[[#This Row],[ingreso]]-Tabla1[[#This Row],[egreso]]</f>
        <v>5178614</v>
      </c>
      <c r="H163" s="7"/>
      <c r="I163" s="7" t="s">
        <v>80</v>
      </c>
      <c r="J163" s="4"/>
    </row>
    <row r="164" spans="1:10" x14ac:dyDescent="0.2">
      <c r="A164">
        <f>COUNTIF($I$2:I164,'[1]Detalle Pilotos'!$G$3)</f>
        <v>0</v>
      </c>
      <c r="B164">
        <f t="shared" si="2"/>
        <v>163</v>
      </c>
      <c r="C164" s="9">
        <v>43455</v>
      </c>
      <c r="D164" s="4" t="s">
        <v>53</v>
      </c>
      <c r="E164" s="6"/>
      <c r="F164" s="3">
        <v>500000</v>
      </c>
      <c r="G164" s="7">
        <f>G163+Tabla1[[#This Row],[ingreso]]-Tabla1[[#This Row],[egreso]]</f>
        <v>5678614</v>
      </c>
      <c r="H164" s="7"/>
      <c r="I164" s="4" t="s">
        <v>54</v>
      </c>
      <c r="J164" s="4"/>
    </row>
    <row r="165" spans="1:10" x14ac:dyDescent="0.2">
      <c r="A165">
        <f>COUNTIF($I$2:I165,'[1]Detalle Pilotos'!$G$3)</f>
        <v>0</v>
      </c>
      <c r="B165">
        <f t="shared" si="2"/>
        <v>164</v>
      </c>
      <c r="C165" s="9">
        <v>43458</v>
      </c>
      <c r="D165" s="4" t="s">
        <v>79</v>
      </c>
      <c r="E165" s="6"/>
      <c r="F165" s="3">
        <v>86000</v>
      </c>
      <c r="G165" s="7">
        <f>G164+Tabla1[[#This Row],[ingreso]]-Tabla1[[#This Row],[egreso]]</f>
        <v>5764614</v>
      </c>
      <c r="H165" s="7"/>
      <c r="I165" s="7" t="s">
        <v>80</v>
      </c>
      <c r="J165" s="4"/>
    </row>
    <row r="166" spans="1:10" x14ac:dyDescent="0.2">
      <c r="A166">
        <f>COUNTIF($I$2:I166,'[1]Detalle Pilotos'!$G$3)</f>
        <v>0</v>
      </c>
      <c r="B166">
        <f t="shared" si="2"/>
        <v>165</v>
      </c>
      <c r="C166" s="9">
        <v>43467</v>
      </c>
      <c r="D166" s="4" t="s">
        <v>53</v>
      </c>
      <c r="E166" s="6"/>
      <c r="F166" s="3">
        <v>500000</v>
      </c>
      <c r="G166" s="7">
        <f>G165+Tabla1[[#This Row],[ingreso]]-Tabla1[[#This Row],[egreso]]</f>
        <v>6264614</v>
      </c>
      <c r="H166" s="7"/>
      <c r="I166" s="4" t="s">
        <v>54</v>
      </c>
      <c r="J166" s="4"/>
    </row>
    <row r="167" spans="1:10" x14ac:dyDescent="0.2">
      <c r="A167">
        <f>COUNTIF($I$2:I167,'[1]Detalle Pilotos'!$G$3)</f>
        <v>0</v>
      </c>
      <c r="B167">
        <f t="shared" si="2"/>
        <v>166</v>
      </c>
      <c r="C167" s="9">
        <v>43472</v>
      </c>
      <c r="D167" s="4" t="s">
        <v>12</v>
      </c>
      <c r="E167" s="6"/>
      <c r="F167" s="3">
        <v>400000</v>
      </c>
      <c r="G167" s="7">
        <f>G166+Tabla1[[#This Row],[ingreso]]-Tabla1[[#This Row],[egreso]]</f>
        <v>6664614</v>
      </c>
      <c r="H167" s="7"/>
      <c r="I167" s="7" t="s">
        <v>13</v>
      </c>
      <c r="J167" s="4"/>
    </row>
    <row r="168" spans="1:10" x14ac:dyDescent="0.2">
      <c r="A168">
        <f>COUNTIF($I$2:I168,'[1]Detalle Pilotos'!$G$3)</f>
        <v>0</v>
      </c>
      <c r="B168">
        <f t="shared" si="2"/>
        <v>167</v>
      </c>
      <c r="C168" s="9">
        <v>43475</v>
      </c>
      <c r="D168" s="4" t="s">
        <v>63</v>
      </c>
      <c r="E168" s="6"/>
      <c r="F168" s="3">
        <v>69068</v>
      </c>
      <c r="G168" s="7">
        <f>G167+Tabla1[[#This Row],[ingreso]]-Tabla1[[#This Row],[egreso]]</f>
        <v>6733682</v>
      </c>
      <c r="H168" s="7"/>
      <c r="I168" s="7" t="s">
        <v>64</v>
      </c>
      <c r="J168" s="4"/>
    </row>
    <row r="169" spans="1:10" x14ac:dyDescent="0.2">
      <c r="A169">
        <f>COUNTIF($I$2:I169,'[1]Detalle Pilotos'!$G$3)</f>
        <v>0</v>
      </c>
      <c r="B169">
        <f t="shared" si="2"/>
        <v>168</v>
      </c>
      <c r="C169" s="9">
        <v>43479</v>
      </c>
      <c r="D169" s="4" t="s">
        <v>49</v>
      </c>
      <c r="E169" s="8">
        <v>49980</v>
      </c>
      <c r="F169" s="3"/>
      <c r="G169" s="7">
        <f>G168+Tabla1[[#This Row],[ingreso]]-Tabla1[[#This Row],[egreso]]</f>
        <v>6683702</v>
      </c>
      <c r="H169" s="7" t="s">
        <v>14</v>
      </c>
      <c r="I169" s="7"/>
      <c r="J169" s="4"/>
    </row>
    <row r="170" spans="1:10" x14ac:dyDescent="0.2">
      <c r="A170">
        <f>COUNTIF($I$2:I170,'[1]Detalle Pilotos'!$G$3)</f>
        <v>0</v>
      </c>
      <c r="B170">
        <f t="shared" si="2"/>
        <v>169</v>
      </c>
      <c r="C170" s="9">
        <v>43479</v>
      </c>
      <c r="D170" s="4" t="s">
        <v>49</v>
      </c>
      <c r="E170" s="8">
        <v>49980</v>
      </c>
      <c r="F170" s="3"/>
      <c r="G170" s="7">
        <f>G169+Tabla1[[#This Row],[ingreso]]-Tabla1[[#This Row],[egreso]]</f>
        <v>6633722</v>
      </c>
      <c r="H170" s="7" t="s">
        <v>14</v>
      </c>
      <c r="I170" s="7"/>
      <c r="J170" s="4"/>
    </row>
    <row r="171" spans="1:10" x14ac:dyDescent="0.2">
      <c r="A171">
        <f>COUNTIF($I$2:I171,'[1]Detalle Pilotos'!$G$3)</f>
        <v>0</v>
      </c>
      <c r="B171">
        <f t="shared" si="2"/>
        <v>170</v>
      </c>
      <c r="C171" s="9">
        <v>43479</v>
      </c>
      <c r="D171" s="4" t="s">
        <v>49</v>
      </c>
      <c r="E171" s="8">
        <v>49980</v>
      </c>
      <c r="F171" s="3"/>
      <c r="G171" s="7">
        <f>G170+Tabla1[[#This Row],[ingreso]]-Tabla1[[#This Row],[egreso]]</f>
        <v>6583742</v>
      </c>
      <c r="H171" s="7" t="s">
        <v>14</v>
      </c>
      <c r="I171" s="7"/>
      <c r="J171" s="4"/>
    </row>
    <row r="172" spans="1:10" x14ac:dyDescent="0.2">
      <c r="A172">
        <f>COUNTIF($I$2:I172,'[1]Detalle Pilotos'!$G$3)</f>
        <v>0</v>
      </c>
      <c r="B172">
        <f t="shared" si="2"/>
        <v>171</v>
      </c>
      <c r="C172" s="9">
        <v>43479</v>
      </c>
      <c r="D172" s="4" t="s">
        <v>12</v>
      </c>
      <c r="E172" s="8">
        <v>120000</v>
      </c>
      <c r="F172" s="3"/>
      <c r="G172" s="7">
        <f>G171+Tabla1[[#This Row],[ingreso]]-Tabla1[[#This Row],[egreso]]</f>
        <v>6463742</v>
      </c>
      <c r="H172" s="7" t="s">
        <v>14</v>
      </c>
      <c r="I172" s="7" t="s">
        <v>13</v>
      </c>
      <c r="J172" s="4"/>
    </row>
    <row r="173" spans="1:10" x14ac:dyDescent="0.2">
      <c r="A173">
        <f>COUNTIF($I$2:I173,'[1]Detalle Pilotos'!$G$3)</f>
        <v>0</v>
      </c>
      <c r="B173">
        <f t="shared" si="2"/>
        <v>172</v>
      </c>
      <c r="C173" s="9">
        <v>43487</v>
      </c>
      <c r="D173" s="4" t="s">
        <v>81</v>
      </c>
      <c r="E173" s="6"/>
      <c r="F173" s="3">
        <v>149940</v>
      </c>
      <c r="G173" s="7">
        <f>G172+Tabla1[[#This Row],[ingreso]]-Tabla1[[#This Row],[egreso]]</f>
        <v>6613682</v>
      </c>
      <c r="H173" s="7"/>
      <c r="I173" s="7"/>
      <c r="J173" s="4"/>
    </row>
    <row r="174" spans="1:10" x14ac:dyDescent="0.2">
      <c r="A174">
        <f>COUNTIF($I$2:I174,'[1]Detalle Pilotos'!$G$3)</f>
        <v>0</v>
      </c>
      <c r="B174">
        <f t="shared" si="2"/>
        <v>173</v>
      </c>
      <c r="C174" s="9">
        <v>43488</v>
      </c>
      <c r="D174" s="4" t="s">
        <v>12</v>
      </c>
      <c r="E174" s="8">
        <v>73720</v>
      </c>
      <c r="F174" s="3"/>
      <c r="G174" s="7">
        <f>G173+Tabla1[[#This Row],[ingreso]]-Tabla1[[#This Row],[egreso]]</f>
        <v>6539962</v>
      </c>
      <c r="H174" s="7" t="s">
        <v>14</v>
      </c>
      <c r="I174" s="7" t="s">
        <v>13</v>
      </c>
      <c r="J174" s="4"/>
    </row>
    <row r="175" spans="1:10" x14ac:dyDescent="0.2">
      <c r="A175">
        <f>COUNTIF($I$2:I175,'[1]Detalle Pilotos'!$G$3)</f>
        <v>0</v>
      </c>
      <c r="B175">
        <f t="shared" si="2"/>
        <v>174</v>
      </c>
      <c r="C175" s="9">
        <v>43489</v>
      </c>
      <c r="D175" s="4" t="s">
        <v>53</v>
      </c>
      <c r="E175" s="6"/>
      <c r="F175" s="3">
        <v>400000</v>
      </c>
      <c r="G175" s="7">
        <f>G174+Tabla1[[#This Row],[ingreso]]-Tabla1[[#This Row],[egreso]]</f>
        <v>6939962</v>
      </c>
      <c r="H175" s="7"/>
      <c r="I175" s="4" t="s">
        <v>54</v>
      </c>
      <c r="J175" s="4"/>
    </row>
    <row r="176" spans="1:10" x14ac:dyDescent="0.2">
      <c r="A176">
        <f>COUNTIF($I$2:I176,'[1]Detalle Pilotos'!$G$3)</f>
        <v>0</v>
      </c>
      <c r="B176">
        <f t="shared" si="2"/>
        <v>175</v>
      </c>
      <c r="C176" s="9">
        <v>43494</v>
      </c>
      <c r="D176" s="4" t="s">
        <v>53</v>
      </c>
      <c r="E176" s="6"/>
      <c r="F176" s="3">
        <v>180000</v>
      </c>
      <c r="G176" s="7">
        <f>G175+Tabla1[[#This Row],[ingreso]]-Tabla1[[#This Row],[egreso]]</f>
        <v>7119962</v>
      </c>
      <c r="H176" s="7"/>
      <c r="I176" s="4" t="s">
        <v>54</v>
      </c>
      <c r="J176" s="4"/>
    </row>
    <row r="177" spans="1:10" x14ac:dyDescent="0.2">
      <c r="A177">
        <f>COUNTIF($I$2:I177,'[1]Detalle Pilotos'!$G$3)</f>
        <v>0</v>
      </c>
      <c r="B177">
        <f t="shared" si="2"/>
        <v>176</v>
      </c>
      <c r="C177" s="9">
        <v>43502</v>
      </c>
      <c r="D177" s="4" t="s">
        <v>82</v>
      </c>
      <c r="E177" s="8">
        <v>1194453</v>
      </c>
      <c r="F177" s="3"/>
      <c r="G177" s="7">
        <f>G176+Tabla1[[#This Row],[ingreso]]-Tabla1[[#This Row],[egreso]]</f>
        <v>5925509</v>
      </c>
      <c r="H177" s="7" t="s">
        <v>20</v>
      </c>
      <c r="I177" s="7"/>
      <c r="J177" s="4"/>
    </row>
    <row r="178" spans="1:10" x14ac:dyDescent="0.2">
      <c r="A178">
        <f>COUNTIF($I$2:I178,'[1]Detalle Pilotos'!$G$3)</f>
        <v>0</v>
      </c>
      <c r="B178">
        <f t="shared" si="2"/>
        <v>177</v>
      </c>
      <c r="C178" s="9">
        <v>43503</v>
      </c>
      <c r="D178" s="4" t="s">
        <v>83</v>
      </c>
      <c r="E178" s="8">
        <v>83763</v>
      </c>
      <c r="F178" s="3"/>
      <c r="G178" s="7">
        <f>G177+Tabla1[[#This Row],[ingreso]]-Tabla1[[#This Row],[egreso]]</f>
        <v>5841746</v>
      </c>
      <c r="H178" s="7" t="s">
        <v>20</v>
      </c>
      <c r="I178" s="7"/>
      <c r="J178" s="4"/>
    </row>
    <row r="179" spans="1:10" x14ac:dyDescent="0.2">
      <c r="A179">
        <f>COUNTIF($I$2:I179,'[1]Detalle Pilotos'!$G$3)</f>
        <v>0</v>
      </c>
      <c r="B179">
        <f t="shared" si="2"/>
        <v>178</v>
      </c>
      <c r="C179" s="9">
        <v>43507</v>
      </c>
      <c r="D179" s="4" t="s">
        <v>53</v>
      </c>
      <c r="E179" s="6"/>
      <c r="F179" s="3">
        <v>450000</v>
      </c>
      <c r="G179" s="7">
        <f>G178+Tabla1[[#This Row],[ingreso]]-Tabla1[[#This Row],[egreso]]</f>
        <v>6291746</v>
      </c>
      <c r="H179" s="7"/>
      <c r="I179" s="4" t="s">
        <v>54</v>
      </c>
      <c r="J179" s="4"/>
    </row>
    <row r="180" spans="1:10" x14ac:dyDescent="0.2">
      <c r="A180">
        <f>COUNTIF($I$2:I180,'[1]Detalle Pilotos'!$G$3)</f>
        <v>0</v>
      </c>
      <c r="B180">
        <f t="shared" si="2"/>
        <v>179</v>
      </c>
      <c r="C180" s="9">
        <v>43508</v>
      </c>
      <c r="D180" s="4" t="s">
        <v>49</v>
      </c>
      <c r="E180" s="8">
        <v>80925</v>
      </c>
      <c r="F180" s="3"/>
      <c r="G180" s="7">
        <f>G179+Tabla1[[#This Row],[ingreso]]-Tabla1[[#This Row],[egreso]]</f>
        <v>6210821</v>
      </c>
      <c r="H180" s="7" t="s">
        <v>14</v>
      </c>
      <c r="I180" s="7"/>
      <c r="J180" s="4"/>
    </row>
    <row r="181" spans="1:10" x14ac:dyDescent="0.2">
      <c r="A181">
        <f>COUNTIF($I$2:I181,'[1]Detalle Pilotos'!$G$3)</f>
        <v>0</v>
      </c>
      <c r="B181">
        <f t="shared" si="2"/>
        <v>180</v>
      </c>
      <c r="C181" s="9">
        <v>43508</v>
      </c>
      <c r="D181" s="4" t="s">
        <v>46</v>
      </c>
      <c r="E181" s="8">
        <v>2163051</v>
      </c>
      <c r="F181" s="3"/>
      <c r="G181" s="7">
        <f>G180+Tabla1[[#This Row],[ingreso]]-Tabla1[[#This Row],[egreso]]</f>
        <v>4047770</v>
      </c>
      <c r="H181" s="7" t="s">
        <v>34</v>
      </c>
      <c r="I181" s="7"/>
      <c r="J181" s="4"/>
    </row>
    <row r="182" spans="1:10" x14ac:dyDescent="0.2">
      <c r="A182">
        <f>COUNTIF($I$2:I182,'[1]Detalle Pilotos'!$G$3)</f>
        <v>0</v>
      </c>
      <c r="B182">
        <f t="shared" si="2"/>
        <v>181</v>
      </c>
      <c r="C182" s="9">
        <v>43510</v>
      </c>
      <c r="D182" s="4" t="s">
        <v>84</v>
      </c>
      <c r="E182" s="8">
        <v>141264</v>
      </c>
      <c r="F182" s="3"/>
      <c r="G182" s="7">
        <f>G181+Tabla1[[#This Row],[ingreso]]-Tabla1[[#This Row],[egreso]]</f>
        <v>3906506</v>
      </c>
      <c r="H182" s="7" t="s">
        <v>18</v>
      </c>
      <c r="I182" s="7"/>
      <c r="J182" s="4"/>
    </row>
    <row r="183" spans="1:10" x14ac:dyDescent="0.2">
      <c r="A183">
        <f>COUNTIF($I$2:I183,'[1]Detalle Pilotos'!$G$3)</f>
        <v>0</v>
      </c>
      <c r="B183">
        <f t="shared" si="2"/>
        <v>182</v>
      </c>
      <c r="C183" s="9">
        <v>43510</v>
      </c>
      <c r="D183" s="4" t="s">
        <v>53</v>
      </c>
      <c r="E183" s="6"/>
      <c r="F183" s="3">
        <v>500000</v>
      </c>
      <c r="G183" s="7">
        <f>G182+Tabla1[[#This Row],[ingreso]]-Tabla1[[#This Row],[egreso]]</f>
        <v>4406506</v>
      </c>
      <c r="H183" s="7"/>
      <c r="I183" s="4" t="s">
        <v>54</v>
      </c>
      <c r="J183" s="4"/>
    </row>
    <row r="184" spans="1:10" x14ac:dyDescent="0.2">
      <c r="A184">
        <f>COUNTIF($I$2:I184,'[1]Detalle Pilotos'!$G$3)</f>
        <v>0</v>
      </c>
      <c r="B184">
        <f t="shared" si="2"/>
        <v>183</v>
      </c>
      <c r="C184" s="9">
        <v>43511</v>
      </c>
      <c r="D184" s="4" t="s">
        <v>53</v>
      </c>
      <c r="E184" s="6"/>
      <c r="F184" s="3">
        <v>400000</v>
      </c>
      <c r="G184" s="7">
        <f>G183+Tabla1[[#This Row],[ingreso]]-Tabla1[[#This Row],[egreso]]</f>
        <v>4806506</v>
      </c>
      <c r="H184" s="7"/>
      <c r="I184" s="4" t="s">
        <v>54</v>
      </c>
      <c r="J184" s="4"/>
    </row>
    <row r="185" spans="1:10" x14ac:dyDescent="0.2">
      <c r="A185">
        <f>COUNTIF($I$2:I185,'[1]Detalle Pilotos'!$G$3)</f>
        <v>0</v>
      </c>
      <c r="B185">
        <f t="shared" si="2"/>
        <v>184</v>
      </c>
      <c r="C185" s="9">
        <v>43515</v>
      </c>
      <c r="D185" s="4" t="s">
        <v>36</v>
      </c>
      <c r="E185" s="6"/>
      <c r="F185" s="3">
        <v>459003</v>
      </c>
      <c r="G185" s="7">
        <f>G184+Tabla1[[#This Row],[ingreso]]-Tabla1[[#This Row],[egreso]]</f>
        <v>5265509</v>
      </c>
      <c r="H185" s="7"/>
      <c r="I185" s="7" t="s">
        <v>37</v>
      </c>
      <c r="J185" s="4"/>
    </row>
    <row r="186" spans="1:10" x14ac:dyDescent="0.2">
      <c r="A186">
        <f>COUNTIF($I$2:I186,'[1]Detalle Pilotos'!$G$3)</f>
        <v>0</v>
      </c>
      <c r="B186">
        <f t="shared" si="2"/>
        <v>185</v>
      </c>
      <c r="C186" s="9">
        <v>43518</v>
      </c>
      <c r="D186" s="4" t="s">
        <v>12</v>
      </c>
      <c r="E186" s="6"/>
      <c r="F186" s="3">
        <v>500000</v>
      </c>
      <c r="G186" s="7">
        <f>G185+Tabla1[[#This Row],[ingreso]]-Tabla1[[#This Row],[egreso]]</f>
        <v>5765509</v>
      </c>
      <c r="H186" s="7"/>
      <c r="I186" s="7" t="s">
        <v>13</v>
      </c>
      <c r="J186" s="4"/>
    </row>
    <row r="187" spans="1:10" x14ac:dyDescent="0.2">
      <c r="A187">
        <f>COUNTIF($I$2:I187,'[1]Detalle Pilotos'!$G$3)</f>
        <v>0</v>
      </c>
      <c r="B187">
        <f t="shared" si="2"/>
        <v>186</v>
      </c>
      <c r="C187" s="9">
        <v>43518</v>
      </c>
      <c r="D187" s="4" t="s">
        <v>53</v>
      </c>
      <c r="E187" s="6"/>
      <c r="F187" s="3">
        <v>630000</v>
      </c>
      <c r="G187" s="7">
        <f>G186+Tabla1[[#This Row],[ingreso]]-Tabla1[[#This Row],[egreso]]</f>
        <v>6395509</v>
      </c>
      <c r="H187" s="7"/>
      <c r="I187" s="4" t="s">
        <v>54</v>
      </c>
      <c r="J187" s="4"/>
    </row>
    <row r="188" spans="1:10" x14ac:dyDescent="0.2">
      <c r="A188">
        <f>COUNTIF($I$2:I188,'[1]Detalle Pilotos'!$G$3)</f>
        <v>0</v>
      </c>
      <c r="B188">
        <f t="shared" si="2"/>
        <v>187</v>
      </c>
      <c r="C188" s="9">
        <v>43518</v>
      </c>
      <c r="D188" s="4" t="s">
        <v>12</v>
      </c>
      <c r="E188" s="8">
        <v>76321</v>
      </c>
      <c r="F188" s="3"/>
      <c r="G188" s="7">
        <f>G187+Tabla1[[#This Row],[ingreso]]-Tabla1[[#This Row],[egreso]]</f>
        <v>6319188</v>
      </c>
      <c r="H188" s="7" t="s">
        <v>14</v>
      </c>
      <c r="I188" s="7" t="s">
        <v>13</v>
      </c>
      <c r="J188" s="4"/>
    </row>
    <row r="189" spans="1:10" x14ac:dyDescent="0.2">
      <c r="A189">
        <f>COUNTIF($I$2:I189,'[1]Detalle Pilotos'!$G$3)</f>
        <v>0</v>
      </c>
      <c r="B189">
        <f t="shared" si="2"/>
        <v>188</v>
      </c>
      <c r="C189" s="9">
        <v>43521</v>
      </c>
      <c r="D189" s="4" t="s">
        <v>79</v>
      </c>
      <c r="E189" s="6"/>
      <c r="F189" s="3">
        <v>30000</v>
      </c>
      <c r="G189" s="7">
        <f>G188+Tabla1[[#This Row],[ingreso]]-Tabla1[[#This Row],[egreso]]</f>
        <v>6349188</v>
      </c>
      <c r="H189" s="7"/>
      <c r="I189" s="7" t="s">
        <v>80</v>
      </c>
      <c r="J189" s="4"/>
    </row>
    <row r="190" spans="1:10" x14ac:dyDescent="0.2">
      <c r="A190">
        <f>COUNTIF($I$2:I190,'[1]Detalle Pilotos'!$G$3)</f>
        <v>0</v>
      </c>
      <c r="B190">
        <f t="shared" si="2"/>
        <v>189</v>
      </c>
      <c r="C190" s="9">
        <v>43525</v>
      </c>
      <c r="D190" s="4" t="s">
        <v>49</v>
      </c>
      <c r="E190" s="8">
        <v>70219</v>
      </c>
      <c r="F190" s="3"/>
      <c r="G190" s="7">
        <f>G189+Tabla1[[#This Row],[ingreso]]-Tabla1[[#This Row],[egreso]]</f>
        <v>6278969</v>
      </c>
      <c r="H190" s="7" t="s">
        <v>14</v>
      </c>
      <c r="I190" s="7"/>
      <c r="J190" s="4"/>
    </row>
    <row r="191" spans="1:10" x14ac:dyDescent="0.2">
      <c r="A191">
        <f>COUNTIF($I$2:I191,'[1]Detalle Pilotos'!$G$3)</f>
        <v>0</v>
      </c>
      <c r="B191">
        <f t="shared" si="2"/>
        <v>190</v>
      </c>
      <c r="C191" s="9">
        <v>43528</v>
      </c>
      <c r="D191" s="4" t="s">
        <v>15</v>
      </c>
      <c r="E191" s="6"/>
      <c r="F191" s="3">
        <v>49000</v>
      </c>
      <c r="G191" s="7">
        <f>G190+Tabla1[[#This Row],[ingreso]]-Tabla1[[#This Row],[egreso]]</f>
        <v>6327969</v>
      </c>
      <c r="H191" s="7"/>
      <c r="I191" s="7" t="s">
        <v>16</v>
      </c>
      <c r="J191" s="4"/>
    </row>
    <row r="192" spans="1:10" x14ac:dyDescent="0.2">
      <c r="A192">
        <f>COUNTIF($I$2:I192,'[1]Detalle Pilotos'!$G$3)</f>
        <v>0</v>
      </c>
      <c r="B192">
        <f t="shared" si="2"/>
        <v>191</v>
      </c>
      <c r="C192" s="9">
        <v>43528</v>
      </c>
      <c r="D192" s="4" t="s">
        <v>15</v>
      </c>
      <c r="E192" s="6"/>
      <c r="F192" s="3">
        <v>70000</v>
      </c>
      <c r="G192" s="7">
        <f>G191+Tabla1[[#This Row],[ingreso]]-Tabla1[[#This Row],[egreso]]</f>
        <v>6397969</v>
      </c>
      <c r="H192" s="7"/>
      <c r="I192" s="7" t="s">
        <v>16</v>
      </c>
      <c r="J192" s="4"/>
    </row>
    <row r="193" spans="1:10" x14ac:dyDescent="0.2">
      <c r="A193">
        <f>COUNTIF($I$2:I193,'[1]Detalle Pilotos'!$G$3)</f>
        <v>0</v>
      </c>
      <c r="B193">
        <f t="shared" si="2"/>
        <v>192</v>
      </c>
      <c r="C193" s="9">
        <v>43528</v>
      </c>
      <c r="D193" s="4" t="s">
        <v>15</v>
      </c>
      <c r="E193" s="6"/>
      <c r="F193" s="3">
        <v>77000</v>
      </c>
      <c r="G193" s="7">
        <f>G192+Tabla1[[#This Row],[ingreso]]-Tabla1[[#This Row],[egreso]]</f>
        <v>6474969</v>
      </c>
      <c r="H193" s="7"/>
      <c r="I193" s="7" t="s">
        <v>16</v>
      </c>
      <c r="J193" s="4"/>
    </row>
    <row r="194" spans="1:10" x14ac:dyDescent="0.2">
      <c r="A194">
        <f>COUNTIF($I$2:I194,'[1]Detalle Pilotos'!$G$3)</f>
        <v>0</v>
      </c>
      <c r="B194">
        <f t="shared" si="2"/>
        <v>193</v>
      </c>
      <c r="C194" s="9">
        <v>43528</v>
      </c>
      <c r="D194" s="4" t="s">
        <v>15</v>
      </c>
      <c r="E194" s="6"/>
      <c r="F194" s="3">
        <v>91000</v>
      </c>
      <c r="G194" s="7">
        <f>G193+Tabla1[[#This Row],[ingreso]]-Tabla1[[#This Row],[egreso]]</f>
        <v>6565969</v>
      </c>
      <c r="H194" s="7"/>
      <c r="I194" s="7" t="s">
        <v>16</v>
      </c>
      <c r="J194" s="4"/>
    </row>
    <row r="195" spans="1:10" x14ac:dyDescent="0.2">
      <c r="A195">
        <f>COUNTIF($I$2:I195,'[1]Detalle Pilotos'!$G$3)</f>
        <v>0</v>
      </c>
      <c r="B195">
        <f t="shared" si="2"/>
        <v>194</v>
      </c>
      <c r="C195" s="9">
        <v>43528</v>
      </c>
      <c r="D195" s="4" t="s">
        <v>15</v>
      </c>
      <c r="E195" s="6"/>
      <c r="F195" s="3">
        <v>105000</v>
      </c>
      <c r="G195" s="7">
        <f>G194+Tabla1[[#This Row],[ingreso]]-Tabla1[[#This Row],[egreso]]</f>
        <v>6670969</v>
      </c>
      <c r="H195" s="7"/>
      <c r="I195" s="7" t="s">
        <v>16</v>
      </c>
      <c r="J195" s="4"/>
    </row>
    <row r="196" spans="1:10" x14ac:dyDescent="0.2">
      <c r="A196">
        <f>COUNTIF($I$2:I196,'[1]Detalle Pilotos'!$G$3)</f>
        <v>0</v>
      </c>
      <c r="B196">
        <f t="shared" ref="B196:B259" si="3">IF(C196="","",1+B195)</f>
        <v>195</v>
      </c>
      <c r="C196" s="9">
        <v>43528</v>
      </c>
      <c r="D196" s="4" t="s">
        <v>15</v>
      </c>
      <c r="E196" s="6"/>
      <c r="F196" s="3">
        <v>119000</v>
      </c>
      <c r="G196" s="7">
        <f>G195+Tabla1[[#This Row],[ingreso]]-Tabla1[[#This Row],[egreso]]</f>
        <v>6789969</v>
      </c>
      <c r="H196" s="7"/>
      <c r="I196" s="7" t="s">
        <v>16</v>
      </c>
      <c r="J196" s="4"/>
    </row>
    <row r="197" spans="1:10" x14ac:dyDescent="0.2">
      <c r="A197">
        <f>COUNTIF($I$2:I197,'[1]Detalle Pilotos'!$G$3)</f>
        <v>0</v>
      </c>
      <c r="B197">
        <f t="shared" si="3"/>
        <v>196</v>
      </c>
      <c r="C197" s="9">
        <v>43528</v>
      </c>
      <c r="D197" s="4" t="s">
        <v>15</v>
      </c>
      <c r="E197" s="6"/>
      <c r="F197" s="3">
        <v>154000</v>
      </c>
      <c r="G197" s="7">
        <f>G196+Tabla1[[#This Row],[ingreso]]-Tabla1[[#This Row],[egreso]]</f>
        <v>6943969</v>
      </c>
      <c r="H197" s="7"/>
      <c r="I197" s="7" t="s">
        <v>16</v>
      </c>
      <c r="J197" s="4"/>
    </row>
    <row r="198" spans="1:10" x14ac:dyDescent="0.2">
      <c r="A198">
        <f>COUNTIF($I$2:I198,'[1]Detalle Pilotos'!$G$3)</f>
        <v>0</v>
      </c>
      <c r="B198">
        <f t="shared" si="3"/>
        <v>197</v>
      </c>
      <c r="C198" s="9">
        <v>43528</v>
      </c>
      <c r="D198" s="4" t="s">
        <v>11</v>
      </c>
      <c r="E198" s="8">
        <v>49764</v>
      </c>
      <c r="F198" s="3"/>
      <c r="G198" s="7">
        <f>G197+Tabla1[[#This Row],[ingreso]]-Tabla1[[#This Row],[egreso]]</f>
        <v>6894205</v>
      </c>
      <c r="H198" s="7" t="s">
        <v>14</v>
      </c>
      <c r="I198" s="7"/>
      <c r="J198" s="4"/>
    </row>
    <row r="199" spans="1:10" x14ac:dyDescent="0.2">
      <c r="A199">
        <f>COUNTIF($I$2:I199,'[1]Detalle Pilotos'!$G$3)</f>
        <v>0</v>
      </c>
      <c r="B199">
        <f t="shared" si="3"/>
        <v>198</v>
      </c>
      <c r="C199" s="9">
        <v>43528</v>
      </c>
      <c r="D199" s="4" t="s">
        <v>85</v>
      </c>
      <c r="E199" s="8">
        <v>350000</v>
      </c>
      <c r="F199" s="3"/>
      <c r="G199" s="7">
        <f>G198+Tabla1[[#This Row],[ingreso]]-Tabla1[[#This Row],[egreso]]</f>
        <v>6544205</v>
      </c>
      <c r="H199" s="7" t="s">
        <v>43</v>
      </c>
      <c r="I199" s="7"/>
      <c r="J199" s="4"/>
    </row>
    <row r="200" spans="1:10" x14ac:dyDescent="0.2">
      <c r="A200">
        <f>COUNTIF($I$2:I200,'[1]Detalle Pilotos'!$G$3)</f>
        <v>0</v>
      </c>
      <c r="B200">
        <f t="shared" si="3"/>
        <v>199</v>
      </c>
      <c r="C200" s="9">
        <v>43528</v>
      </c>
      <c r="D200" s="4" t="s">
        <v>86</v>
      </c>
      <c r="E200" s="8">
        <v>350000</v>
      </c>
      <c r="F200" s="3"/>
      <c r="G200" s="7">
        <f>G199+Tabla1[[#This Row],[ingreso]]-Tabla1[[#This Row],[egreso]]</f>
        <v>6194205</v>
      </c>
      <c r="H200" s="7" t="s">
        <v>43</v>
      </c>
      <c r="I200" s="7"/>
      <c r="J200" s="4"/>
    </row>
    <row r="201" spans="1:10" x14ac:dyDescent="0.2">
      <c r="A201">
        <f>COUNTIF($I$2:I201,'[1]Detalle Pilotos'!$G$3)</f>
        <v>0</v>
      </c>
      <c r="B201">
        <f t="shared" si="3"/>
        <v>200</v>
      </c>
      <c r="C201" s="9">
        <v>43531</v>
      </c>
      <c r="D201" s="4" t="s">
        <v>63</v>
      </c>
      <c r="E201" s="6"/>
      <c r="F201" s="3">
        <v>23920</v>
      </c>
      <c r="G201" s="7">
        <f>G200+Tabla1[[#This Row],[ingreso]]-Tabla1[[#This Row],[egreso]]</f>
        <v>6218125</v>
      </c>
      <c r="H201" s="7"/>
      <c r="I201" s="7" t="s">
        <v>64</v>
      </c>
      <c r="J201" s="4"/>
    </row>
    <row r="202" spans="1:10" x14ac:dyDescent="0.2">
      <c r="A202">
        <f>COUNTIF($I$2:I202,'[1]Detalle Pilotos'!$G$3)</f>
        <v>0</v>
      </c>
      <c r="B202">
        <f t="shared" si="3"/>
        <v>201</v>
      </c>
      <c r="C202" s="9">
        <v>43532</v>
      </c>
      <c r="D202" s="4" t="s">
        <v>12</v>
      </c>
      <c r="E202" s="8">
        <v>51000</v>
      </c>
      <c r="F202" s="3"/>
      <c r="G202" s="7">
        <f>G201+Tabla1[[#This Row],[ingreso]]-Tabla1[[#This Row],[egreso]]</f>
        <v>6167125</v>
      </c>
      <c r="H202" s="7" t="s">
        <v>14</v>
      </c>
      <c r="I202" s="7" t="s">
        <v>13</v>
      </c>
      <c r="J202" s="4"/>
    </row>
    <row r="203" spans="1:10" x14ac:dyDescent="0.2">
      <c r="A203">
        <f>COUNTIF($I$2:I203,'[1]Detalle Pilotos'!$G$3)</f>
        <v>0</v>
      </c>
      <c r="B203">
        <f t="shared" si="3"/>
        <v>202</v>
      </c>
      <c r="C203" s="9">
        <v>43535</v>
      </c>
      <c r="D203" s="4" t="s">
        <v>53</v>
      </c>
      <c r="E203" s="6"/>
      <c r="F203" s="3">
        <v>78500</v>
      </c>
      <c r="G203" s="7">
        <f>G202+Tabla1[[#This Row],[ingreso]]-Tabla1[[#This Row],[egreso]]</f>
        <v>6245625</v>
      </c>
      <c r="H203" s="7"/>
      <c r="I203" s="4" t="s">
        <v>54</v>
      </c>
      <c r="J203" s="4"/>
    </row>
    <row r="204" spans="1:10" x14ac:dyDescent="0.2">
      <c r="A204">
        <f>COUNTIF($I$2:I204,'[1]Detalle Pilotos'!$G$3)</f>
        <v>0</v>
      </c>
      <c r="B204">
        <f t="shared" si="3"/>
        <v>203</v>
      </c>
      <c r="C204" s="9">
        <v>43535</v>
      </c>
      <c r="D204" s="4" t="s">
        <v>53</v>
      </c>
      <c r="E204" s="6"/>
      <c r="F204" s="3">
        <v>1700000</v>
      </c>
      <c r="G204" s="7">
        <f>G203+Tabla1[[#This Row],[ingreso]]-Tabla1[[#This Row],[egreso]]</f>
        <v>7945625</v>
      </c>
      <c r="H204" s="7"/>
      <c r="I204" s="4" t="s">
        <v>54</v>
      </c>
      <c r="J204" s="4"/>
    </row>
    <row r="205" spans="1:10" x14ac:dyDescent="0.2">
      <c r="A205">
        <f>COUNTIF($I$2:I205,'[1]Detalle Pilotos'!$G$3)</f>
        <v>0</v>
      </c>
      <c r="B205">
        <f t="shared" si="3"/>
        <v>204</v>
      </c>
      <c r="C205" s="9">
        <v>43536</v>
      </c>
      <c r="D205" s="4" t="s">
        <v>12</v>
      </c>
      <c r="E205" s="8">
        <v>79560</v>
      </c>
      <c r="F205" s="3"/>
      <c r="G205" s="7">
        <f>G204+Tabla1[[#This Row],[ingreso]]-Tabla1[[#This Row],[egreso]]</f>
        <v>7866065</v>
      </c>
      <c r="H205" s="7" t="s">
        <v>14</v>
      </c>
      <c r="I205" s="7" t="s">
        <v>13</v>
      </c>
      <c r="J205" s="4"/>
    </row>
    <row r="206" spans="1:10" x14ac:dyDescent="0.2">
      <c r="A206">
        <f>COUNTIF($I$2:I206,'[1]Detalle Pilotos'!$G$3)</f>
        <v>0</v>
      </c>
      <c r="B206">
        <f t="shared" si="3"/>
        <v>205</v>
      </c>
      <c r="C206" s="9">
        <v>43537</v>
      </c>
      <c r="D206" s="4" t="s">
        <v>87</v>
      </c>
      <c r="E206" s="6"/>
      <c r="F206" s="3">
        <v>196450</v>
      </c>
      <c r="G206" s="7">
        <f>G205+Tabla1[[#This Row],[ingreso]]-Tabla1[[#This Row],[egreso]]</f>
        <v>8062515</v>
      </c>
      <c r="H206" s="7"/>
      <c r="I206" s="7" t="s">
        <v>88</v>
      </c>
      <c r="J206" s="4"/>
    </row>
    <row r="207" spans="1:10" x14ac:dyDescent="0.2">
      <c r="A207">
        <f>COUNTIF($I$2:I207,'[1]Detalle Pilotos'!$G$3)</f>
        <v>0</v>
      </c>
      <c r="B207">
        <f t="shared" si="3"/>
        <v>206</v>
      </c>
      <c r="C207" s="9">
        <v>43538</v>
      </c>
      <c r="D207" s="4" t="s">
        <v>53</v>
      </c>
      <c r="E207" s="6"/>
      <c r="F207" s="3">
        <v>750000</v>
      </c>
      <c r="G207" s="7">
        <f>G206+Tabla1[[#This Row],[ingreso]]-Tabla1[[#This Row],[egreso]]</f>
        <v>8812515</v>
      </c>
      <c r="H207" s="7"/>
      <c r="I207" s="4" t="s">
        <v>54</v>
      </c>
      <c r="J207" s="4"/>
    </row>
    <row r="208" spans="1:10" x14ac:dyDescent="0.2">
      <c r="A208">
        <f>COUNTIF($I$2:I208,'[1]Detalle Pilotos'!$G$3)</f>
        <v>0</v>
      </c>
      <c r="B208">
        <f t="shared" si="3"/>
        <v>207</v>
      </c>
      <c r="C208" s="11">
        <v>43538</v>
      </c>
      <c r="D208" s="4" t="s">
        <v>89</v>
      </c>
      <c r="E208" s="6"/>
      <c r="F208" s="3">
        <v>79915</v>
      </c>
      <c r="G208" s="7">
        <f>G207+Tabla1[[#This Row],[ingreso]]-Tabla1[[#This Row],[egreso]]</f>
        <v>8892430</v>
      </c>
      <c r="H208" s="7"/>
      <c r="I208" s="7"/>
      <c r="J208" s="4"/>
    </row>
    <row r="209" spans="1:10" x14ac:dyDescent="0.2">
      <c r="A209">
        <f>COUNTIF($I$2:I209,'[1]Detalle Pilotos'!$G$3)</f>
        <v>0</v>
      </c>
      <c r="B209">
        <f t="shared" si="3"/>
        <v>208</v>
      </c>
      <c r="C209" s="9">
        <v>43539</v>
      </c>
      <c r="D209" s="4" t="s">
        <v>53</v>
      </c>
      <c r="E209" s="6"/>
      <c r="F209" s="3">
        <v>900000</v>
      </c>
      <c r="G209" s="7">
        <f>G208+Tabla1[[#This Row],[ingreso]]-Tabla1[[#This Row],[egreso]]</f>
        <v>9792430</v>
      </c>
      <c r="H209" s="7"/>
      <c r="I209" s="4" t="s">
        <v>54</v>
      </c>
      <c r="J209" s="4"/>
    </row>
    <row r="210" spans="1:10" x14ac:dyDescent="0.2">
      <c r="A210">
        <f>COUNTIF($I$2:I210,'[1]Detalle Pilotos'!$G$3)</f>
        <v>0</v>
      </c>
      <c r="B210">
        <f t="shared" si="3"/>
        <v>209</v>
      </c>
      <c r="C210" s="11">
        <v>43539</v>
      </c>
      <c r="D210" s="4" t="s">
        <v>89</v>
      </c>
      <c r="E210" s="8">
        <v>79915</v>
      </c>
      <c r="F210" s="3"/>
      <c r="G210" s="7">
        <f>G209+Tabla1[[#This Row],[ingreso]]-Tabla1[[#This Row],[egreso]]</f>
        <v>9712515</v>
      </c>
      <c r="H210" s="7"/>
      <c r="I210" s="7"/>
      <c r="J210" s="4"/>
    </row>
    <row r="211" spans="1:10" x14ac:dyDescent="0.2">
      <c r="A211">
        <f>COUNTIF($I$2:I211,'[1]Detalle Pilotos'!$G$3)</f>
        <v>0</v>
      </c>
      <c r="B211">
        <f t="shared" si="3"/>
        <v>210</v>
      </c>
      <c r="C211" s="9">
        <v>43542</v>
      </c>
      <c r="D211" s="4" t="s">
        <v>12</v>
      </c>
      <c r="E211" s="6"/>
      <c r="F211" s="3">
        <v>500000</v>
      </c>
      <c r="G211" s="7">
        <f>G210+Tabla1[[#This Row],[ingreso]]-Tabla1[[#This Row],[egreso]]</f>
        <v>10212515</v>
      </c>
      <c r="H211" s="7"/>
      <c r="I211" s="7" t="s">
        <v>13</v>
      </c>
      <c r="J211" s="4"/>
    </row>
    <row r="212" spans="1:10" x14ac:dyDescent="0.2">
      <c r="A212">
        <f>COUNTIF($I$2:I212,'[1]Detalle Pilotos'!$G$3)</f>
        <v>0</v>
      </c>
      <c r="B212">
        <f t="shared" si="3"/>
        <v>211</v>
      </c>
      <c r="C212" s="9">
        <v>43542</v>
      </c>
      <c r="D212" s="4" t="s">
        <v>49</v>
      </c>
      <c r="E212" s="8">
        <v>32640</v>
      </c>
      <c r="F212" s="3"/>
      <c r="G212" s="7">
        <f>G211+Tabla1[[#This Row],[ingreso]]-Tabla1[[#This Row],[egreso]]</f>
        <v>10179875</v>
      </c>
      <c r="H212" s="7" t="s">
        <v>14</v>
      </c>
      <c r="I212" s="7"/>
      <c r="J212" s="4"/>
    </row>
    <row r="213" spans="1:10" x14ac:dyDescent="0.2">
      <c r="A213">
        <f>COUNTIF($I$2:I213,'[1]Detalle Pilotos'!$G$3)</f>
        <v>0</v>
      </c>
      <c r="B213">
        <f t="shared" si="3"/>
        <v>212</v>
      </c>
      <c r="C213" s="9">
        <v>43542</v>
      </c>
      <c r="D213" s="4" t="s">
        <v>49</v>
      </c>
      <c r="E213" s="8">
        <v>93930</v>
      </c>
      <c r="F213" s="3"/>
      <c r="G213" s="7">
        <f>G212+Tabla1[[#This Row],[ingreso]]-Tabla1[[#This Row],[egreso]]</f>
        <v>10085945</v>
      </c>
      <c r="H213" s="7" t="s">
        <v>14</v>
      </c>
      <c r="I213" s="7"/>
      <c r="J213" s="4"/>
    </row>
    <row r="214" spans="1:10" x14ac:dyDescent="0.2">
      <c r="A214">
        <f>COUNTIF($I$2:I214,'[1]Detalle Pilotos'!$G$3)</f>
        <v>0</v>
      </c>
      <c r="B214">
        <f t="shared" si="3"/>
        <v>213</v>
      </c>
      <c r="C214" s="9">
        <v>43543</v>
      </c>
      <c r="D214" s="4" t="s">
        <v>63</v>
      </c>
      <c r="E214" s="6"/>
      <c r="F214" s="3">
        <v>123500</v>
      </c>
      <c r="G214" s="7">
        <f>G213+Tabla1[[#This Row],[ingreso]]-Tabla1[[#This Row],[egreso]]</f>
        <v>10209445</v>
      </c>
      <c r="H214" s="7"/>
      <c r="I214" s="7" t="s">
        <v>64</v>
      </c>
      <c r="J214" s="4"/>
    </row>
    <row r="215" spans="1:10" x14ac:dyDescent="0.2">
      <c r="A215">
        <f>COUNTIF($I$2:I215,'[1]Detalle Pilotos'!$G$3)</f>
        <v>0</v>
      </c>
      <c r="B215">
        <f t="shared" si="3"/>
        <v>214</v>
      </c>
      <c r="C215" s="9">
        <v>43543</v>
      </c>
      <c r="D215" s="4" t="s">
        <v>49</v>
      </c>
      <c r="E215" s="8">
        <v>39390</v>
      </c>
      <c r="F215" s="3"/>
      <c r="G215" s="7">
        <f>G214+Tabla1[[#This Row],[ingreso]]-Tabla1[[#This Row],[egreso]]</f>
        <v>10170055</v>
      </c>
      <c r="H215" s="7" t="s">
        <v>14</v>
      </c>
      <c r="I215" s="7"/>
      <c r="J215" s="4"/>
    </row>
    <row r="216" spans="1:10" x14ac:dyDescent="0.2">
      <c r="A216">
        <f>COUNTIF($I$2:I216,'[1]Detalle Pilotos'!$G$3)</f>
        <v>0</v>
      </c>
      <c r="B216">
        <f t="shared" si="3"/>
        <v>215</v>
      </c>
      <c r="C216" s="9">
        <v>43543</v>
      </c>
      <c r="D216" s="4" t="s">
        <v>90</v>
      </c>
      <c r="E216" s="8">
        <v>52500</v>
      </c>
      <c r="F216" s="3"/>
      <c r="G216" s="7">
        <f>G215+Tabla1[[#This Row],[ingreso]]-Tabla1[[#This Row],[egreso]]</f>
        <v>10117555</v>
      </c>
      <c r="H216" s="7" t="s">
        <v>91</v>
      </c>
      <c r="I216" s="7"/>
      <c r="J216" s="4"/>
    </row>
    <row r="217" spans="1:10" x14ac:dyDescent="0.2">
      <c r="A217">
        <f>COUNTIF($I$2:I217,'[1]Detalle Pilotos'!$G$3)</f>
        <v>0</v>
      </c>
      <c r="B217">
        <f t="shared" si="3"/>
        <v>216</v>
      </c>
      <c r="C217" s="9">
        <v>43543</v>
      </c>
      <c r="D217" s="4" t="s">
        <v>92</v>
      </c>
      <c r="E217" s="8">
        <v>83840</v>
      </c>
      <c r="F217" s="3"/>
      <c r="G217" s="7">
        <f>G216+Tabla1[[#This Row],[ingreso]]-Tabla1[[#This Row],[egreso]]</f>
        <v>10033715</v>
      </c>
      <c r="H217" s="7" t="s">
        <v>14</v>
      </c>
      <c r="I217" s="7"/>
      <c r="J217" s="4"/>
    </row>
    <row r="218" spans="1:10" x14ac:dyDescent="0.2">
      <c r="A218">
        <f>COUNTIF($I$2:I218,'[1]Detalle Pilotos'!$G$3)</f>
        <v>0</v>
      </c>
      <c r="B218">
        <f t="shared" si="3"/>
        <v>217</v>
      </c>
      <c r="C218" s="9">
        <v>43544</v>
      </c>
      <c r="D218" s="4" t="s">
        <v>53</v>
      </c>
      <c r="E218" s="6"/>
      <c r="F218" s="3">
        <v>138000</v>
      </c>
      <c r="G218" s="7">
        <f>G217+Tabla1[[#This Row],[ingreso]]-Tabla1[[#This Row],[egreso]]</f>
        <v>10171715</v>
      </c>
      <c r="H218" s="7"/>
      <c r="I218" s="4" t="s">
        <v>54</v>
      </c>
      <c r="J218" s="4"/>
    </row>
    <row r="219" spans="1:10" x14ac:dyDescent="0.2">
      <c r="A219">
        <f>COUNTIF($I$2:I219,'[1]Detalle Pilotos'!$G$3)</f>
        <v>0</v>
      </c>
      <c r="B219">
        <f t="shared" si="3"/>
        <v>218</v>
      </c>
      <c r="C219" s="9">
        <v>43544</v>
      </c>
      <c r="D219" s="4" t="s">
        <v>53</v>
      </c>
      <c r="E219" s="6"/>
      <c r="F219" s="3">
        <v>450000</v>
      </c>
      <c r="G219" s="7">
        <f>G218+Tabla1[[#This Row],[ingreso]]-Tabla1[[#This Row],[egreso]]</f>
        <v>10621715</v>
      </c>
      <c r="H219" s="7"/>
      <c r="I219" s="4" t="s">
        <v>54</v>
      </c>
      <c r="J219" s="4"/>
    </row>
    <row r="220" spans="1:10" x14ac:dyDescent="0.2">
      <c r="A220">
        <f>COUNTIF($I$2:I220,'[1]Detalle Pilotos'!$G$3)</f>
        <v>0</v>
      </c>
      <c r="B220">
        <f t="shared" si="3"/>
        <v>219</v>
      </c>
      <c r="C220" s="9">
        <v>43545</v>
      </c>
      <c r="D220" s="4" t="s">
        <v>53</v>
      </c>
      <c r="E220" s="6"/>
      <c r="F220" s="3">
        <v>150000</v>
      </c>
      <c r="G220" s="7">
        <f>G219+Tabla1[[#This Row],[ingreso]]-Tabla1[[#This Row],[egreso]]</f>
        <v>10771715</v>
      </c>
      <c r="H220" s="7"/>
      <c r="I220" s="4" t="s">
        <v>54</v>
      </c>
      <c r="J220" s="4"/>
    </row>
    <row r="221" spans="1:10" x14ac:dyDescent="0.2">
      <c r="A221">
        <f>COUNTIF($I$2:I221,'[1]Detalle Pilotos'!$G$3)</f>
        <v>0</v>
      </c>
      <c r="B221">
        <f t="shared" si="3"/>
        <v>220</v>
      </c>
      <c r="C221" s="9">
        <v>43546</v>
      </c>
      <c r="D221" s="4" t="s">
        <v>93</v>
      </c>
      <c r="E221" s="8">
        <v>250000</v>
      </c>
      <c r="F221" s="3"/>
      <c r="G221" s="7">
        <f>G220+Tabla1[[#This Row],[ingreso]]-Tabla1[[#This Row],[egreso]]</f>
        <v>10521715</v>
      </c>
      <c r="H221" s="7" t="s">
        <v>22</v>
      </c>
      <c r="I221" s="7"/>
      <c r="J221" s="4"/>
    </row>
    <row r="222" spans="1:10" x14ac:dyDescent="0.2">
      <c r="A222">
        <f>COUNTIF($I$2:I222,'[1]Detalle Pilotos'!$G$3)</f>
        <v>0</v>
      </c>
      <c r="B222">
        <f t="shared" si="3"/>
        <v>221</v>
      </c>
      <c r="C222" s="9">
        <v>43549</v>
      </c>
      <c r="D222" s="4" t="s">
        <v>94</v>
      </c>
      <c r="E222" s="8">
        <v>180000</v>
      </c>
      <c r="F222" s="3"/>
      <c r="G222" s="7">
        <f>G221+Tabla1[[#This Row],[ingreso]]-Tabla1[[#This Row],[egreso]]</f>
        <v>10341715</v>
      </c>
      <c r="H222" s="7" t="s">
        <v>22</v>
      </c>
      <c r="I222" s="7"/>
      <c r="J222" s="4"/>
    </row>
    <row r="223" spans="1:10" x14ac:dyDescent="0.2">
      <c r="A223">
        <f>COUNTIF($I$2:I223,'[1]Detalle Pilotos'!$G$3)</f>
        <v>0</v>
      </c>
      <c r="B223">
        <f t="shared" si="3"/>
        <v>222</v>
      </c>
      <c r="C223" s="9">
        <v>43550</v>
      </c>
      <c r="D223" s="4" t="s">
        <v>36</v>
      </c>
      <c r="E223" s="6"/>
      <c r="F223" s="3">
        <v>67000</v>
      </c>
      <c r="G223" s="7">
        <f>G222+Tabla1[[#This Row],[ingreso]]-Tabla1[[#This Row],[egreso]]</f>
        <v>10408715</v>
      </c>
      <c r="H223" s="7"/>
      <c r="I223" s="7" t="s">
        <v>37</v>
      </c>
      <c r="J223" s="4"/>
    </row>
    <row r="224" spans="1:10" x14ac:dyDescent="0.2">
      <c r="A224">
        <f>COUNTIF($I$2:I224,'[1]Detalle Pilotos'!$G$3)</f>
        <v>0</v>
      </c>
      <c r="B224">
        <f t="shared" si="3"/>
        <v>223</v>
      </c>
      <c r="C224" s="9">
        <v>43553</v>
      </c>
      <c r="D224" s="4" t="s">
        <v>95</v>
      </c>
      <c r="E224" s="8">
        <v>250000</v>
      </c>
      <c r="F224" s="3"/>
      <c r="G224" s="7">
        <f>G223+Tabla1[[#This Row],[ingreso]]-Tabla1[[#This Row],[egreso]]</f>
        <v>10158715</v>
      </c>
      <c r="H224" s="7" t="s">
        <v>34</v>
      </c>
      <c r="I224" s="7"/>
      <c r="J224" s="4"/>
    </row>
    <row r="225" spans="1:10" x14ac:dyDescent="0.2">
      <c r="A225">
        <f>COUNTIF($I$2:I225,'[1]Detalle Pilotos'!$G$3)</f>
        <v>0</v>
      </c>
      <c r="B225">
        <f t="shared" si="3"/>
        <v>224</v>
      </c>
      <c r="C225" s="9">
        <v>43556</v>
      </c>
      <c r="D225" s="4" t="s">
        <v>96</v>
      </c>
      <c r="E225" s="8">
        <v>350000</v>
      </c>
      <c r="F225" s="3"/>
      <c r="G225" s="7">
        <f>G224+Tabla1[[#This Row],[ingreso]]-Tabla1[[#This Row],[egreso]]</f>
        <v>9808715</v>
      </c>
      <c r="H225" s="7" t="s">
        <v>43</v>
      </c>
      <c r="I225" s="7"/>
      <c r="J225" s="4"/>
    </row>
    <row r="226" spans="1:10" x14ac:dyDescent="0.2">
      <c r="A226">
        <f>COUNTIF($I$2:I226,'[1]Detalle Pilotos'!$G$3)</f>
        <v>0</v>
      </c>
      <c r="B226">
        <f t="shared" si="3"/>
        <v>225</v>
      </c>
      <c r="C226" s="9">
        <v>43557</v>
      </c>
      <c r="D226" s="4" t="s">
        <v>97</v>
      </c>
      <c r="E226" s="8">
        <v>74870</v>
      </c>
      <c r="F226" s="3"/>
      <c r="G226" s="7">
        <f>G225+Tabla1[[#This Row],[ingreso]]-Tabla1[[#This Row],[egreso]]</f>
        <v>9733845</v>
      </c>
      <c r="H226" s="7" t="s">
        <v>34</v>
      </c>
      <c r="I226" s="7"/>
      <c r="J226" s="4"/>
    </row>
    <row r="227" spans="1:10" x14ac:dyDescent="0.2">
      <c r="A227">
        <f>COUNTIF($I$2:I227,'[1]Detalle Pilotos'!$G$3)</f>
        <v>0</v>
      </c>
      <c r="B227">
        <f t="shared" si="3"/>
        <v>226</v>
      </c>
      <c r="C227" s="9">
        <v>43563</v>
      </c>
      <c r="D227" s="4" t="s">
        <v>98</v>
      </c>
      <c r="E227" s="8">
        <v>430000</v>
      </c>
      <c r="F227" s="3"/>
      <c r="G227" s="7">
        <f>G226+Tabla1[[#This Row],[ingreso]]-Tabla1[[#This Row],[egreso]]</f>
        <v>9303845</v>
      </c>
      <c r="H227" s="7" t="s">
        <v>22</v>
      </c>
      <c r="I227" s="7"/>
      <c r="J227" s="4"/>
    </row>
    <row r="228" spans="1:10" x14ac:dyDescent="0.2">
      <c r="A228">
        <f>COUNTIF($I$2:I228,'[1]Detalle Pilotos'!$G$3)</f>
        <v>0</v>
      </c>
      <c r="B228">
        <f t="shared" si="3"/>
        <v>227</v>
      </c>
      <c r="C228" s="9">
        <v>43563</v>
      </c>
      <c r="D228" s="4" t="s">
        <v>12</v>
      </c>
      <c r="E228" s="8">
        <v>93152</v>
      </c>
      <c r="F228" s="3"/>
      <c r="G228" s="7">
        <f>G227+Tabla1[[#This Row],[ingreso]]-Tabla1[[#This Row],[egreso]]</f>
        <v>9210693</v>
      </c>
      <c r="H228" s="7" t="s">
        <v>14</v>
      </c>
      <c r="I228" s="7" t="s">
        <v>13</v>
      </c>
      <c r="J228" s="4"/>
    </row>
    <row r="229" spans="1:10" x14ac:dyDescent="0.2">
      <c r="A229">
        <f>COUNTIF($I$2:I229,'[1]Detalle Pilotos'!$G$3)</f>
        <v>0</v>
      </c>
      <c r="B229">
        <f t="shared" si="3"/>
        <v>228</v>
      </c>
      <c r="C229" s="9">
        <v>43565</v>
      </c>
      <c r="D229" s="4" t="s">
        <v>53</v>
      </c>
      <c r="E229" s="6"/>
      <c r="F229" s="3">
        <v>149674</v>
      </c>
      <c r="G229" s="7">
        <f>G228+Tabla1[[#This Row],[ingreso]]-Tabla1[[#This Row],[egreso]]</f>
        <v>9360367</v>
      </c>
      <c r="H229" s="7"/>
      <c r="I229" s="4" t="s">
        <v>54</v>
      </c>
      <c r="J229" s="4"/>
    </row>
    <row r="230" spans="1:10" x14ac:dyDescent="0.2">
      <c r="A230">
        <f>COUNTIF($I$2:I230,'[1]Detalle Pilotos'!$G$3)</f>
        <v>0</v>
      </c>
      <c r="B230">
        <f t="shared" si="3"/>
        <v>229</v>
      </c>
      <c r="C230" s="9">
        <v>43570</v>
      </c>
      <c r="D230" s="4" t="s">
        <v>99</v>
      </c>
      <c r="E230" s="8">
        <v>2168513</v>
      </c>
      <c r="F230" s="3"/>
      <c r="G230" s="7">
        <f>G229+Tabla1[[#This Row],[ingreso]]-Tabla1[[#This Row],[egreso]]</f>
        <v>7191854</v>
      </c>
      <c r="H230" s="7" t="s">
        <v>34</v>
      </c>
      <c r="I230" s="7"/>
      <c r="J230" s="4"/>
    </row>
    <row r="231" spans="1:10" x14ac:dyDescent="0.2">
      <c r="A231">
        <f>COUNTIF($I$2:I231,'[1]Detalle Pilotos'!$G$3)</f>
        <v>0</v>
      </c>
      <c r="B231">
        <f t="shared" si="3"/>
        <v>230</v>
      </c>
      <c r="C231" s="9">
        <v>43570</v>
      </c>
      <c r="D231" s="4" t="s">
        <v>36</v>
      </c>
      <c r="E231" s="6"/>
      <c r="F231" s="3">
        <v>114400</v>
      </c>
      <c r="G231" s="7">
        <f>G230+Tabla1[[#This Row],[ingreso]]-Tabla1[[#This Row],[egreso]]</f>
        <v>7306254</v>
      </c>
      <c r="H231" s="7"/>
      <c r="I231" s="7" t="s">
        <v>37</v>
      </c>
      <c r="J231" s="4"/>
    </row>
    <row r="232" spans="1:10" x14ac:dyDescent="0.2">
      <c r="A232">
        <f>COUNTIF($I$2:I232,'[1]Detalle Pilotos'!$G$3)</f>
        <v>0</v>
      </c>
      <c r="B232">
        <f t="shared" si="3"/>
        <v>231</v>
      </c>
      <c r="C232" s="9">
        <v>43579</v>
      </c>
      <c r="D232" s="4" t="s">
        <v>53</v>
      </c>
      <c r="E232" s="6"/>
      <c r="F232" s="3">
        <v>240000</v>
      </c>
      <c r="G232" s="7">
        <f>G231+Tabla1[[#This Row],[ingreso]]-Tabla1[[#This Row],[egreso]]</f>
        <v>7546254</v>
      </c>
      <c r="H232" s="7"/>
      <c r="I232" s="4" t="s">
        <v>54</v>
      </c>
      <c r="J232" s="4"/>
    </row>
    <row r="233" spans="1:10" x14ac:dyDescent="0.2">
      <c r="A233">
        <f>COUNTIF($I$2:I233,'[1]Detalle Pilotos'!$G$3)</f>
        <v>0</v>
      </c>
      <c r="B233">
        <f t="shared" si="3"/>
        <v>232</v>
      </c>
      <c r="C233" s="9">
        <v>43584</v>
      </c>
      <c r="D233" s="4" t="s">
        <v>53</v>
      </c>
      <c r="E233" s="6"/>
      <c r="F233" s="3">
        <v>259000</v>
      </c>
      <c r="G233" s="7">
        <f>G232+Tabla1[[#This Row],[ingreso]]-Tabla1[[#This Row],[egreso]]</f>
        <v>7805254</v>
      </c>
      <c r="H233" s="7"/>
      <c r="I233" s="4" t="s">
        <v>54</v>
      </c>
      <c r="J233" s="4"/>
    </row>
    <row r="234" spans="1:10" x14ac:dyDescent="0.2">
      <c r="A234">
        <f>COUNTIF($I$2:I234,'[1]Detalle Pilotos'!$G$3)</f>
        <v>0</v>
      </c>
      <c r="B234">
        <f t="shared" si="3"/>
        <v>233</v>
      </c>
      <c r="C234" s="9">
        <v>43584</v>
      </c>
      <c r="D234" s="4" t="s">
        <v>53</v>
      </c>
      <c r="E234" s="6"/>
      <c r="F234" s="3">
        <v>250000</v>
      </c>
      <c r="G234" s="7">
        <f>G233+Tabla1[[#This Row],[ingreso]]-Tabla1[[#This Row],[egreso]]</f>
        <v>8055254</v>
      </c>
      <c r="H234" s="7"/>
      <c r="I234" s="4" t="s">
        <v>54</v>
      </c>
      <c r="J234" s="4"/>
    </row>
    <row r="235" spans="1:10" x14ac:dyDescent="0.2">
      <c r="A235">
        <f>COUNTIF($I$2:I235,'[1]Detalle Pilotos'!$G$3)</f>
        <v>0</v>
      </c>
      <c r="B235">
        <f t="shared" si="3"/>
        <v>234</v>
      </c>
      <c r="C235" s="9">
        <v>43587</v>
      </c>
      <c r="D235" s="4" t="s">
        <v>53</v>
      </c>
      <c r="E235" s="6"/>
      <c r="F235" s="3">
        <v>500000</v>
      </c>
      <c r="G235" s="7">
        <f>G234+Tabla1[[#This Row],[ingreso]]-Tabla1[[#This Row],[egreso]]</f>
        <v>8555254</v>
      </c>
      <c r="H235" s="7"/>
      <c r="I235" s="4" t="s">
        <v>54</v>
      </c>
      <c r="J235" s="4"/>
    </row>
    <row r="236" spans="1:10" x14ac:dyDescent="0.2">
      <c r="A236">
        <f>COUNTIF($I$2:I236,'[1]Detalle Pilotos'!$G$3)</f>
        <v>0</v>
      </c>
      <c r="B236">
        <f t="shared" si="3"/>
        <v>235</v>
      </c>
      <c r="C236" s="9">
        <v>43587</v>
      </c>
      <c r="D236" s="4" t="s">
        <v>53</v>
      </c>
      <c r="E236" s="6"/>
      <c r="F236" s="3">
        <v>250000</v>
      </c>
      <c r="G236" s="7">
        <f>G235+Tabla1[[#This Row],[ingreso]]-Tabla1[[#This Row],[egreso]]</f>
        <v>8805254</v>
      </c>
      <c r="H236" s="7"/>
      <c r="I236" s="4" t="s">
        <v>54</v>
      </c>
      <c r="J236" s="4"/>
    </row>
    <row r="237" spans="1:10" x14ac:dyDescent="0.2">
      <c r="A237">
        <f>COUNTIF($I$2:I237,'[1]Detalle Pilotos'!$G$3)</f>
        <v>0</v>
      </c>
      <c r="B237">
        <f t="shared" si="3"/>
        <v>236</v>
      </c>
      <c r="C237" s="9">
        <v>43587</v>
      </c>
      <c r="D237" s="4" t="s">
        <v>100</v>
      </c>
      <c r="E237" s="8">
        <v>350000</v>
      </c>
      <c r="F237" s="3"/>
      <c r="G237" s="7">
        <f>G236+Tabla1[[#This Row],[ingreso]]-Tabla1[[#This Row],[egreso]]</f>
        <v>8455254</v>
      </c>
      <c r="H237" s="7" t="s">
        <v>43</v>
      </c>
      <c r="I237" s="7"/>
      <c r="J237" s="4"/>
    </row>
    <row r="238" spans="1:10" x14ac:dyDescent="0.2">
      <c r="A238">
        <f>COUNTIF($I$2:I238,'[1]Detalle Pilotos'!$G$3)</f>
        <v>0</v>
      </c>
      <c r="B238">
        <f t="shared" si="3"/>
        <v>237</v>
      </c>
      <c r="C238" s="9">
        <v>43591</v>
      </c>
      <c r="D238" s="4" t="s">
        <v>49</v>
      </c>
      <c r="E238" s="8">
        <v>65308</v>
      </c>
      <c r="F238" s="3"/>
      <c r="G238" s="7">
        <f>G237+Tabla1[[#This Row],[ingreso]]-Tabla1[[#This Row],[egreso]]</f>
        <v>8389946</v>
      </c>
      <c r="H238" s="7" t="s">
        <v>14</v>
      </c>
      <c r="I238" s="7"/>
      <c r="J238" s="4"/>
    </row>
    <row r="239" spans="1:10" x14ac:dyDescent="0.2">
      <c r="A239">
        <f>COUNTIF($I$2:I239,'[1]Detalle Pilotos'!$G$3)</f>
        <v>0</v>
      </c>
      <c r="B239">
        <f t="shared" si="3"/>
        <v>238</v>
      </c>
      <c r="C239" s="9">
        <v>43595</v>
      </c>
      <c r="D239" s="4" t="s">
        <v>53</v>
      </c>
      <c r="E239" s="6"/>
      <c r="F239" s="3">
        <v>200000</v>
      </c>
      <c r="G239" s="7">
        <f>G238+Tabla1[[#This Row],[ingreso]]-Tabla1[[#This Row],[egreso]]</f>
        <v>8589946</v>
      </c>
      <c r="H239" s="7"/>
      <c r="I239" s="4" t="s">
        <v>54</v>
      </c>
      <c r="J239" s="4"/>
    </row>
    <row r="240" spans="1:10" x14ac:dyDescent="0.2">
      <c r="A240">
        <f>COUNTIF($I$2:I240,'[1]Detalle Pilotos'!$G$3)</f>
        <v>0</v>
      </c>
      <c r="B240">
        <f t="shared" si="3"/>
        <v>239</v>
      </c>
      <c r="C240" s="9">
        <v>43595</v>
      </c>
      <c r="D240" s="4" t="s">
        <v>36</v>
      </c>
      <c r="E240" s="6"/>
      <c r="F240" s="3">
        <v>440000</v>
      </c>
      <c r="G240" s="7">
        <f>G239+Tabla1[[#This Row],[ingreso]]-Tabla1[[#This Row],[egreso]]</f>
        <v>9029946</v>
      </c>
      <c r="H240" s="7"/>
      <c r="I240" s="7" t="s">
        <v>37</v>
      </c>
      <c r="J240" s="4"/>
    </row>
    <row r="241" spans="1:10" x14ac:dyDescent="0.2">
      <c r="A241">
        <f>COUNTIF($I$2:I241,'[1]Detalle Pilotos'!$G$3)</f>
        <v>0</v>
      </c>
      <c r="B241">
        <f t="shared" si="3"/>
        <v>240</v>
      </c>
      <c r="C241" s="9">
        <v>43598</v>
      </c>
      <c r="D241" s="4" t="s">
        <v>12</v>
      </c>
      <c r="E241" s="8">
        <v>128427</v>
      </c>
      <c r="F241" s="3"/>
      <c r="G241" s="7">
        <f>G240+Tabla1[[#This Row],[ingreso]]-Tabla1[[#This Row],[egreso]]</f>
        <v>8901519</v>
      </c>
      <c r="H241" s="7" t="s">
        <v>14</v>
      </c>
      <c r="I241" s="7" t="s">
        <v>13</v>
      </c>
      <c r="J241" s="4"/>
    </row>
    <row r="242" spans="1:10" x14ac:dyDescent="0.2">
      <c r="A242">
        <f>COUNTIF($I$2:I242,'[1]Detalle Pilotos'!$G$3)</f>
        <v>0</v>
      </c>
      <c r="B242">
        <f t="shared" si="3"/>
        <v>241</v>
      </c>
      <c r="C242" s="9">
        <v>43598</v>
      </c>
      <c r="D242" s="4" t="s">
        <v>12</v>
      </c>
      <c r="E242" s="6"/>
      <c r="F242" s="3">
        <v>500000</v>
      </c>
      <c r="G242" s="7">
        <f>G241+Tabla1[[#This Row],[ingreso]]-Tabla1[[#This Row],[egreso]]</f>
        <v>9401519</v>
      </c>
      <c r="H242" s="7"/>
      <c r="I242" s="7" t="s">
        <v>13</v>
      </c>
      <c r="J242" s="4"/>
    </row>
    <row r="243" spans="1:10" x14ac:dyDescent="0.2">
      <c r="A243">
        <f>COUNTIF($I$2:I243,'[1]Detalle Pilotos'!$G$3)</f>
        <v>0</v>
      </c>
      <c r="B243">
        <f t="shared" si="3"/>
        <v>242</v>
      </c>
      <c r="C243" s="9">
        <v>43598</v>
      </c>
      <c r="D243" s="4" t="s">
        <v>101</v>
      </c>
      <c r="E243" s="12">
        <v>4500000</v>
      </c>
      <c r="F243" s="3"/>
      <c r="G243" s="7">
        <f>G242+Tabla1[[#This Row],[ingreso]]-Tabla1[[#This Row],[egreso]]</f>
        <v>4901519</v>
      </c>
      <c r="H243" s="7"/>
      <c r="I243" s="7"/>
      <c r="J243" s="4"/>
    </row>
    <row r="244" spans="1:10" x14ac:dyDescent="0.2">
      <c r="A244">
        <f>COUNTIF($I$2:I244,'[1]Detalle Pilotos'!$G$3)</f>
        <v>0</v>
      </c>
      <c r="B244">
        <f t="shared" si="3"/>
        <v>243</v>
      </c>
      <c r="C244" s="9">
        <v>43598</v>
      </c>
      <c r="D244" s="4" t="s">
        <v>101</v>
      </c>
      <c r="E244" s="12">
        <v>4500000</v>
      </c>
      <c r="F244" s="3"/>
      <c r="G244" s="7">
        <f>G243+Tabla1[[#This Row],[ingreso]]-Tabla1[[#This Row],[egreso]]</f>
        <v>401519</v>
      </c>
      <c r="H244" s="7"/>
      <c r="I244" s="7"/>
      <c r="J244" s="4"/>
    </row>
    <row r="245" spans="1:10" x14ac:dyDescent="0.2">
      <c r="A245">
        <f>COUNTIF($I$2:I245,'[1]Detalle Pilotos'!$G$3)</f>
        <v>0</v>
      </c>
      <c r="B245">
        <f t="shared" si="3"/>
        <v>244</v>
      </c>
      <c r="C245" s="9">
        <v>43605</v>
      </c>
      <c r="D245" s="4" t="s">
        <v>49</v>
      </c>
      <c r="E245" s="8">
        <v>115533</v>
      </c>
      <c r="F245" s="3"/>
      <c r="G245" s="7">
        <f>G244+Tabla1[[#This Row],[ingreso]]-Tabla1[[#This Row],[egreso]]</f>
        <v>285986</v>
      </c>
      <c r="H245" s="7" t="s">
        <v>14</v>
      </c>
      <c r="I245" s="7"/>
      <c r="J245" s="4"/>
    </row>
    <row r="246" spans="1:10" x14ac:dyDescent="0.2">
      <c r="A246">
        <f>COUNTIF($I$2:I246,'[1]Detalle Pilotos'!$G$3)</f>
        <v>0</v>
      </c>
      <c r="B246">
        <f t="shared" si="3"/>
        <v>245</v>
      </c>
      <c r="C246" s="9">
        <v>43612</v>
      </c>
      <c r="D246" s="4" t="s">
        <v>12</v>
      </c>
      <c r="E246" s="8">
        <v>63896</v>
      </c>
      <c r="F246" s="3"/>
      <c r="G246" s="7">
        <f>G245+Tabla1[[#This Row],[ingreso]]-Tabla1[[#This Row],[egreso]]</f>
        <v>222090</v>
      </c>
      <c r="H246" s="7" t="s">
        <v>14</v>
      </c>
      <c r="I246" s="7" t="s">
        <v>13</v>
      </c>
      <c r="J246" s="4"/>
    </row>
    <row r="247" spans="1:10" x14ac:dyDescent="0.2">
      <c r="A247">
        <f>COUNTIF($I$2:I247,'[1]Detalle Pilotos'!$G$3)</f>
        <v>0</v>
      </c>
      <c r="B247">
        <f t="shared" si="3"/>
        <v>246</v>
      </c>
      <c r="C247" s="9">
        <v>43613</v>
      </c>
      <c r="D247" s="4" t="s">
        <v>102</v>
      </c>
      <c r="E247" s="6"/>
      <c r="F247" s="3">
        <v>1200000</v>
      </c>
      <c r="G247" s="7">
        <f>G246+Tabla1[[#This Row],[ingreso]]-Tabla1[[#This Row],[egreso]]</f>
        <v>1422090</v>
      </c>
      <c r="H247" s="7"/>
      <c r="I247" s="7"/>
      <c r="J247" s="4"/>
    </row>
    <row r="248" spans="1:10" x14ac:dyDescent="0.2">
      <c r="A248">
        <f>COUNTIF($I$2:I248,'[1]Detalle Pilotos'!$G$3)</f>
        <v>0</v>
      </c>
      <c r="B248">
        <f t="shared" si="3"/>
        <v>247</v>
      </c>
      <c r="C248" s="9">
        <v>43614</v>
      </c>
      <c r="D248" s="4" t="s">
        <v>53</v>
      </c>
      <c r="E248" s="6"/>
      <c r="F248" s="3">
        <v>500000</v>
      </c>
      <c r="G248" s="7">
        <f>G247+Tabla1[[#This Row],[ingreso]]-Tabla1[[#This Row],[egreso]]</f>
        <v>1922090</v>
      </c>
      <c r="H248" s="7"/>
      <c r="I248" s="4" t="s">
        <v>54</v>
      </c>
      <c r="J248" s="4"/>
    </row>
    <row r="249" spans="1:10" x14ac:dyDescent="0.2">
      <c r="A249">
        <f>COUNTIF($I$2:I249,'[1]Detalle Pilotos'!$G$3)</f>
        <v>0</v>
      </c>
      <c r="B249">
        <f t="shared" si="3"/>
        <v>248</v>
      </c>
      <c r="C249" s="9">
        <v>43614</v>
      </c>
      <c r="D249" s="4" t="s">
        <v>103</v>
      </c>
      <c r="E249" s="8">
        <v>1178483</v>
      </c>
      <c r="F249" s="3"/>
      <c r="G249" s="7">
        <f>G248+Tabla1[[#This Row],[ingreso]]-Tabla1[[#This Row],[egreso]]</f>
        <v>743607</v>
      </c>
      <c r="H249" s="7" t="s">
        <v>20</v>
      </c>
      <c r="I249" s="7"/>
      <c r="J249" s="4"/>
    </row>
    <row r="250" spans="1:10" x14ac:dyDescent="0.2">
      <c r="A250">
        <f>COUNTIF($I$2:I250,'[1]Detalle Pilotos'!$G$3)</f>
        <v>0</v>
      </c>
      <c r="B250">
        <f t="shared" si="3"/>
        <v>249</v>
      </c>
      <c r="C250" s="9">
        <v>43616</v>
      </c>
      <c r="D250" s="4" t="s">
        <v>49</v>
      </c>
      <c r="E250" s="8">
        <v>96684</v>
      </c>
      <c r="F250" s="3"/>
      <c r="G250" s="7">
        <f>G249+Tabla1[[#This Row],[ingreso]]-Tabla1[[#This Row],[egreso]]</f>
        <v>646923</v>
      </c>
      <c r="H250" s="7" t="s">
        <v>14</v>
      </c>
      <c r="I250" s="7"/>
      <c r="J250" s="4"/>
    </row>
    <row r="251" spans="1:10" x14ac:dyDescent="0.2">
      <c r="A251">
        <f>COUNTIF($I$2:I251,'[1]Detalle Pilotos'!$G$3)</f>
        <v>0</v>
      </c>
      <c r="B251">
        <f t="shared" si="3"/>
        <v>250</v>
      </c>
      <c r="C251" s="9">
        <v>43619</v>
      </c>
      <c r="D251" s="4" t="s">
        <v>53</v>
      </c>
      <c r="E251" s="6"/>
      <c r="F251" s="3">
        <v>300000</v>
      </c>
      <c r="G251" s="7">
        <f>G250+Tabla1[[#This Row],[ingreso]]-Tabla1[[#This Row],[egreso]]</f>
        <v>946923</v>
      </c>
      <c r="H251" s="7"/>
      <c r="I251" s="4" t="s">
        <v>54</v>
      </c>
      <c r="J251" s="4"/>
    </row>
    <row r="252" spans="1:10" x14ac:dyDescent="0.2">
      <c r="A252">
        <f>COUNTIF($I$2:I252,'[1]Detalle Pilotos'!$G$3)</f>
        <v>0</v>
      </c>
      <c r="B252">
        <f t="shared" si="3"/>
        <v>251</v>
      </c>
      <c r="C252" s="9">
        <v>43619</v>
      </c>
      <c r="D252" s="4" t="s">
        <v>53</v>
      </c>
      <c r="E252" s="6"/>
      <c r="F252" s="3">
        <v>91001</v>
      </c>
      <c r="G252" s="7">
        <f>G251+Tabla1[[#This Row],[ingreso]]-Tabla1[[#This Row],[egreso]]</f>
        <v>1037924</v>
      </c>
      <c r="H252" s="7"/>
      <c r="I252" s="4" t="s">
        <v>54</v>
      </c>
      <c r="J252" s="4"/>
    </row>
    <row r="253" spans="1:10" x14ac:dyDescent="0.2">
      <c r="A253">
        <f>COUNTIF($I$2:I253,'[1]Detalle Pilotos'!$G$3)</f>
        <v>0</v>
      </c>
      <c r="B253">
        <f t="shared" si="3"/>
        <v>252</v>
      </c>
      <c r="C253" s="9">
        <v>43619</v>
      </c>
      <c r="D253" s="4" t="s">
        <v>47</v>
      </c>
      <c r="E253" s="6"/>
      <c r="F253" s="3">
        <v>220000</v>
      </c>
      <c r="G253" s="7">
        <f>G252+Tabla1[[#This Row],[ingreso]]-Tabla1[[#This Row],[egreso]]</f>
        <v>1257924</v>
      </c>
      <c r="H253" s="7"/>
      <c r="I253" s="7" t="s">
        <v>48</v>
      </c>
      <c r="J253" s="4"/>
    </row>
    <row r="254" spans="1:10" x14ac:dyDescent="0.2">
      <c r="A254">
        <f>COUNTIF($I$2:I254,'[1]Detalle Pilotos'!$G$3)</f>
        <v>0</v>
      </c>
      <c r="B254">
        <f t="shared" si="3"/>
        <v>253</v>
      </c>
      <c r="C254" s="9">
        <v>43619</v>
      </c>
      <c r="D254" s="4" t="s">
        <v>43</v>
      </c>
      <c r="E254" s="8">
        <v>350000</v>
      </c>
      <c r="F254" s="3"/>
      <c r="G254" s="7">
        <f>G253+Tabla1[[#This Row],[ingreso]]-Tabla1[[#This Row],[egreso]]</f>
        <v>907924</v>
      </c>
      <c r="H254" s="7" t="s">
        <v>43</v>
      </c>
      <c r="I254" s="7"/>
      <c r="J254" s="4"/>
    </row>
    <row r="255" spans="1:10" x14ac:dyDescent="0.2">
      <c r="A255">
        <f>COUNTIF($I$2:I255,'[1]Detalle Pilotos'!$G$3)</f>
        <v>0</v>
      </c>
      <c r="B255">
        <f t="shared" si="3"/>
        <v>254</v>
      </c>
      <c r="C255" s="9">
        <v>43619</v>
      </c>
      <c r="D255" s="4" t="s">
        <v>12</v>
      </c>
      <c r="E255" s="6"/>
      <c r="F255" s="3">
        <v>420000</v>
      </c>
      <c r="G255" s="7">
        <f>G254+Tabla1[[#This Row],[ingreso]]-Tabla1[[#This Row],[egreso]]</f>
        <v>1327924</v>
      </c>
      <c r="H255" s="7"/>
      <c r="I255" s="7" t="s">
        <v>13</v>
      </c>
      <c r="J255" s="4"/>
    </row>
    <row r="256" spans="1:10" x14ac:dyDescent="0.2">
      <c r="A256">
        <f>COUNTIF($I$2:I256,'[1]Detalle Pilotos'!$G$3)</f>
        <v>0</v>
      </c>
      <c r="B256">
        <f t="shared" si="3"/>
        <v>255</v>
      </c>
      <c r="C256" s="9">
        <v>43620</v>
      </c>
      <c r="D256" s="4" t="s">
        <v>63</v>
      </c>
      <c r="E256" s="8">
        <v>8831</v>
      </c>
      <c r="F256" s="3"/>
      <c r="G256" s="7">
        <f>G255+Tabla1[[#This Row],[ingreso]]-Tabla1[[#This Row],[egreso]]</f>
        <v>1319093</v>
      </c>
      <c r="H256" s="7" t="s">
        <v>104</v>
      </c>
      <c r="I256" s="7"/>
      <c r="J256" s="4"/>
    </row>
    <row r="257" spans="1:10" x14ac:dyDescent="0.2">
      <c r="A257">
        <f>COUNTIF($I$2:I257,'[1]Detalle Pilotos'!$G$3)</f>
        <v>0</v>
      </c>
      <c r="B257">
        <f t="shared" si="3"/>
        <v>256</v>
      </c>
      <c r="C257" s="9">
        <v>43620</v>
      </c>
      <c r="D257" s="4" t="s">
        <v>12</v>
      </c>
      <c r="E257" s="8">
        <v>59400</v>
      </c>
      <c r="F257" s="3"/>
      <c r="G257" s="7">
        <f>G256+Tabla1[[#This Row],[ingreso]]-Tabla1[[#This Row],[egreso]]</f>
        <v>1259693</v>
      </c>
      <c r="H257" s="7" t="s">
        <v>14</v>
      </c>
      <c r="I257" s="7" t="s">
        <v>13</v>
      </c>
      <c r="J257" s="4"/>
    </row>
    <row r="258" spans="1:10" x14ac:dyDescent="0.2">
      <c r="A258">
        <f>COUNTIF($I$2:I258,'[1]Detalle Pilotos'!$G$3)</f>
        <v>0</v>
      </c>
      <c r="B258">
        <f t="shared" si="3"/>
        <v>257</v>
      </c>
      <c r="C258" s="9">
        <v>43621</v>
      </c>
      <c r="D258" s="4" t="s">
        <v>53</v>
      </c>
      <c r="E258" s="6"/>
      <c r="F258" s="3">
        <v>120000</v>
      </c>
      <c r="G258" s="7">
        <f>G257+Tabla1[[#This Row],[ingreso]]-Tabla1[[#This Row],[egreso]]</f>
        <v>1379693</v>
      </c>
      <c r="H258" s="7"/>
      <c r="I258" s="4" t="s">
        <v>54</v>
      </c>
      <c r="J258" s="4"/>
    </row>
    <row r="259" spans="1:10" x14ac:dyDescent="0.2">
      <c r="A259">
        <f>COUNTIF($I$2:I259,'[1]Detalle Pilotos'!$G$3)</f>
        <v>0</v>
      </c>
      <c r="B259">
        <f t="shared" si="3"/>
        <v>258</v>
      </c>
      <c r="C259" s="9">
        <v>43622</v>
      </c>
      <c r="D259" s="4" t="s">
        <v>49</v>
      </c>
      <c r="E259" s="8">
        <v>39935</v>
      </c>
      <c r="F259" s="3"/>
      <c r="G259" s="7">
        <f>G258+Tabla1[[#This Row],[ingreso]]-Tabla1[[#This Row],[egreso]]</f>
        <v>1339758</v>
      </c>
      <c r="H259" s="7" t="s">
        <v>14</v>
      </c>
      <c r="I259" s="7"/>
      <c r="J259" s="4"/>
    </row>
    <row r="260" spans="1:10" x14ac:dyDescent="0.2">
      <c r="A260">
        <f>COUNTIF($I$2:I260,'[1]Detalle Pilotos'!$G$3)</f>
        <v>0</v>
      </c>
      <c r="B260">
        <f t="shared" ref="B260:B323" si="4">IF(C260="","",1+B259)</f>
        <v>259</v>
      </c>
      <c r="C260" s="9">
        <v>43627</v>
      </c>
      <c r="D260" s="4" t="s">
        <v>53</v>
      </c>
      <c r="E260" s="6"/>
      <c r="F260" s="3">
        <v>500000</v>
      </c>
      <c r="G260" s="7">
        <f>G259+Tabla1[[#This Row],[ingreso]]-Tabla1[[#This Row],[egreso]]</f>
        <v>1839758</v>
      </c>
      <c r="H260" s="7"/>
      <c r="I260" s="4" t="s">
        <v>54</v>
      </c>
      <c r="J260" s="4"/>
    </row>
    <row r="261" spans="1:10" x14ac:dyDescent="0.2">
      <c r="A261">
        <f>COUNTIF($I$2:I261,'[1]Detalle Pilotos'!$G$3)</f>
        <v>0</v>
      </c>
      <c r="B261">
        <f t="shared" si="4"/>
        <v>260</v>
      </c>
      <c r="C261" s="9">
        <v>43633</v>
      </c>
      <c r="D261" s="4" t="s">
        <v>53</v>
      </c>
      <c r="E261" s="6"/>
      <c r="F261" s="3">
        <v>400000</v>
      </c>
      <c r="G261" s="7">
        <f>G260+Tabla1[[#This Row],[ingreso]]-Tabla1[[#This Row],[egreso]]</f>
        <v>2239758</v>
      </c>
      <c r="H261" s="7"/>
      <c r="I261" s="4" t="s">
        <v>54</v>
      </c>
      <c r="J261" s="4"/>
    </row>
    <row r="262" spans="1:10" x14ac:dyDescent="0.2">
      <c r="A262">
        <f>COUNTIF($I$2:I262,'[1]Detalle Pilotos'!$G$3)</f>
        <v>0</v>
      </c>
      <c r="B262">
        <f t="shared" si="4"/>
        <v>261</v>
      </c>
      <c r="C262" s="9">
        <v>43633</v>
      </c>
      <c r="D262" s="4" t="s">
        <v>105</v>
      </c>
      <c r="E262" s="6"/>
      <c r="F262" s="3">
        <v>127500</v>
      </c>
      <c r="G262" s="7">
        <f>G261+Tabla1[[#This Row],[ingreso]]-Tabla1[[#This Row],[egreso]]</f>
        <v>2367258</v>
      </c>
      <c r="H262" s="7"/>
      <c r="I262" s="7" t="s">
        <v>106</v>
      </c>
      <c r="J262" s="4"/>
    </row>
    <row r="263" spans="1:10" x14ac:dyDescent="0.2">
      <c r="A263">
        <f>COUNTIF($I$2:I263,'[1]Detalle Pilotos'!$G$3)</f>
        <v>0</v>
      </c>
      <c r="B263">
        <f t="shared" si="4"/>
        <v>262</v>
      </c>
      <c r="C263" s="9">
        <v>43635</v>
      </c>
      <c r="D263" s="4" t="s">
        <v>47</v>
      </c>
      <c r="E263" s="6"/>
      <c r="F263" s="3">
        <v>116110</v>
      </c>
      <c r="G263" s="7">
        <f>G262+Tabla1[[#This Row],[ingreso]]-Tabla1[[#This Row],[egreso]]</f>
        <v>2483368</v>
      </c>
      <c r="H263" s="7"/>
      <c r="I263" s="7" t="s">
        <v>48</v>
      </c>
      <c r="J263" s="4"/>
    </row>
    <row r="264" spans="1:10" x14ac:dyDescent="0.2">
      <c r="A264">
        <f>COUNTIF($I$2:I264,'[1]Detalle Pilotos'!$G$3)</f>
        <v>0</v>
      </c>
      <c r="B264">
        <f t="shared" si="4"/>
        <v>263</v>
      </c>
      <c r="C264" s="9">
        <v>43635</v>
      </c>
      <c r="D264" s="4" t="s">
        <v>107</v>
      </c>
      <c r="E264" s="8">
        <v>100000</v>
      </c>
      <c r="F264" s="3"/>
      <c r="G264" s="7">
        <f>G263+Tabla1[[#This Row],[ingreso]]-Tabla1[[#This Row],[egreso]]</f>
        <v>2383368</v>
      </c>
      <c r="H264" s="7" t="s">
        <v>34</v>
      </c>
      <c r="I264" s="7"/>
      <c r="J264" s="4"/>
    </row>
    <row r="265" spans="1:10" x14ac:dyDescent="0.2">
      <c r="A265">
        <f>COUNTIF($I$2:I265,'[1]Detalle Pilotos'!$G$3)</f>
        <v>0</v>
      </c>
      <c r="B265">
        <f t="shared" si="4"/>
        <v>264</v>
      </c>
      <c r="C265" s="9">
        <v>43635</v>
      </c>
      <c r="D265" s="4" t="s">
        <v>12</v>
      </c>
      <c r="E265" s="8">
        <v>176851</v>
      </c>
      <c r="F265" s="3"/>
      <c r="G265" s="7">
        <f>G264+Tabla1[[#This Row],[ingreso]]-Tabla1[[#This Row],[egreso]]</f>
        <v>2206517</v>
      </c>
      <c r="H265" s="7" t="s">
        <v>14</v>
      </c>
      <c r="I265" s="7" t="s">
        <v>13</v>
      </c>
      <c r="J265" s="4"/>
    </row>
    <row r="266" spans="1:10" x14ac:dyDescent="0.2">
      <c r="A266">
        <f>COUNTIF($I$2:I266,'[1]Detalle Pilotos'!$G$3)</f>
        <v>0</v>
      </c>
      <c r="B266">
        <f t="shared" si="4"/>
        <v>265</v>
      </c>
      <c r="C266" s="9">
        <v>43641</v>
      </c>
      <c r="D266" s="4" t="s">
        <v>53</v>
      </c>
      <c r="E266" s="6"/>
      <c r="F266" s="3">
        <v>250000</v>
      </c>
      <c r="G266" s="7">
        <f>G265+Tabla1[[#This Row],[ingreso]]-Tabla1[[#This Row],[egreso]]</f>
        <v>2456517</v>
      </c>
      <c r="H266" s="7"/>
      <c r="I266" s="4" t="s">
        <v>54</v>
      </c>
      <c r="J266" s="4"/>
    </row>
    <row r="267" spans="1:10" x14ac:dyDescent="0.2">
      <c r="A267">
        <f>COUNTIF($I$2:I267,'[1]Detalle Pilotos'!$G$3)</f>
        <v>0</v>
      </c>
      <c r="B267">
        <f t="shared" si="4"/>
        <v>266</v>
      </c>
      <c r="C267" s="9">
        <v>43643</v>
      </c>
      <c r="D267" s="4" t="s">
        <v>12</v>
      </c>
      <c r="E267" s="6"/>
      <c r="F267" s="3">
        <v>500000</v>
      </c>
      <c r="G267" s="7">
        <f>G266+Tabla1[[#This Row],[ingreso]]-Tabla1[[#This Row],[egreso]]</f>
        <v>2956517</v>
      </c>
      <c r="H267" s="7"/>
      <c r="I267" s="7" t="s">
        <v>13</v>
      </c>
      <c r="J267" s="4"/>
    </row>
    <row r="268" spans="1:10" x14ac:dyDescent="0.2">
      <c r="A268">
        <f>COUNTIF($I$2:I268,'[1]Detalle Pilotos'!$G$3)</f>
        <v>0</v>
      </c>
      <c r="B268">
        <f t="shared" si="4"/>
        <v>267</v>
      </c>
      <c r="C268" s="9">
        <v>43647</v>
      </c>
      <c r="D268" s="4" t="s">
        <v>108</v>
      </c>
      <c r="E268" s="8">
        <v>832644</v>
      </c>
      <c r="F268" s="3"/>
      <c r="G268" s="7">
        <f>G267+Tabla1[[#This Row],[ingreso]]-Tabla1[[#This Row],[egreso]]</f>
        <v>2123873</v>
      </c>
      <c r="H268" s="7" t="s">
        <v>22</v>
      </c>
      <c r="I268" s="7"/>
      <c r="J268" s="4"/>
    </row>
    <row r="269" spans="1:10" x14ac:dyDescent="0.2">
      <c r="A269">
        <f>COUNTIF($I$2:I269,'[1]Detalle Pilotos'!$G$3)</f>
        <v>0</v>
      </c>
      <c r="B269">
        <f t="shared" si="4"/>
        <v>268</v>
      </c>
      <c r="C269" s="9">
        <v>43647</v>
      </c>
      <c r="D269" s="4" t="s">
        <v>43</v>
      </c>
      <c r="E269" s="8">
        <v>350000</v>
      </c>
      <c r="F269" s="3"/>
      <c r="G269" s="7">
        <f>G268+Tabla1[[#This Row],[ingreso]]-Tabla1[[#This Row],[egreso]]</f>
        <v>1773873</v>
      </c>
      <c r="H269" s="7" t="s">
        <v>43</v>
      </c>
      <c r="I269" s="7"/>
      <c r="J269" s="4"/>
    </row>
    <row r="270" spans="1:10" x14ac:dyDescent="0.2">
      <c r="A270">
        <f>COUNTIF($I$2:I270,'[1]Detalle Pilotos'!$G$3)</f>
        <v>0</v>
      </c>
      <c r="B270">
        <f t="shared" si="4"/>
        <v>269</v>
      </c>
      <c r="C270" s="9">
        <v>43651</v>
      </c>
      <c r="D270" s="4" t="s">
        <v>109</v>
      </c>
      <c r="E270" s="6"/>
      <c r="F270" s="3">
        <v>126000</v>
      </c>
      <c r="G270" s="7">
        <f>G269+Tabla1[[#This Row],[ingreso]]-Tabla1[[#This Row],[egreso]]</f>
        <v>1899873</v>
      </c>
      <c r="H270" s="7"/>
      <c r="I270" s="7" t="s">
        <v>110</v>
      </c>
      <c r="J270" s="4"/>
    </row>
    <row r="271" spans="1:10" x14ac:dyDescent="0.2">
      <c r="A271">
        <f>COUNTIF($I$2:I271,'[1]Detalle Pilotos'!$G$3)</f>
        <v>0</v>
      </c>
      <c r="B271">
        <f t="shared" si="4"/>
        <v>270</v>
      </c>
      <c r="C271" s="9">
        <v>43654</v>
      </c>
      <c r="D271" s="4" t="s">
        <v>53</v>
      </c>
      <c r="E271" s="6"/>
      <c r="F271" s="3">
        <v>300000</v>
      </c>
      <c r="G271" s="7">
        <f>G270+Tabla1[[#This Row],[ingreso]]-Tabla1[[#This Row],[egreso]]</f>
        <v>2199873</v>
      </c>
      <c r="H271" s="7"/>
      <c r="I271" s="4" t="s">
        <v>54</v>
      </c>
      <c r="J271" s="4"/>
    </row>
    <row r="272" spans="1:10" x14ac:dyDescent="0.2">
      <c r="A272">
        <f>COUNTIF($I$2:I272,'[1]Detalle Pilotos'!$G$3)</f>
        <v>0</v>
      </c>
      <c r="B272">
        <f t="shared" si="4"/>
        <v>271</v>
      </c>
      <c r="C272" s="9">
        <v>43654</v>
      </c>
      <c r="D272" s="4" t="s">
        <v>49</v>
      </c>
      <c r="E272" s="8">
        <v>50290</v>
      </c>
      <c r="F272" s="3"/>
      <c r="G272" s="7">
        <f>G271+Tabla1[[#This Row],[ingreso]]-Tabla1[[#This Row],[egreso]]</f>
        <v>2149583</v>
      </c>
      <c r="H272" s="7" t="s">
        <v>14</v>
      </c>
      <c r="I272" s="7"/>
      <c r="J272" s="4"/>
    </row>
    <row r="273" spans="1:10" x14ac:dyDescent="0.2">
      <c r="A273">
        <f>COUNTIF($I$2:I273,'[1]Detalle Pilotos'!$G$3)</f>
        <v>0</v>
      </c>
      <c r="B273">
        <f t="shared" si="4"/>
        <v>272</v>
      </c>
      <c r="C273" s="9">
        <v>43655</v>
      </c>
      <c r="D273" s="4" t="s">
        <v>111</v>
      </c>
      <c r="E273" s="8">
        <v>45000</v>
      </c>
      <c r="F273" s="3"/>
      <c r="G273" s="7">
        <f>G272+Tabla1[[#This Row],[ingreso]]-Tabla1[[#This Row],[egreso]]</f>
        <v>2104583</v>
      </c>
      <c r="H273" s="7" t="s">
        <v>34</v>
      </c>
      <c r="I273" s="7"/>
      <c r="J273" s="4"/>
    </row>
    <row r="274" spans="1:10" x14ac:dyDescent="0.2">
      <c r="A274">
        <f>COUNTIF($I$2:I274,'[1]Detalle Pilotos'!$G$3)</f>
        <v>0</v>
      </c>
      <c r="B274">
        <f t="shared" si="4"/>
        <v>273</v>
      </c>
      <c r="C274" s="9">
        <v>43656</v>
      </c>
      <c r="D274" s="4" t="s">
        <v>112</v>
      </c>
      <c r="E274" s="6"/>
      <c r="F274" s="3">
        <v>1000000</v>
      </c>
      <c r="G274" s="7">
        <f>G273+Tabla1[[#This Row],[ingreso]]-Tabla1[[#This Row],[egreso]]</f>
        <v>3104583</v>
      </c>
      <c r="H274" s="7"/>
      <c r="I274" s="7"/>
      <c r="J274" s="4"/>
    </row>
    <row r="275" spans="1:10" x14ac:dyDescent="0.2">
      <c r="A275">
        <f>COUNTIF($I$2:I275,'[1]Detalle Pilotos'!$G$3)</f>
        <v>0</v>
      </c>
      <c r="B275">
        <f t="shared" si="4"/>
        <v>274</v>
      </c>
      <c r="C275" s="9">
        <v>43658</v>
      </c>
      <c r="D275" s="4" t="s">
        <v>49</v>
      </c>
      <c r="E275" s="8">
        <v>99099</v>
      </c>
      <c r="F275" s="3"/>
      <c r="G275" s="7">
        <f>G274+Tabla1[[#This Row],[ingreso]]-Tabla1[[#This Row],[egreso]]</f>
        <v>3005484</v>
      </c>
      <c r="H275" s="7" t="s">
        <v>14</v>
      </c>
      <c r="I275" s="7"/>
      <c r="J275" s="4"/>
    </row>
    <row r="276" spans="1:10" x14ac:dyDescent="0.2">
      <c r="A276">
        <f>COUNTIF($I$2:I276,'[1]Detalle Pilotos'!$G$3)</f>
        <v>0</v>
      </c>
      <c r="B276">
        <f t="shared" si="4"/>
        <v>275</v>
      </c>
      <c r="C276" s="9">
        <v>43661</v>
      </c>
      <c r="D276" s="4" t="s">
        <v>109</v>
      </c>
      <c r="E276" s="6"/>
      <c r="F276" s="3">
        <v>103000</v>
      </c>
      <c r="G276" s="7">
        <f>G275+Tabla1[[#This Row],[ingreso]]-Tabla1[[#This Row],[egreso]]</f>
        <v>3108484</v>
      </c>
      <c r="H276" s="7"/>
      <c r="I276" s="7" t="s">
        <v>110</v>
      </c>
      <c r="J276" s="4"/>
    </row>
    <row r="277" spans="1:10" x14ac:dyDescent="0.2">
      <c r="A277">
        <f>COUNTIF($I$2:I277,'[1]Detalle Pilotos'!$G$3)</f>
        <v>0</v>
      </c>
      <c r="B277">
        <f t="shared" si="4"/>
        <v>276</v>
      </c>
      <c r="C277" s="9">
        <v>43661</v>
      </c>
      <c r="D277" s="4" t="s">
        <v>113</v>
      </c>
      <c r="E277" s="8">
        <v>75970</v>
      </c>
      <c r="F277" s="3"/>
      <c r="G277" s="7">
        <f>G276+Tabla1[[#This Row],[ingreso]]-Tabla1[[#This Row],[egreso]]</f>
        <v>3032514</v>
      </c>
      <c r="H277" s="7" t="s">
        <v>22</v>
      </c>
      <c r="I277" s="7"/>
      <c r="J277" s="4"/>
    </row>
    <row r="278" spans="1:10" x14ac:dyDescent="0.2">
      <c r="A278">
        <f>COUNTIF($I$2:I278,'[1]Detalle Pilotos'!$G$3)</f>
        <v>0</v>
      </c>
      <c r="B278">
        <f t="shared" si="4"/>
        <v>277</v>
      </c>
      <c r="C278" s="9">
        <v>43661</v>
      </c>
      <c r="D278" s="4" t="s">
        <v>114</v>
      </c>
      <c r="E278" s="8">
        <v>67200</v>
      </c>
      <c r="F278" s="3"/>
      <c r="G278" s="7">
        <f>G277+Tabla1[[#This Row],[ingreso]]-Tabla1[[#This Row],[egreso]]</f>
        <v>2965314</v>
      </c>
      <c r="H278" s="7" t="s">
        <v>34</v>
      </c>
      <c r="I278" s="7"/>
      <c r="J278" s="4"/>
    </row>
    <row r="279" spans="1:10" x14ac:dyDescent="0.2">
      <c r="A279">
        <f>COUNTIF($I$2:I279,'[1]Detalle Pilotos'!$G$3)</f>
        <v>0</v>
      </c>
      <c r="B279">
        <f t="shared" si="4"/>
        <v>278</v>
      </c>
      <c r="C279" s="9">
        <v>43661</v>
      </c>
      <c r="D279" s="4" t="s">
        <v>115</v>
      </c>
      <c r="E279" s="8">
        <v>2504647</v>
      </c>
      <c r="F279" s="3"/>
      <c r="G279" s="7">
        <f>G278+Tabla1[[#This Row],[ingreso]]-Tabla1[[#This Row],[egreso]]</f>
        <v>460667</v>
      </c>
      <c r="H279" s="7" t="s">
        <v>34</v>
      </c>
      <c r="I279" s="7"/>
      <c r="J279" s="4"/>
    </row>
    <row r="280" spans="1:10" x14ac:dyDescent="0.2">
      <c r="A280">
        <f>COUNTIF($I$2:I280,'[1]Detalle Pilotos'!$G$3)</f>
        <v>0</v>
      </c>
      <c r="B280">
        <f t="shared" si="4"/>
        <v>279</v>
      </c>
      <c r="C280" s="9">
        <v>43661</v>
      </c>
      <c r="D280" s="4" t="s">
        <v>116</v>
      </c>
      <c r="E280" s="8">
        <v>120000</v>
      </c>
      <c r="F280" s="3"/>
      <c r="G280" s="7">
        <f>G279+Tabla1[[#This Row],[ingreso]]-Tabla1[[#This Row],[egreso]]</f>
        <v>340667</v>
      </c>
      <c r="H280" s="7" t="s">
        <v>34</v>
      </c>
      <c r="I280" s="7"/>
      <c r="J280" s="4"/>
    </row>
    <row r="281" spans="1:10" x14ac:dyDescent="0.2">
      <c r="A281">
        <f>COUNTIF($I$2:I281,'[1]Detalle Pilotos'!$G$3)</f>
        <v>0</v>
      </c>
      <c r="B281">
        <f t="shared" si="4"/>
        <v>280</v>
      </c>
      <c r="C281" s="9">
        <v>43664</v>
      </c>
      <c r="D281" s="4" t="s">
        <v>47</v>
      </c>
      <c r="E281" s="6"/>
      <c r="F281" s="3">
        <v>108443</v>
      </c>
      <c r="G281" s="7">
        <f>G280+Tabla1[[#This Row],[ingreso]]-Tabla1[[#This Row],[egreso]]</f>
        <v>449110</v>
      </c>
      <c r="H281" s="7"/>
      <c r="I281" s="7" t="s">
        <v>48</v>
      </c>
      <c r="J281" s="4"/>
    </row>
    <row r="282" spans="1:10" x14ac:dyDescent="0.2">
      <c r="A282">
        <f>COUNTIF($I$2:I282,'[1]Detalle Pilotos'!$G$3)</f>
        <v>0</v>
      </c>
      <c r="B282">
        <f t="shared" si="4"/>
        <v>281</v>
      </c>
      <c r="C282" s="9">
        <v>43668</v>
      </c>
      <c r="D282" s="4" t="s">
        <v>53</v>
      </c>
      <c r="E282" s="6"/>
      <c r="F282" s="3">
        <v>200000</v>
      </c>
      <c r="G282" s="7">
        <f>G281+Tabla1[[#This Row],[ingreso]]-Tabla1[[#This Row],[egreso]]</f>
        <v>649110</v>
      </c>
      <c r="H282" s="7"/>
      <c r="I282" s="4" t="s">
        <v>54</v>
      </c>
      <c r="J282" s="4"/>
    </row>
    <row r="283" spans="1:10" x14ac:dyDescent="0.2">
      <c r="A283">
        <f>COUNTIF($I$2:I283,'[1]Detalle Pilotos'!$G$3)</f>
        <v>0</v>
      </c>
      <c r="B283">
        <f t="shared" si="4"/>
        <v>282</v>
      </c>
      <c r="C283" s="9">
        <v>43668</v>
      </c>
      <c r="D283" s="4" t="s">
        <v>105</v>
      </c>
      <c r="E283" s="6"/>
      <c r="F283" s="3">
        <v>131352</v>
      </c>
      <c r="G283" s="7">
        <f>G282+Tabla1[[#This Row],[ingreso]]-Tabla1[[#This Row],[egreso]]</f>
        <v>780462</v>
      </c>
      <c r="H283" s="7"/>
      <c r="I283" s="7" t="s">
        <v>106</v>
      </c>
      <c r="J283" s="4"/>
    </row>
    <row r="284" spans="1:10" x14ac:dyDescent="0.2">
      <c r="A284">
        <f>COUNTIF($I$2:I284,'[1]Detalle Pilotos'!$G$3)</f>
        <v>0</v>
      </c>
      <c r="B284">
        <f t="shared" si="4"/>
        <v>283</v>
      </c>
      <c r="C284" s="9">
        <v>43675</v>
      </c>
      <c r="D284" s="4" t="s">
        <v>53</v>
      </c>
      <c r="E284" s="6"/>
      <c r="F284" s="3">
        <v>350000</v>
      </c>
      <c r="G284" s="7">
        <f>G283+Tabla1[[#This Row],[ingreso]]-Tabla1[[#This Row],[egreso]]</f>
        <v>1130462</v>
      </c>
      <c r="H284" s="7"/>
      <c r="I284" s="4" t="s">
        <v>54</v>
      </c>
      <c r="J284" s="4"/>
    </row>
    <row r="285" spans="1:10" x14ac:dyDescent="0.2">
      <c r="A285">
        <f>COUNTIF($I$2:I285,'[1]Detalle Pilotos'!$G$3)</f>
        <v>0</v>
      </c>
      <c r="B285">
        <f t="shared" si="4"/>
        <v>284</v>
      </c>
      <c r="C285" s="9">
        <v>43676</v>
      </c>
      <c r="D285" s="4" t="s">
        <v>117</v>
      </c>
      <c r="E285" s="8">
        <v>185305</v>
      </c>
      <c r="F285" s="3"/>
      <c r="G285" s="7">
        <f>G284+Tabla1[[#This Row],[ingreso]]-Tabla1[[#This Row],[egreso]]</f>
        <v>945157</v>
      </c>
      <c r="H285" s="7" t="s">
        <v>18</v>
      </c>
      <c r="I285" s="7"/>
      <c r="J285" s="4"/>
    </row>
    <row r="286" spans="1:10" x14ac:dyDescent="0.2">
      <c r="A286">
        <f>COUNTIF($I$2:I286,'[1]Detalle Pilotos'!$G$3)</f>
        <v>0</v>
      </c>
      <c r="B286">
        <f t="shared" si="4"/>
        <v>285</v>
      </c>
      <c r="C286" s="9">
        <v>43677</v>
      </c>
      <c r="D286" s="4" t="s">
        <v>12</v>
      </c>
      <c r="E286" s="6"/>
      <c r="F286" s="3">
        <v>500000</v>
      </c>
      <c r="G286" s="7">
        <f>G285+Tabla1[[#This Row],[ingreso]]-Tabla1[[#This Row],[egreso]]</f>
        <v>1445157</v>
      </c>
      <c r="H286" s="7"/>
      <c r="I286" s="7" t="s">
        <v>13</v>
      </c>
      <c r="J286" s="4"/>
    </row>
    <row r="287" spans="1:10" x14ac:dyDescent="0.2">
      <c r="A287">
        <f>COUNTIF($I$2:I287,'[1]Detalle Pilotos'!$G$3)</f>
        <v>0</v>
      </c>
      <c r="B287">
        <f t="shared" si="4"/>
        <v>286</v>
      </c>
      <c r="C287" s="9">
        <v>43678</v>
      </c>
      <c r="D287" s="4" t="s">
        <v>12</v>
      </c>
      <c r="E287" s="8">
        <v>68930</v>
      </c>
      <c r="F287" s="3"/>
      <c r="G287" s="7">
        <f>G286+Tabla1[[#This Row],[ingreso]]-Tabla1[[#This Row],[egreso]]</f>
        <v>1376227</v>
      </c>
      <c r="H287" s="7" t="s">
        <v>14</v>
      </c>
      <c r="I287" s="7" t="s">
        <v>13</v>
      </c>
      <c r="J287" s="4"/>
    </row>
    <row r="288" spans="1:10" x14ac:dyDescent="0.2">
      <c r="A288">
        <f>COUNTIF($I$2:I288,'[1]Detalle Pilotos'!$G$3)</f>
        <v>0</v>
      </c>
      <c r="B288">
        <f t="shared" si="4"/>
        <v>287</v>
      </c>
      <c r="C288" s="9">
        <v>43678</v>
      </c>
      <c r="D288" s="4" t="s">
        <v>43</v>
      </c>
      <c r="E288" s="8">
        <v>350000</v>
      </c>
      <c r="F288" s="3"/>
      <c r="G288" s="7">
        <f>G287+Tabla1[[#This Row],[ingreso]]-Tabla1[[#This Row],[egreso]]</f>
        <v>1026227</v>
      </c>
      <c r="H288" s="7" t="s">
        <v>43</v>
      </c>
      <c r="I288" s="7"/>
      <c r="J288" s="4"/>
    </row>
    <row r="289" spans="1:10" x14ac:dyDescent="0.2">
      <c r="A289">
        <f>COUNTIF($I$2:I289,'[1]Detalle Pilotos'!$G$3)</f>
        <v>0</v>
      </c>
      <c r="B289">
        <f t="shared" si="4"/>
        <v>288</v>
      </c>
      <c r="C289" s="9">
        <v>43681</v>
      </c>
      <c r="D289" s="4" t="s">
        <v>53</v>
      </c>
      <c r="E289" s="8"/>
      <c r="F289" s="3">
        <v>150000</v>
      </c>
      <c r="G289" s="7">
        <f>G288+Tabla1[[#This Row],[ingreso]]-Tabla1[[#This Row],[egreso]]</f>
        <v>1176227</v>
      </c>
      <c r="H289" s="7"/>
      <c r="I289" s="4" t="s">
        <v>54</v>
      </c>
      <c r="J289" s="4"/>
    </row>
    <row r="290" spans="1:10" x14ac:dyDescent="0.2">
      <c r="A290">
        <f>COUNTIF($I$2:I290,'[1]Detalle Pilotos'!$G$3)</f>
        <v>0</v>
      </c>
      <c r="B290">
        <f t="shared" si="4"/>
        <v>289</v>
      </c>
      <c r="C290" s="9">
        <v>43682</v>
      </c>
      <c r="D290" s="4" t="s">
        <v>111</v>
      </c>
      <c r="E290" s="8">
        <v>45000</v>
      </c>
      <c r="F290" s="3"/>
      <c r="G290" s="7">
        <f>G289+Tabla1[[#This Row],[ingreso]]-Tabla1[[#This Row],[egreso]]</f>
        <v>1131227</v>
      </c>
      <c r="H290" s="7" t="s">
        <v>34</v>
      </c>
      <c r="I290" s="7"/>
      <c r="J290" s="4"/>
    </row>
    <row r="291" spans="1:10" x14ac:dyDescent="0.2">
      <c r="A291">
        <f>COUNTIF($I$2:I291,'[1]Detalle Pilotos'!$G$3)</f>
        <v>0</v>
      </c>
      <c r="B291">
        <f t="shared" si="4"/>
        <v>290</v>
      </c>
      <c r="C291" s="9">
        <v>43682</v>
      </c>
      <c r="D291" s="4" t="s">
        <v>12</v>
      </c>
      <c r="E291" s="8">
        <v>42560</v>
      </c>
      <c r="F291" s="3"/>
      <c r="G291" s="7">
        <f>G290+Tabla1[[#This Row],[ingreso]]-Tabla1[[#This Row],[egreso]]</f>
        <v>1088667</v>
      </c>
      <c r="H291" s="7" t="s">
        <v>14</v>
      </c>
      <c r="I291" s="7" t="s">
        <v>13</v>
      </c>
      <c r="J291" s="4"/>
    </row>
    <row r="292" spans="1:10" x14ac:dyDescent="0.2">
      <c r="A292">
        <f>COUNTIF($I$2:I292,'[1]Detalle Pilotos'!$G$3)</f>
        <v>0</v>
      </c>
      <c r="B292">
        <f t="shared" si="4"/>
        <v>291</v>
      </c>
      <c r="C292" s="9">
        <v>43684</v>
      </c>
      <c r="D292" s="4" t="s">
        <v>9</v>
      </c>
      <c r="E292" s="8"/>
      <c r="F292" s="3">
        <v>139086</v>
      </c>
      <c r="G292" s="7">
        <f>G291+Tabla1[[#This Row],[ingreso]]-Tabla1[[#This Row],[egreso]]</f>
        <v>1227753</v>
      </c>
      <c r="H292" s="7"/>
      <c r="I292" s="7" t="s">
        <v>10</v>
      </c>
      <c r="J292" s="4"/>
    </row>
    <row r="293" spans="1:10" x14ac:dyDescent="0.2">
      <c r="A293">
        <f>COUNTIF($I$2:I293,'[1]Detalle Pilotos'!$G$3)</f>
        <v>0</v>
      </c>
      <c r="B293">
        <f t="shared" si="4"/>
        <v>292</v>
      </c>
      <c r="C293" s="9">
        <v>43685</v>
      </c>
      <c r="D293" s="4" t="s">
        <v>12</v>
      </c>
      <c r="E293" s="8"/>
      <c r="F293" s="3">
        <v>500000</v>
      </c>
      <c r="G293" s="7">
        <f>G292+Tabla1[[#This Row],[ingreso]]-Tabla1[[#This Row],[egreso]]</f>
        <v>1727753</v>
      </c>
      <c r="H293" s="7"/>
      <c r="I293" s="7" t="s">
        <v>13</v>
      </c>
      <c r="J293" s="4"/>
    </row>
    <row r="294" spans="1:10" x14ac:dyDescent="0.2">
      <c r="A294">
        <f>COUNTIF($I$2:I294,'[1]Detalle Pilotos'!$G$3)</f>
        <v>0</v>
      </c>
      <c r="B294">
        <f t="shared" si="4"/>
        <v>293</v>
      </c>
      <c r="C294" s="9">
        <v>43686</v>
      </c>
      <c r="D294" s="4" t="s">
        <v>47</v>
      </c>
      <c r="E294" s="8"/>
      <c r="F294" s="3">
        <v>444726</v>
      </c>
      <c r="G294" s="7">
        <f>G293+Tabla1[[#This Row],[ingreso]]-Tabla1[[#This Row],[egreso]]</f>
        <v>2172479</v>
      </c>
      <c r="H294" s="7"/>
      <c r="I294" s="7" t="s">
        <v>48</v>
      </c>
      <c r="J294" s="4"/>
    </row>
    <row r="295" spans="1:10" x14ac:dyDescent="0.2">
      <c r="A295">
        <f>COUNTIF($I$2:I295,'[1]Detalle Pilotos'!$G$3)</f>
        <v>0</v>
      </c>
      <c r="B295">
        <f t="shared" si="4"/>
        <v>294</v>
      </c>
      <c r="C295" s="9">
        <v>43697</v>
      </c>
      <c r="D295" s="4" t="s">
        <v>63</v>
      </c>
      <c r="E295" s="8"/>
      <c r="F295" s="3">
        <v>47212</v>
      </c>
      <c r="G295" s="7">
        <f>G294+Tabla1[[#This Row],[ingreso]]-Tabla1[[#This Row],[egreso]]</f>
        <v>2219691</v>
      </c>
      <c r="H295" s="7"/>
      <c r="I295" s="7" t="s">
        <v>64</v>
      </c>
      <c r="J295" s="4"/>
    </row>
    <row r="296" spans="1:10" x14ac:dyDescent="0.2">
      <c r="A296">
        <f>COUNTIF($I$2:I296,'[1]Detalle Pilotos'!$G$3)</f>
        <v>0</v>
      </c>
      <c r="B296">
        <f t="shared" si="4"/>
        <v>295</v>
      </c>
      <c r="C296" s="9">
        <v>43699</v>
      </c>
      <c r="D296" s="4" t="s">
        <v>53</v>
      </c>
      <c r="E296" s="8"/>
      <c r="F296" s="3">
        <v>160000</v>
      </c>
      <c r="G296" s="7">
        <f>G295+Tabla1[[#This Row],[ingreso]]-Tabla1[[#This Row],[egreso]]</f>
        <v>2379691</v>
      </c>
      <c r="H296" s="7"/>
      <c r="I296" s="4" t="s">
        <v>54</v>
      </c>
      <c r="J296" s="4"/>
    </row>
    <row r="297" spans="1:10" x14ac:dyDescent="0.2">
      <c r="A297">
        <f>COUNTIF($I$2:I297,'[1]Detalle Pilotos'!$G$3)</f>
        <v>0</v>
      </c>
      <c r="B297">
        <f t="shared" si="4"/>
        <v>296</v>
      </c>
      <c r="C297" s="9">
        <v>43703</v>
      </c>
      <c r="D297" s="4" t="s">
        <v>49</v>
      </c>
      <c r="E297" s="8">
        <v>79240</v>
      </c>
      <c r="F297" s="3"/>
      <c r="G297" s="7">
        <f>G296+Tabla1[[#This Row],[ingreso]]-Tabla1[[#This Row],[egreso]]</f>
        <v>2300451</v>
      </c>
      <c r="H297" s="7" t="s">
        <v>14</v>
      </c>
      <c r="I297" s="7"/>
      <c r="J297" s="4"/>
    </row>
    <row r="298" spans="1:10" x14ac:dyDescent="0.2">
      <c r="A298">
        <f>COUNTIF($I$2:I298,'[1]Detalle Pilotos'!$G$3)</f>
        <v>0</v>
      </c>
      <c r="B298">
        <f t="shared" si="4"/>
        <v>297</v>
      </c>
      <c r="C298" s="9">
        <v>43703</v>
      </c>
      <c r="D298" s="4" t="s">
        <v>12</v>
      </c>
      <c r="E298" s="8"/>
      <c r="F298" s="3">
        <v>500000</v>
      </c>
      <c r="G298" s="7">
        <f>G297+Tabla1[[#This Row],[ingreso]]-Tabla1[[#This Row],[egreso]]</f>
        <v>2800451</v>
      </c>
      <c r="H298" s="7"/>
      <c r="I298" s="7" t="s">
        <v>13</v>
      </c>
      <c r="J298" s="4"/>
    </row>
    <row r="299" spans="1:10" x14ac:dyDescent="0.2">
      <c r="A299">
        <f>COUNTIF($I$2:I299,'[1]Detalle Pilotos'!$G$3)</f>
        <v>0</v>
      </c>
      <c r="B299">
        <f t="shared" si="4"/>
        <v>298</v>
      </c>
      <c r="C299" s="9">
        <v>43704</v>
      </c>
      <c r="D299" s="4" t="s">
        <v>53</v>
      </c>
      <c r="E299" s="8"/>
      <c r="F299" s="3">
        <v>900000</v>
      </c>
      <c r="G299" s="7">
        <f>G298+Tabla1[[#This Row],[ingreso]]-Tabla1[[#This Row],[egreso]]</f>
        <v>3700451</v>
      </c>
      <c r="H299" s="7"/>
      <c r="I299" s="4" t="s">
        <v>54</v>
      </c>
      <c r="J299" s="4"/>
    </row>
    <row r="300" spans="1:10" x14ac:dyDescent="0.2">
      <c r="A300">
        <f>COUNTIF($I$2:I300,'[1]Detalle Pilotos'!$G$3)</f>
        <v>0</v>
      </c>
      <c r="B300">
        <f t="shared" si="4"/>
        <v>299</v>
      </c>
      <c r="C300" s="9">
        <v>43704</v>
      </c>
      <c r="D300" s="4" t="s">
        <v>9</v>
      </c>
      <c r="E300" s="8"/>
      <c r="F300" s="3">
        <v>164600</v>
      </c>
      <c r="G300" s="7">
        <f>G299+Tabla1[[#This Row],[ingreso]]-Tabla1[[#This Row],[egreso]]</f>
        <v>3865051</v>
      </c>
      <c r="H300" s="7"/>
      <c r="I300" s="7" t="s">
        <v>10</v>
      </c>
      <c r="J300" s="4"/>
    </row>
    <row r="301" spans="1:10" x14ac:dyDescent="0.2">
      <c r="A301">
        <f>COUNTIF($I$2:I301,'[1]Detalle Pilotos'!$G$3)</f>
        <v>0</v>
      </c>
      <c r="B301">
        <f t="shared" si="4"/>
        <v>300</v>
      </c>
      <c r="C301" s="9">
        <v>43705</v>
      </c>
      <c r="D301" s="4" t="s">
        <v>29</v>
      </c>
      <c r="E301" s="8">
        <v>48000</v>
      </c>
      <c r="F301" s="3"/>
      <c r="G301" s="7">
        <f>G300+Tabla1[[#This Row],[ingreso]]-Tabla1[[#This Row],[egreso]]</f>
        <v>3817051</v>
      </c>
      <c r="H301" s="7" t="s">
        <v>22</v>
      </c>
      <c r="I301" s="7"/>
      <c r="J301" s="4"/>
    </row>
    <row r="302" spans="1:10" x14ac:dyDescent="0.2">
      <c r="A302">
        <f>COUNTIF($I$2:I302,'[1]Detalle Pilotos'!$G$3)</f>
        <v>0</v>
      </c>
      <c r="B302">
        <f t="shared" si="4"/>
        <v>301</v>
      </c>
      <c r="C302" s="9">
        <v>43710</v>
      </c>
      <c r="D302" s="4" t="s">
        <v>29</v>
      </c>
      <c r="E302" s="8">
        <v>216000</v>
      </c>
      <c r="F302" s="3"/>
      <c r="G302" s="7">
        <f>G301+Tabla1[[#This Row],[ingreso]]-Tabla1[[#This Row],[egreso]]</f>
        <v>3601051</v>
      </c>
      <c r="H302" s="7" t="s">
        <v>22</v>
      </c>
      <c r="I302" s="7"/>
      <c r="J302" s="4"/>
    </row>
    <row r="303" spans="1:10" x14ac:dyDescent="0.2">
      <c r="A303">
        <f>COUNTIF($I$2:I303,'[1]Detalle Pilotos'!$G$3)</f>
        <v>0</v>
      </c>
      <c r="B303">
        <f t="shared" si="4"/>
        <v>302</v>
      </c>
      <c r="C303" s="9">
        <v>43710</v>
      </c>
      <c r="D303" s="4" t="s">
        <v>43</v>
      </c>
      <c r="E303" s="8">
        <v>350000</v>
      </c>
      <c r="F303" s="3"/>
      <c r="G303" s="7">
        <f>G302+Tabla1[[#This Row],[ingreso]]-Tabla1[[#This Row],[egreso]]</f>
        <v>3251051</v>
      </c>
      <c r="H303" s="7" t="s">
        <v>43</v>
      </c>
      <c r="I303" s="7"/>
      <c r="J303" s="4"/>
    </row>
    <row r="304" spans="1:10" x14ac:dyDescent="0.2">
      <c r="A304">
        <f>COUNTIF($I$2:I304,'[1]Detalle Pilotos'!$G$3)</f>
        <v>0</v>
      </c>
      <c r="B304">
        <f t="shared" si="4"/>
        <v>303</v>
      </c>
      <c r="C304" s="9">
        <v>43711</v>
      </c>
      <c r="D304" s="4" t="s">
        <v>12</v>
      </c>
      <c r="E304" s="8">
        <v>92824</v>
      </c>
      <c r="F304" s="3"/>
      <c r="G304" s="7">
        <f>G303+Tabla1[[#This Row],[ingreso]]-Tabla1[[#This Row],[egreso]]</f>
        <v>3158227</v>
      </c>
      <c r="H304" s="7" t="s">
        <v>14</v>
      </c>
      <c r="I304" s="7" t="s">
        <v>13</v>
      </c>
      <c r="J304" s="4"/>
    </row>
    <row r="305" spans="1:10" x14ac:dyDescent="0.2">
      <c r="A305">
        <f>COUNTIF($I$2:I305,'[1]Detalle Pilotos'!$G$3)</f>
        <v>0</v>
      </c>
      <c r="B305">
        <f t="shared" si="4"/>
        <v>304</v>
      </c>
      <c r="C305" s="9">
        <v>43711</v>
      </c>
      <c r="D305" s="4" t="s">
        <v>111</v>
      </c>
      <c r="E305" s="8">
        <v>45000</v>
      </c>
      <c r="F305" s="3"/>
      <c r="G305" s="7">
        <f>G304+Tabla1[[#This Row],[ingreso]]-Tabla1[[#This Row],[egreso]]</f>
        <v>3113227</v>
      </c>
      <c r="H305" s="7" t="s">
        <v>34</v>
      </c>
      <c r="I305" s="7"/>
      <c r="J305" s="4"/>
    </row>
    <row r="306" spans="1:10" x14ac:dyDescent="0.2">
      <c r="A306">
        <f>COUNTIF($I$2:I306,'[1]Detalle Pilotos'!$G$3)</f>
        <v>0</v>
      </c>
      <c r="B306">
        <f t="shared" si="4"/>
        <v>305</v>
      </c>
      <c r="C306" s="9">
        <v>43713</v>
      </c>
      <c r="D306" s="4" t="s">
        <v>53</v>
      </c>
      <c r="E306" s="8"/>
      <c r="F306" s="3">
        <v>180000</v>
      </c>
      <c r="G306" s="7">
        <f>G305+Tabla1[[#This Row],[ingreso]]-Tabla1[[#This Row],[egreso]]</f>
        <v>3293227</v>
      </c>
      <c r="H306" s="7"/>
      <c r="I306" s="4" t="s">
        <v>54</v>
      </c>
      <c r="J306" s="4"/>
    </row>
    <row r="307" spans="1:10" x14ac:dyDescent="0.2">
      <c r="A307">
        <f>COUNTIF($I$2:I307,'[1]Detalle Pilotos'!$G$3)</f>
        <v>0</v>
      </c>
      <c r="B307">
        <f t="shared" si="4"/>
        <v>306</v>
      </c>
      <c r="C307" s="9">
        <v>43714</v>
      </c>
      <c r="D307" s="4" t="s">
        <v>49</v>
      </c>
      <c r="E307" s="8">
        <v>57732</v>
      </c>
      <c r="F307" s="3"/>
      <c r="G307" s="7">
        <f>G306+Tabla1[[#This Row],[ingreso]]-Tabla1[[#This Row],[egreso]]</f>
        <v>3235495</v>
      </c>
      <c r="H307" s="7" t="s">
        <v>14</v>
      </c>
      <c r="I307" s="7"/>
      <c r="J307" s="4"/>
    </row>
    <row r="308" spans="1:10" x14ac:dyDescent="0.2">
      <c r="A308">
        <f>COUNTIF($I$2:I308,'[1]Detalle Pilotos'!$G$3)</f>
        <v>0</v>
      </c>
      <c r="B308">
        <f t="shared" si="4"/>
        <v>307</v>
      </c>
      <c r="C308" s="9">
        <v>43717</v>
      </c>
      <c r="D308" s="4" t="s">
        <v>109</v>
      </c>
      <c r="E308" s="8"/>
      <c r="F308" s="3">
        <v>81000</v>
      </c>
      <c r="G308" s="7">
        <f>G307+Tabla1[[#This Row],[ingreso]]-Tabla1[[#This Row],[egreso]]</f>
        <v>3316495</v>
      </c>
      <c r="H308" s="7"/>
      <c r="I308" s="7" t="s">
        <v>110</v>
      </c>
      <c r="J308" s="4"/>
    </row>
    <row r="309" spans="1:10" x14ac:dyDescent="0.2">
      <c r="A309">
        <f>COUNTIF($I$2:I309,'[1]Detalle Pilotos'!$G$3)</f>
        <v>0</v>
      </c>
      <c r="B309">
        <f t="shared" si="4"/>
        <v>308</v>
      </c>
      <c r="C309" s="9">
        <v>43717</v>
      </c>
      <c r="D309" s="4" t="s">
        <v>9</v>
      </c>
      <c r="E309" s="8"/>
      <c r="F309" s="3">
        <v>102900</v>
      </c>
      <c r="G309" s="7">
        <f>G308+Tabla1[[#This Row],[ingreso]]-Tabla1[[#This Row],[egreso]]</f>
        <v>3419395</v>
      </c>
      <c r="H309" s="7"/>
      <c r="I309" s="7" t="s">
        <v>10</v>
      </c>
      <c r="J309" s="4"/>
    </row>
    <row r="310" spans="1:10" x14ac:dyDescent="0.2">
      <c r="A310">
        <f>COUNTIF($I$2:I310,'[1]Detalle Pilotos'!$G$3)</f>
        <v>0</v>
      </c>
      <c r="B310">
        <f t="shared" si="4"/>
        <v>309</v>
      </c>
      <c r="C310" s="9">
        <v>43731</v>
      </c>
      <c r="D310" s="4" t="s">
        <v>105</v>
      </c>
      <c r="E310" s="8"/>
      <c r="F310" s="3">
        <v>106496</v>
      </c>
      <c r="G310" s="7">
        <f>G309+Tabla1[[#This Row],[ingreso]]-Tabla1[[#This Row],[egreso]]</f>
        <v>3525891</v>
      </c>
      <c r="H310" s="7"/>
      <c r="I310" s="7" t="s">
        <v>106</v>
      </c>
      <c r="J310" s="4"/>
    </row>
    <row r="311" spans="1:10" x14ac:dyDescent="0.2">
      <c r="A311">
        <f>COUNTIF($I$2:I311,'[1]Detalle Pilotos'!$G$3)</f>
        <v>0</v>
      </c>
      <c r="B311">
        <f t="shared" si="4"/>
        <v>310</v>
      </c>
      <c r="C311" s="9">
        <v>43739</v>
      </c>
      <c r="D311" s="4" t="s">
        <v>12</v>
      </c>
      <c r="E311" s="8"/>
      <c r="F311" s="3">
        <v>450000</v>
      </c>
      <c r="G311" s="7">
        <f>G310+Tabla1[[#This Row],[ingreso]]-Tabla1[[#This Row],[egreso]]</f>
        <v>3975891</v>
      </c>
      <c r="H311" s="7"/>
      <c r="I311" s="7" t="s">
        <v>13</v>
      </c>
      <c r="J311" s="4"/>
    </row>
    <row r="312" spans="1:10" x14ac:dyDescent="0.2">
      <c r="A312">
        <f>COUNTIF($I$2:I312,'[1]Detalle Pilotos'!$G$3)</f>
        <v>0</v>
      </c>
      <c r="B312">
        <f t="shared" si="4"/>
        <v>311</v>
      </c>
      <c r="C312" s="9">
        <v>43739</v>
      </c>
      <c r="D312" s="4" t="s">
        <v>43</v>
      </c>
      <c r="E312" s="8">
        <v>350000</v>
      </c>
      <c r="F312" s="3"/>
      <c r="G312" s="7">
        <f>G311+Tabla1[[#This Row],[ingreso]]-Tabla1[[#This Row],[egreso]]</f>
        <v>3625891</v>
      </c>
      <c r="H312" s="7" t="s">
        <v>43</v>
      </c>
      <c r="I312" s="7"/>
      <c r="J312" s="4"/>
    </row>
    <row r="313" spans="1:10" x14ac:dyDescent="0.2">
      <c r="A313">
        <f>COUNTIF($I$2:I313,'[1]Detalle Pilotos'!$G$3)</f>
        <v>0</v>
      </c>
      <c r="B313">
        <f t="shared" si="4"/>
        <v>312</v>
      </c>
      <c r="C313" s="9">
        <v>43739</v>
      </c>
      <c r="D313" s="4" t="s">
        <v>53</v>
      </c>
      <c r="E313" s="8"/>
      <c r="F313" s="3">
        <v>700000</v>
      </c>
      <c r="G313" s="7">
        <f>G312+Tabla1[[#This Row],[ingreso]]-Tabla1[[#This Row],[egreso]]</f>
        <v>4325891</v>
      </c>
      <c r="H313" s="7"/>
      <c r="I313" s="4" t="s">
        <v>54</v>
      </c>
      <c r="J313" s="4"/>
    </row>
    <row r="314" spans="1:10" x14ac:dyDescent="0.2">
      <c r="A314">
        <f>COUNTIF($I$2:I314,'[1]Detalle Pilotos'!$G$3)</f>
        <v>0</v>
      </c>
      <c r="B314">
        <f t="shared" si="4"/>
        <v>313</v>
      </c>
      <c r="C314" s="9">
        <v>43740</v>
      </c>
      <c r="D314" s="4" t="s">
        <v>12</v>
      </c>
      <c r="E314" s="8">
        <v>97989</v>
      </c>
      <c r="F314" s="3"/>
      <c r="G314" s="7">
        <f>G313+Tabla1[[#This Row],[ingreso]]-Tabla1[[#This Row],[egreso]]</f>
        <v>4227902</v>
      </c>
      <c r="H314" s="7" t="s">
        <v>14</v>
      </c>
      <c r="I314" s="7" t="s">
        <v>13</v>
      </c>
      <c r="J314" s="4"/>
    </row>
    <row r="315" spans="1:10" x14ac:dyDescent="0.2">
      <c r="A315">
        <f>COUNTIF($I$2:I315,'[1]Detalle Pilotos'!$G$3)</f>
        <v>0</v>
      </c>
      <c r="B315">
        <f t="shared" si="4"/>
        <v>314</v>
      </c>
      <c r="C315" s="9">
        <v>43747</v>
      </c>
      <c r="D315" s="4" t="s">
        <v>53</v>
      </c>
      <c r="E315" s="8"/>
      <c r="F315" s="3">
        <v>600000</v>
      </c>
      <c r="G315" s="7">
        <f>G314+Tabla1[[#This Row],[ingreso]]-Tabla1[[#This Row],[egreso]]</f>
        <v>4827902</v>
      </c>
      <c r="H315" s="7"/>
      <c r="I315" s="4" t="s">
        <v>54</v>
      </c>
      <c r="J315" s="4"/>
    </row>
    <row r="316" spans="1:10" x14ac:dyDescent="0.2">
      <c r="A316">
        <f>COUNTIF($I$2:I316,'[1]Detalle Pilotos'!$G$3)</f>
        <v>0</v>
      </c>
      <c r="B316">
        <f t="shared" si="4"/>
        <v>315</v>
      </c>
      <c r="C316" s="9">
        <v>43747</v>
      </c>
      <c r="D316" s="4" t="s">
        <v>111</v>
      </c>
      <c r="E316" s="8">
        <v>45000</v>
      </c>
      <c r="F316" s="3"/>
      <c r="G316" s="7">
        <f>G315+Tabla1[[#This Row],[ingreso]]-Tabla1[[#This Row],[egreso]]</f>
        <v>4782902</v>
      </c>
      <c r="H316" s="7" t="s">
        <v>34</v>
      </c>
      <c r="I316" s="7"/>
      <c r="J316" s="4"/>
    </row>
    <row r="317" spans="1:10" x14ac:dyDescent="0.2">
      <c r="A317">
        <f>COUNTIF($I$2:I317,'[1]Detalle Pilotos'!$G$3)</f>
        <v>0</v>
      </c>
      <c r="B317">
        <f t="shared" si="4"/>
        <v>316</v>
      </c>
      <c r="C317" s="9">
        <v>43752</v>
      </c>
      <c r="D317" s="4" t="s">
        <v>53</v>
      </c>
      <c r="E317" s="8"/>
      <c r="F317" s="3">
        <v>500000</v>
      </c>
      <c r="G317" s="7">
        <f>G316+Tabla1[[#This Row],[ingreso]]-Tabla1[[#This Row],[egreso]]</f>
        <v>5282902</v>
      </c>
      <c r="H317" s="7"/>
      <c r="I317" s="4" t="s">
        <v>54</v>
      </c>
      <c r="J317" s="4"/>
    </row>
    <row r="318" spans="1:10" x14ac:dyDescent="0.2">
      <c r="A318">
        <f>COUNTIF($I$2:I318,'[1]Detalle Pilotos'!$G$3)</f>
        <v>0</v>
      </c>
      <c r="B318">
        <f t="shared" si="4"/>
        <v>317</v>
      </c>
      <c r="C318" s="9">
        <v>43755</v>
      </c>
      <c r="D318" s="4" t="s">
        <v>12</v>
      </c>
      <c r="E318" s="8">
        <v>46160</v>
      </c>
      <c r="F318" s="3"/>
      <c r="G318" s="7">
        <f>G317+Tabla1[[#This Row],[ingreso]]-Tabla1[[#This Row],[egreso]]</f>
        <v>5236742</v>
      </c>
      <c r="H318" s="7" t="s">
        <v>14</v>
      </c>
      <c r="I318" s="7" t="s">
        <v>13</v>
      </c>
      <c r="J318" s="4"/>
    </row>
    <row r="319" spans="1:10" x14ac:dyDescent="0.2">
      <c r="A319">
        <f>COUNTIF($I$2:I319,'[1]Detalle Pilotos'!$G$3)</f>
        <v>0</v>
      </c>
      <c r="B319">
        <f t="shared" si="4"/>
        <v>318</v>
      </c>
      <c r="C319" s="9">
        <v>43767</v>
      </c>
      <c r="D319" s="4" t="s">
        <v>63</v>
      </c>
      <c r="E319" s="8"/>
      <c r="F319" s="3">
        <v>51684</v>
      </c>
      <c r="G319" s="7">
        <f>G318+Tabla1[[#This Row],[ingreso]]-Tabla1[[#This Row],[egreso]]</f>
        <v>5288426</v>
      </c>
      <c r="H319" s="7"/>
      <c r="I319" s="7" t="s">
        <v>64</v>
      </c>
      <c r="J319" s="4"/>
    </row>
    <row r="320" spans="1:10" x14ac:dyDescent="0.2">
      <c r="A320">
        <f>COUNTIF($I$2:I320,'[1]Detalle Pilotos'!$G$3)</f>
        <v>0</v>
      </c>
      <c r="B320">
        <f t="shared" si="4"/>
        <v>319</v>
      </c>
      <c r="C320" s="9">
        <v>43773</v>
      </c>
      <c r="D320" s="4" t="s">
        <v>111</v>
      </c>
      <c r="E320" s="8">
        <v>45000</v>
      </c>
      <c r="F320" s="3"/>
      <c r="G320" s="7">
        <f>G319+Tabla1[[#This Row],[ingreso]]-Tabla1[[#This Row],[egreso]]</f>
        <v>5243426</v>
      </c>
      <c r="H320" s="7" t="s">
        <v>34</v>
      </c>
      <c r="I320" s="7"/>
      <c r="J320" s="4"/>
    </row>
    <row r="321" spans="1:10" x14ac:dyDescent="0.2">
      <c r="A321">
        <f>COUNTIF($I$2:I321,'[1]Detalle Pilotos'!$G$3)</f>
        <v>0</v>
      </c>
      <c r="B321">
        <f t="shared" si="4"/>
        <v>320</v>
      </c>
      <c r="C321" s="9">
        <v>43773</v>
      </c>
      <c r="D321" s="4" t="s">
        <v>43</v>
      </c>
      <c r="E321" s="8">
        <v>350000</v>
      </c>
      <c r="F321" s="3"/>
      <c r="G321" s="7">
        <f>G320+Tabla1[[#This Row],[ingreso]]-Tabla1[[#This Row],[egreso]]</f>
        <v>4893426</v>
      </c>
      <c r="H321" s="7" t="s">
        <v>43</v>
      </c>
      <c r="I321" s="7"/>
      <c r="J321" s="4"/>
    </row>
    <row r="322" spans="1:10" x14ac:dyDescent="0.2">
      <c r="A322">
        <f>COUNTIF($I$2:I322,'[1]Detalle Pilotos'!$G$3)</f>
        <v>0</v>
      </c>
      <c r="B322">
        <f t="shared" si="4"/>
        <v>321</v>
      </c>
      <c r="C322" s="9">
        <v>43774</v>
      </c>
      <c r="D322" s="4" t="s">
        <v>118</v>
      </c>
      <c r="E322" s="8">
        <v>1500000</v>
      </c>
      <c r="F322" s="3"/>
      <c r="G322" s="7">
        <f>G321+Tabla1[[#This Row],[ingreso]]-Tabla1[[#This Row],[egreso]]</f>
        <v>3393426</v>
      </c>
      <c r="H322" s="7" t="s">
        <v>34</v>
      </c>
      <c r="I322" s="7"/>
      <c r="J322" s="4"/>
    </row>
    <row r="323" spans="1:10" x14ac:dyDescent="0.2">
      <c r="A323">
        <f>COUNTIF($I$2:I323,'[1]Detalle Pilotos'!$G$3)</f>
        <v>0</v>
      </c>
      <c r="B323">
        <f t="shared" si="4"/>
        <v>322</v>
      </c>
      <c r="C323" s="9">
        <v>43775</v>
      </c>
      <c r="D323" s="4" t="s">
        <v>12</v>
      </c>
      <c r="E323" s="8">
        <v>281640</v>
      </c>
      <c r="F323" s="3"/>
      <c r="G323" s="7">
        <f>G322+Tabla1[[#This Row],[ingreso]]-Tabla1[[#This Row],[egreso]]</f>
        <v>3111786</v>
      </c>
      <c r="H323" s="7" t="s">
        <v>14</v>
      </c>
      <c r="I323" s="7" t="s">
        <v>13</v>
      </c>
      <c r="J323" s="4"/>
    </row>
    <row r="324" spans="1:10" x14ac:dyDescent="0.2">
      <c r="A324">
        <f>COUNTIF($I$2:I324,'[1]Detalle Pilotos'!$G$3)</f>
        <v>0</v>
      </c>
      <c r="B324">
        <f t="shared" ref="B324:B387" si="5">IF(C324="","",1+B323)</f>
        <v>323</v>
      </c>
      <c r="C324" s="9">
        <v>43775</v>
      </c>
      <c r="D324" s="4" t="s">
        <v>12</v>
      </c>
      <c r="E324" s="8"/>
      <c r="F324" s="3">
        <v>500000</v>
      </c>
      <c r="G324" s="7">
        <f>G323+Tabla1[[#This Row],[ingreso]]-Tabla1[[#This Row],[egreso]]</f>
        <v>3611786</v>
      </c>
      <c r="H324" s="7"/>
      <c r="I324" s="7" t="s">
        <v>13</v>
      </c>
      <c r="J324" s="4"/>
    </row>
    <row r="325" spans="1:10" x14ac:dyDescent="0.2">
      <c r="A325">
        <f>COUNTIF($I$2:I325,'[1]Detalle Pilotos'!$G$3)</f>
        <v>0</v>
      </c>
      <c r="B325">
        <f t="shared" si="5"/>
        <v>324</v>
      </c>
      <c r="C325" s="9">
        <v>43776</v>
      </c>
      <c r="D325" s="4" t="s">
        <v>119</v>
      </c>
      <c r="E325" s="8">
        <v>1104583</v>
      </c>
      <c r="F325" s="3"/>
      <c r="G325" s="7">
        <f>G324+Tabla1[[#This Row],[ingreso]]-Tabla1[[#This Row],[egreso]]</f>
        <v>2507203</v>
      </c>
      <c r="H325" s="7" t="s">
        <v>34</v>
      </c>
      <c r="I325" s="7"/>
      <c r="J325" s="4"/>
    </row>
    <row r="326" spans="1:10" x14ac:dyDescent="0.2">
      <c r="A326">
        <f>COUNTIF($I$2:I326,'[1]Detalle Pilotos'!$G$3)</f>
        <v>0</v>
      </c>
      <c r="B326">
        <f t="shared" si="5"/>
        <v>325</v>
      </c>
      <c r="C326" s="9">
        <v>43777</v>
      </c>
      <c r="D326" s="4" t="s">
        <v>9</v>
      </c>
      <c r="E326" s="8"/>
      <c r="F326" s="3">
        <v>116000</v>
      </c>
      <c r="G326" s="7">
        <f>G325+Tabla1[[#This Row],[ingreso]]-Tabla1[[#This Row],[egreso]]</f>
        <v>2623203</v>
      </c>
      <c r="H326" s="7"/>
      <c r="I326" s="7" t="s">
        <v>10</v>
      </c>
      <c r="J326" s="4"/>
    </row>
    <row r="327" spans="1:10" x14ac:dyDescent="0.2">
      <c r="A327">
        <f>COUNTIF($I$2:I327,'[1]Detalle Pilotos'!$G$3)</f>
        <v>0</v>
      </c>
      <c r="B327">
        <f t="shared" si="5"/>
        <v>326</v>
      </c>
      <c r="C327" s="9">
        <v>43783</v>
      </c>
      <c r="D327" s="4" t="s">
        <v>105</v>
      </c>
      <c r="E327" s="8"/>
      <c r="F327" s="3">
        <v>122200</v>
      </c>
      <c r="G327" s="7">
        <f>G326+Tabla1[[#This Row],[ingreso]]-Tabla1[[#This Row],[egreso]]</f>
        <v>2745403</v>
      </c>
      <c r="H327" s="7"/>
      <c r="I327" s="7" t="s">
        <v>106</v>
      </c>
      <c r="J327" s="4"/>
    </row>
    <row r="328" spans="1:10" x14ac:dyDescent="0.2">
      <c r="A328">
        <f>COUNTIF($I$2:I328,'[1]Detalle Pilotos'!$G$3)</f>
        <v>0</v>
      </c>
      <c r="B328">
        <f t="shared" si="5"/>
        <v>327</v>
      </c>
      <c r="C328" s="9">
        <v>43787</v>
      </c>
      <c r="D328" s="4" t="s">
        <v>49</v>
      </c>
      <c r="E328" s="8">
        <v>55223</v>
      </c>
      <c r="F328" s="3"/>
      <c r="G328" s="7">
        <f>G327+Tabla1[[#This Row],[ingreso]]-Tabla1[[#This Row],[egreso]]</f>
        <v>2690180</v>
      </c>
      <c r="H328" s="7" t="s">
        <v>14</v>
      </c>
      <c r="I328" s="7"/>
      <c r="J328" s="4"/>
    </row>
    <row r="329" spans="1:10" x14ac:dyDescent="0.2">
      <c r="A329">
        <f>COUNTIF($I$2:I329,'[1]Detalle Pilotos'!$G$3)</f>
        <v>0</v>
      </c>
      <c r="B329">
        <f t="shared" si="5"/>
        <v>328</v>
      </c>
      <c r="C329" s="9">
        <v>43788</v>
      </c>
      <c r="D329" s="4" t="s">
        <v>47</v>
      </c>
      <c r="E329" s="8"/>
      <c r="F329" s="3">
        <v>356089</v>
      </c>
      <c r="G329" s="7">
        <f>G328+Tabla1[[#This Row],[ingreso]]-Tabla1[[#This Row],[egreso]]</f>
        <v>3046269</v>
      </c>
      <c r="H329" s="7"/>
      <c r="I329" s="7" t="s">
        <v>48</v>
      </c>
      <c r="J329" s="4"/>
    </row>
    <row r="330" spans="1:10" x14ac:dyDescent="0.2">
      <c r="A330">
        <f>COUNTIF($I$2:I330,'[1]Detalle Pilotos'!$G$3)</f>
        <v>0</v>
      </c>
      <c r="B330">
        <f t="shared" si="5"/>
        <v>329</v>
      </c>
      <c r="C330" s="9">
        <v>43789</v>
      </c>
      <c r="D330" s="4" t="s">
        <v>120</v>
      </c>
      <c r="E330" s="8">
        <v>720000</v>
      </c>
      <c r="F330" s="3"/>
      <c r="G330" s="7">
        <f>G329+Tabla1[[#This Row],[ingreso]]-Tabla1[[#This Row],[egreso]]</f>
        <v>2326269</v>
      </c>
      <c r="H330" s="7" t="s">
        <v>34</v>
      </c>
      <c r="I330" s="7"/>
      <c r="J330" s="4"/>
    </row>
    <row r="331" spans="1:10" x14ac:dyDescent="0.2">
      <c r="A331">
        <f>COUNTIF($I$2:I331,'[1]Detalle Pilotos'!$G$3)</f>
        <v>0</v>
      </c>
      <c r="B331">
        <f t="shared" si="5"/>
        <v>330</v>
      </c>
      <c r="C331" s="9">
        <v>43791</v>
      </c>
      <c r="D331" s="4" t="s">
        <v>12</v>
      </c>
      <c r="E331" s="8">
        <v>84525</v>
      </c>
      <c r="F331" s="3"/>
      <c r="G331" s="7">
        <f>G330+Tabla1[[#This Row],[ingreso]]-Tabla1[[#This Row],[egreso]]</f>
        <v>2241744</v>
      </c>
      <c r="H331" s="7" t="s">
        <v>14</v>
      </c>
      <c r="I331" s="7" t="s">
        <v>13</v>
      </c>
      <c r="J331" s="4"/>
    </row>
    <row r="332" spans="1:10" x14ac:dyDescent="0.2">
      <c r="A332">
        <f>COUNTIF($I$2:I332,'[1]Detalle Pilotos'!$G$3)</f>
        <v>0</v>
      </c>
      <c r="B332">
        <f t="shared" si="5"/>
        <v>331</v>
      </c>
      <c r="C332" s="9">
        <v>43794</v>
      </c>
      <c r="D332" s="4" t="s">
        <v>12</v>
      </c>
      <c r="E332" s="8">
        <v>367534</v>
      </c>
      <c r="F332" s="3"/>
      <c r="G332" s="7">
        <f>G331+Tabla1[[#This Row],[ingreso]]-Tabla1[[#This Row],[egreso]]</f>
        <v>1874210</v>
      </c>
      <c r="H332" s="7" t="s">
        <v>14</v>
      </c>
      <c r="I332" s="7" t="s">
        <v>13</v>
      </c>
      <c r="J332" s="4"/>
    </row>
    <row r="333" spans="1:10" x14ac:dyDescent="0.2">
      <c r="A333">
        <f>COUNTIF($I$2:I333,'[1]Detalle Pilotos'!$G$3)</f>
        <v>0</v>
      </c>
      <c r="B333">
        <f t="shared" si="5"/>
        <v>332</v>
      </c>
      <c r="C333" s="9">
        <v>43794</v>
      </c>
      <c r="D333" s="4" t="s">
        <v>121</v>
      </c>
      <c r="E333" s="8">
        <v>67200</v>
      </c>
      <c r="F333" s="3"/>
      <c r="G333" s="7">
        <f>G332+Tabla1[[#This Row],[ingreso]]-Tabla1[[#This Row],[egreso]]</f>
        <v>1807010</v>
      </c>
      <c r="H333" s="7" t="s">
        <v>34</v>
      </c>
      <c r="I333" s="7"/>
      <c r="J333" s="4"/>
    </row>
    <row r="334" spans="1:10" x14ac:dyDescent="0.2">
      <c r="A334">
        <f>COUNTIF($I$2:I334,'[1]Detalle Pilotos'!$G$3)</f>
        <v>0</v>
      </c>
      <c r="B334">
        <f t="shared" si="5"/>
        <v>333</v>
      </c>
      <c r="C334" s="9">
        <v>43801</v>
      </c>
      <c r="D334" s="4" t="s">
        <v>49</v>
      </c>
      <c r="E334" s="8">
        <v>70566</v>
      </c>
      <c r="F334" s="3"/>
      <c r="G334" s="7">
        <f>G333+Tabla1[[#This Row],[ingreso]]-Tabla1[[#This Row],[egreso]]</f>
        <v>1736444</v>
      </c>
      <c r="H334" s="7" t="s">
        <v>14</v>
      </c>
      <c r="I334" s="7"/>
      <c r="J334" s="4"/>
    </row>
    <row r="335" spans="1:10" x14ac:dyDescent="0.2">
      <c r="A335">
        <f>COUNTIF($I$2:I335,'[1]Detalle Pilotos'!$G$3)</f>
        <v>0</v>
      </c>
      <c r="B335">
        <f t="shared" si="5"/>
        <v>334</v>
      </c>
      <c r="C335" s="9">
        <v>43801</v>
      </c>
      <c r="D335" s="4" t="s">
        <v>43</v>
      </c>
      <c r="E335" s="8">
        <v>350000</v>
      </c>
      <c r="F335" s="3"/>
      <c r="G335" s="7">
        <f>G334+Tabla1[[#This Row],[ingreso]]-Tabla1[[#This Row],[egreso]]</f>
        <v>1386444</v>
      </c>
      <c r="H335" s="7" t="s">
        <v>43</v>
      </c>
      <c r="I335" s="7"/>
      <c r="J335" s="4"/>
    </row>
    <row r="336" spans="1:10" x14ac:dyDescent="0.2">
      <c r="A336">
        <f>COUNTIF($I$2:I336,'[1]Detalle Pilotos'!$G$3)</f>
        <v>0</v>
      </c>
      <c r="B336">
        <f t="shared" si="5"/>
        <v>335</v>
      </c>
      <c r="C336" s="9">
        <v>43802</v>
      </c>
      <c r="D336" s="4" t="s">
        <v>111</v>
      </c>
      <c r="E336" s="8">
        <v>45000</v>
      </c>
      <c r="F336" s="3"/>
      <c r="G336" s="7">
        <f>G335+Tabla1[[#This Row],[ingreso]]-Tabla1[[#This Row],[egreso]]</f>
        <v>1341444</v>
      </c>
      <c r="H336" s="7" t="s">
        <v>34</v>
      </c>
      <c r="I336" s="7"/>
      <c r="J336" s="4"/>
    </row>
    <row r="337" spans="1:10" x14ac:dyDescent="0.2">
      <c r="A337">
        <f>COUNTIF($I$2:I337,'[1]Detalle Pilotos'!$G$3)</f>
        <v>0</v>
      </c>
      <c r="B337">
        <f t="shared" si="5"/>
        <v>336</v>
      </c>
      <c r="C337" s="9">
        <v>43802</v>
      </c>
      <c r="D337" s="4" t="s">
        <v>12</v>
      </c>
      <c r="E337" s="8"/>
      <c r="F337" s="3">
        <v>500000</v>
      </c>
      <c r="G337" s="7">
        <f>G336+Tabla1[[#This Row],[ingreso]]-Tabla1[[#This Row],[egreso]]</f>
        <v>1841444</v>
      </c>
      <c r="H337" s="7"/>
      <c r="I337" s="7" t="s">
        <v>13</v>
      </c>
      <c r="J337" s="4"/>
    </row>
    <row r="338" spans="1:10" x14ac:dyDescent="0.2">
      <c r="A338">
        <f>COUNTIF($I$2:I338,'[1]Detalle Pilotos'!$G$3)</f>
        <v>0</v>
      </c>
      <c r="B338">
        <f t="shared" si="5"/>
        <v>337</v>
      </c>
      <c r="C338" s="9">
        <v>43802</v>
      </c>
      <c r="D338" s="4" t="s">
        <v>122</v>
      </c>
      <c r="E338" s="8"/>
      <c r="F338" s="3">
        <v>167220</v>
      </c>
      <c r="G338" s="7">
        <f>G337+Tabla1[[#This Row],[ingreso]]-Tabla1[[#This Row],[egreso]]</f>
        <v>2008664</v>
      </c>
      <c r="H338" s="7"/>
      <c r="I338" s="7" t="s">
        <v>123</v>
      </c>
      <c r="J338" s="4"/>
    </row>
    <row r="339" spans="1:10" x14ac:dyDescent="0.2">
      <c r="A339">
        <f>COUNTIF($I$2:I339,'[1]Detalle Pilotos'!$G$3)</f>
        <v>0</v>
      </c>
      <c r="B339">
        <f t="shared" si="5"/>
        <v>338</v>
      </c>
      <c r="C339" s="9">
        <v>43804</v>
      </c>
      <c r="D339" s="4" t="s">
        <v>53</v>
      </c>
      <c r="E339" s="8"/>
      <c r="F339" s="3">
        <v>900000</v>
      </c>
      <c r="G339" s="7">
        <f>G338+Tabla1[[#This Row],[ingreso]]-Tabla1[[#This Row],[egreso]]</f>
        <v>2908664</v>
      </c>
      <c r="H339" s="7"/>
      <c r="I339" s="4" t="s">
        <v>54</v>
      </c>
      <c r="J339" s="4"/>
    </row>
    <row r="340" spans="1:10" x14ac:dyDescent="0.2">
      <c r="A340">
        <f>COUNTIF($I$2:I340,'[1]Detalle Pilotos'!$G$3)</f>
        <v>0</v>
      </c>
      <c r="B340">
        <f t="shared" si="5"/>
        <v>339</v>
      </c>
      <c r="C340" s="9">
        <v>43809</v>
      </c>
      <c r="D340" s="4" t="s">
        <v>12</v>
      </c>
      <c r="E340" s="8">
        <v>282209</v>
      </c>
      <c r="F340" s="3"/>
      <c r="G340" s="7">
        <f>G339+Tabla1[[#This Row],[ingreso]]-Tabla1[[#This Row],[egreso]]</f>
        <v>2626455</v>
      </c>
      <c r="H340" s="7" t="s">
        <v>14</v>
      </c>
      <c r="I340" s="7" t="s">
        <v>13</v>
      </c>
      <c r="J340" s="4"/>
    </row>
    <row r="341" spans="1:10" x14ac:dyDescent="0.2">
      <c r="A341">
        <f>COUNTIF($I$2:I341,'[1]Detalle Pilotos'!$G$3)</f>
        <v>0</v>
      </c>
      <c r="B341">
        <f t="shared" si="5"/>
        <v>340</v>
      </c>
      <c r="C341" s="9">
        <v>43814</v>
      </c>
      <c r="D341" s="4" t="s">
        <v>122</v>
      </c>
      <c r="E341" s="8"/>
      <c r="F341" s="3">
        <v>265622</v>
      </c>
      <c r="G341" s="7">
        <f>G340+Tabla1[[#This Row],[ingreso]]-Tabla1[[#This Row],[egreso]]</f>
        <v>2892077</v>
      </c>
      <c r="H341" s="7"/>
      <c r="I341" s="7" t="s">
        <v>123</v>
      </c>
      <c r="J341" s="4"/>
    </row>
    <row r="342" spans="1:10" x14ac:dyDescent="0.2">
      <c r="A342">
        <f>COUNTIF($I$2:I342,'[1]Detalle Pilotos'!$G$3)</f>
        <v>0</v>
      </c>
      <c r="B342">
        <f t="shared" si="5"/>
        <v>341</v>
      </c>
      <c r="C342" s="9">
        <v>43816</v>
      </c>
      <c r="D342" s="4" t="s">
        <v>122</v>
      </c>
      <c r="E342" s="8"/>
      <c r="F342" s="3">
        <v>144060</v>
      </c>
      <c r="G342" s="7">
        <f>G341+Tabla1[[#This Row],[ingreso]]-Tabla1[[#This Row],[egreso]]</f>
        <v>3036137</v>
      </c>
      <c r="H342" s="7"/>
      <c r="I342" s="7" t="s">
        <v>123</v>
      </c>
      <c r="J342" s="4"/>
    </row>
    <row r="343" spans="1:10" x14ac:dyDescent="0.2">
      <c r="A343">
        <f>COUNTIF($I$2:I343,'[1]Detalle Pilotos'!$G$3)</f>
        <v>0</v>
      </c>
      <c r="B343">
        <f t="shared" si="5"/>
        <v>342</v>
      </c>
      <c r="C343" s="9">
        <v>43817</v>
      </c>
      <c r="D343" s="4" t="s">
        <v>53</v>
      </c>
      <c r="E343" s="8"/>
      <c r="F343" s="3">
        <v>900000</v>
      </c>
      <c r="G343" s="7">
        <f>G342+Tabla1[[#This Row],[ingreso]]-Tabla1[[#This Row],[egreso]]</f>
        <v>3936137</v>
      </c>
      <c r="H343" s="7"/>
      <c r="I343" s="4" t="s">
        <v>54</v>
      </c>
      <c r="J343" s="4"/>
    </row>
    <row r="344" spans="1:10" x14ac:dyDescent="0.2">
      <c r="A344">
        <f>COUNTIF($I$2:I344,'[1]Detalle Pilotos'!$G$3)</f>
        <v>0</v>
      </c>
      <c r="B344">
        <f t="shared" si="5"/>
        <v>343</v>
      </c>
      <c r="C344" s="9">
        <v>43823</v>
      </c>
      <c r="D344" s="4" t="s">
        <v>12</v>
      </c>
      <c r="E344" s="8">
        <v>76800</v>
      </c>
      <c r="F344" s="3"/>
      <c r="G344" s="7">
        <f>G343+Tabla1[[#This Row],[ingreso]]-Tabla1[[#This Row],[egreso]]</f>
        <v>3859337</v>
      </c>
      <c r="H344" s="7" t="s">
        <v>14</v>
      </c>
      <c r="I344" s="7" t="s">
        <v>13</v>
      </c>
      <c r="J344" s="4"/>
    </row>
    <row r="345" spans="1:10" x14ac:dyDescent="0.2">
      <c r="A345">
        <f>COUNTIF($I$2:I345,'[1]Detalle Pilotos'!$G$3)</f>
        <v>0</v>
      </c>
      <c r="B345">
        <f t="shared" si="5"/>
        <v>344</v>
      </c>
      <c r="C345" s="9">
        <v>43827</v>
      </c>
      <c r="D345" s="4" t="s">
        <v>122</v>
      </c>
      <c r="E345" s="8"/>
      <c r="F345" s="3">
        <v>94500</v>
      </c>
      <c r="G345" s="7">
        <f>G344+Tabla1[[#This Row],[ingreso]]-Tabla1[[#This Row],[egreso]]</f>
        <v>3953837</v>
      </c>
      <c r="H345" s="7"/>
      <c r="I345" s="7" t="s">
        <v>123</v>
      </c>
      <c r="J345" s="4"/>
    </row>
    <row r="346" spans="1:10" x14ac:dyDescent="0.2">
      <c r="A346">
        <f>COUNTIF($I$2:I346,'[1]Detalle Pilotos'!$G$3)</f>
        <v>0</v>
      </c>
      <c r="B346">
        <f t="shared" si="5"/>
        <v>345</v>
      </c>
      <c r="C346" s="9">
        <v>43829</v>
      </c>
      <c r="D346" s="4" t="s">
        <v>12</v>
      </c>
      <c r="E346" s="8"/>
      <c r="F346" s="3">
        <v>500000</v>
      </c>
      <c r="G346" s="7">
        <f>G345+Tabla1[[#This Row],[ingreso]]-Tabla1[[#This Row],[egreso]]</f>
        <v>4453837</v>
      </c>
      <c r="H346" s="7"/>
      <c r="I346" s="7" t="s">
        <v>13</v>
      </c>
      <c r="J346" s="4"/>
    </row>
    <row r="347" spans="1:10" x14ac:dyDescent="0.2">
      <c r="A347">
        <f>COUNTIF($I$2:I347,'[1]Detalle Pilotos'!$G$3)</f>
        <v>0</v>
      </c>
      <c r="B347">
        <f t="shared" si="5"/>
        <v>346</v>
      </c>
      <c r="C347" s="9">
        <v>43832</v>
      </c>
      <c r="D347" s="4" t="s">
        <v>43</v>
      </c>
      <c r="E347" s="8">
        <v>350000</v>
      </c>
      <c r="F347" s="3"/>
      <c r="G347" s="7">
        <f>G346+Tabla1[[#This Row],[ingreso]]-Tabla1[[#This Row],[egreso]]</f>
        <v>4103837</v>
      </c>
      <c r="H347" s="7" t="s">
        <v>43</v>
      </c>
      <c r="I347" s="7"/>
      <c r="J347" s="4"/>
    </row>
    <row r="348" spans="1:10" x14ac:dyDescent="0.2">
      <c r="A348">
        <f>COUNTIF($I$2:I348,'[1]Detalle Pilotos'!$G$3)</f>
        <v>0</v>
      </c>
      <c r="B348">
        <f t="shared" si="5"/>
        <v>347</v>
      </c>
      <c r="C348" s="9">
        <v>43832</v>
      </c>
      <c r="D348" s="4" t="s">
        <v>124</v>
      </c>
      <c r="E348" s="8">
        <v>90000</v>
      </c>
      <c r="F348" s="3"/>
      <c r="G348" s="7">
        <f>G347+Tabla1[[#This Row],[ingreso]]-Tabla1[[#This Row],[egreso]]</f>
        <v>4013837</v>
      </c>
      <c r="H348" s="7" t="s">
        <v>14</v>
      </c>
      <c r="I348" s="7"/>
      <c r="J348" s="4"/>
    </row>
    <row r="349" spans="1:10" x14ac:dyDescent="0.2">
      <c r="A349">
        <f>COUNTIF($I$2:I349,'[1]Detalle Pilotos'!$G$3)</f>
        <v>0</v>
      </c>
      <c r="B349">
        <f t="shared" si="5"/>
        <v>348</v>
      </c>
      <c r="C349" s="9">
        <v>43833</v>
      </c>
      <c r="D349" s="4" t="s">
        <v>69</v>
      </c>
      <c r="E349" s="8">
        <v>97100</v>
      </c>
      <c r="F349" s="3"/>
      <c r="G349" s="7">
        <f>G348+Tabla1[[#This Row],[ingreso]]-Tabla1[[#This Row],[egreso]]</f>
        <v>3916737</v>
      </c>
      <c r="H349" s="7" t="s">
        <v>34</v>
      </c>
      <c r="I349" s="7"/>
      <c r="J349" s="4"/>
    </row>
    <row r="350" spans="1:10" x14ac:dyDescent="0.2">
      <c r="A350">
        <f>COUNTIF($I$2:I350,'[1]Detalle Pilotos'!$G$3)</f>
        <v>0</v>
      </c>
      <c r="B350">
        <f t="shared" si="5"/>
        <v>349</v>
      </c>
      <c r="C350" s="9">
        <v>43833</v>
      </c>
      <c r="D350" s="4" t="s">
        <v>12</v>
      </c>
      <c r="E350" s="8">
        <v>268200</v>
      </c>
      <c r="F350" s="3"/>
      <c r="G350" s="7">
        <f>G349+Tabla1[[#This Row],[ingreso]]-Tabla1[[#This Row],[egreso]]</f>
        <v>3648537</v>
      </c>
      <c r="H350" s="7" t="s">
        <v>14</v>
      </c>
      <c r="I350" s="7" t="s">
        <v>13</v>
      </c>
      <c r="J350" s="4"/>
    </row>
    <row r="351" spans="1:10" x14ac:dyDescent="0.2">
      <c r="A351">
        <f>COUNTIF($I$2:I351,'[1]Detalle Pilotos'!$G$3)</f>
        <v>0</v>
      </c>
      <c r="B351">
        <f t="shared" si="5"/>
        <v>350</v>
      </c>
      <c r="C351" s="9">
        <v>43836</v>
      </c>
      <c r="D351" s="4" t="s">
        <v>125</v>
      </c>
      <c r="E351" s="8">
        <v>57120</v>
      </c>
      <c r="F351" s="3"/>
      <c r="G351" s="7">
        <f>G350+Tabla1[[#This Row],[ingreso]]-Tabla1[[#This Row],[egreso]]</f>
        <v>3591417</v>
      </c>
      <c r="H351" s="7" t="s">
        <v>34</v>
      </c>
      <c r="I351" s="7"/>
      <c r="J351" s="4"/>
    </row>
    <row r="352" spans="1:10" x14ac:dyDescent="0.2">
      <c r="A352">
        <f>COUNTIF($I$2:I352,'[1]Detalle Pilotos'!$G$3)</f>
        <v>0</v>
      </c>
      <c r="B352">
        <f t="shared" si="5"/>
        <v>351</v>
      </c>
      <c r="C352" s="9">
        <v>43836</v>
      </c>
      <c r="D352" s="4" t="s">
        <v>111</v>
      </c>
      <c r="E352" s="8">
        <v>45000</v>
      </c>
      <c r="F352" s="3"/>
      <c r="G352" s="7">
        <f>G351+Tabla1[[#This Row],[ingreso]]-Tabla1[[#This Row],[egreso]]</f>
        <v>3546417</v>
      </c>
      <c r="H352" s="7" t="s">
        <v>34</v>
      </c>
      <c r="I352" s="7"/>
      <c r="J352" s="4"/>
    </row>
    <row r="353" spans="1:10" x14ac:dyDescent="0.2">
      <c r="A353">
        <f>COUNTIF($I$2:I353,'[1]Detalle Pilotos'!$G$3)</f>
        <v>0</v>
      </c>
      <c r="B353">
        <f t="shared" si="5"/>
        <v>352</v>
      </c>
      <c r="C353" s="9">
        <v>43836</v>
      </c>
      <c r="D353" s="4" t="s">
        <v>15</v>
      </c>
      <c r="E353" s="8"/>
      <c r="F353" s="3">
        <v>56000</v>
      </c>
      <c r="G353" s="7">
        <f>G352+Tabla1[[#This Row],[ingreso]]-Tabla1[[#This Row],[egreso]]</f>
        <v>3602417</v>
      </c>
      <c r="H353" s="7"/>
      <c r="I353" s="7" t="s">
        <v>16</v>
      </c>
      <c r="J353" s="4"/>
    </row>
    <row r="354" spans="1:10" x14ac:dyDescent="0.2">
      <c r="A354">
        <f>COUNTIF($I$2:I354,'[1]Detalle Pilotos'!$G$3)</f>
        <v>0</v>
      </c>
      <c r="B354">
        <f t="shared" si="5"/>
        <v>353</v>
      </c>
      <c r="C354" s="9">
        <v>43836</v>
      </c>
      <c r="D354" s="4" t="s">
        <v>15</v>
      </c>
      <c r="E354" s="8"/>
      <c r="F354" s="3">
        <v>105000</v>
      </c>
      <c r="G354" s="7">
        <f>G353+Tabla1[[#This Row],[ingreso]]-Tabla1[[#This Row],[egreso]]</f>
        <v>3707417</v>
      </c>
      <c r="H354" s="7"/>
      <c r="I354" s="7" t="s">
        <v>16</v>
      </c>
      <c r="J354" s="4"/>
    </row>
    <row r="355" spans="1:10" x14ac:dyDescent="0.2">
      <c r="A355">
        <f>COUNTIF($I$2:I355,'[1]Detalle Pilotos'!$G$3)</f>
        <v>0</v>
      </c>
      <c r="B355">
        <f t="shared" si="5"/>
        <v>354</v>
      </c>
      <c r="C355" s="9">
        <v>43836</v>
      </c>
      <c r="D355" s="4" t="s">
        <v>15</v>
      </c>
      <c r="E355" s="8"/>
      <c r="F355" s="3">
        <v>77000</v>
      </c>
      <c r="G355" s="7">
        <f>G354+Tabla1[[#This Row],[ingreso]]-Tabla1[[#This Row],[egreso]]</f>
        <v>3784417</v>
      </c>
      <c r="H355" s="7"/>
      <c r="I355" s="7" t="s">
        <v>16</v>
      </c>
      <c r="J355" s="4"/>
    </row>
    <row r="356" spans="1:10" x14ac:dyDescent="0.2">
      <c r="A356">
        <f>COUNTIF($I$2:I356,'[1]Detalle Pilotos'!$G$3)</f>
        <v>0</v>
      </c>
      <c r="B356">
        <f t="shared" si="5"/>
        <v>355</v>
      </c>
      <c r="C356" s="9">
        <v>43836</v>
      </c>
      <c r="D356" s="4" t="s">
        <v>15</v>
      </c>
      <c r="E356" s="8"/>
      <c r="F356" s="3">
        <v>98000</v>
      </c>
      <c r="G356" s="7">
        <f>G355+Tabla1[[#This Row],[ingreso]]-Tabla1[[#This Row],[egreso]]</f>
        <v>3882417</v>
      </c>
      <c r="H356" s="7"/>
      <c r="I356" s="7" t="s">
        <v>16</v>
      </c>
      <c r="J356" s="4"/>
    </row>
    <row r="357" spans="1:10" x14ac:dyDescent="0.2">
      <c r="A357">
        <f>COUNTIF($I$2:I357,'[1]Detalle Pilotos'!$G$3)</f>
        <v>0</v>
      </c>
      <c r="B357">
        <f t="shared" si="5"/>
        <v>356</v>
      </c>
      <c r="C357" s="9">
        <v>43836</v>
      </c>
      <c r="D357" s="4" t="s">
        <v>15</v>
      </c>
      <c r="E357" s="8"/>
      <c r="F357" s="3">
        <v>56000</v>
      </c>
      <c r="G357" s="7">
        <f>G356+Tabla1[[#This Row],[ingreso]]-Tabla1[[#This Row],[egreso]]</f>
        <v>3938417</v>
      </c>
      <c r="H357" s="7"/>
      <c r="I357" s="7" t="s">
        <v>16</v>
      </c>
      <c r="J357" s="4"/>
    </row>
    <row r="358" spans="1:10" x14ac:dyDescent="0.2">
      <c r="A358">
        <f>COUNTIF($I$2:I358,'[1]Detalle Pilotos'!$G$3)</f>
        <v>0</v>
      </c>
      <c r="B358">
        <f t="shared" si="5"/>
        <v>357</v>
      </c>
      <c r="C358" s="9">
        <v>43836</v>
      </c>
      <c r="D358" s="4" t="s">
        <v>15</v>
      </c>
      <c r="E358" s="8"/>
      <c r="F358" s="3">
        <v>21000</v>
      </c>
      <c r="G358" s="7">
        <f>G357+Tabla1[[#This Row],[ingreso]]-Tabla1[[#This Row],[egreso]]</f>
        <v>3959417</v>
      </c>
      <c r="H358" s="7"/>
      <c r="I358" s="7" t="s">
        <v>16</v>
      </c>
      <c r="J358" s="4"/>
    </row>
    <row r="359" spans="1:10" x14ac:dyDescent="0.2">
      <c r="A359">
        <f>COUNTIF($I$2:I359,'[1]Detalle Pilotos'!$G$3)</f>
        <v>0</v>
      </c>
      <c r="B359">
        <f t="shared" si="5"/>
        <v>358</v>
      </c>
      <c r="C359" s="9">
        <v>43836</v>
      </c>
      <c r="D359" s="4" t="s">
        <v>15</v>
      </c>
      <c r="E359" s="8"/>
      <c r="F359" s="3">
        <v>77000</v>
      </c>
      <c r="G359" s="7">
        <f>G358+Tabla1[[#This Row],[ingreso]]-Tabla1[[#This Row],[egreso]]</f>
        <v>4036417</v>
      </c>
      <c r="H359" s="7"/>
      <c r="I359" s="7" t="s">
        <v>16</v>
      </c>
      <c r="J359" s="4"/>
    </row>
    <row r="360" spans="1:10" x14ac:dyDescent="0.2">
      <c r="A360">
        <f>COUNTIF($I$2:I360,'[1]Detalle Pilotos'!$G$3)</f>
        <v>0</v>
      </c>
      <c r="B360">
        <f t="shared" si="5"/>
        <v>359</v>
      </c>
      <c r="C360" s="9">
        <v>43836</v>
      </c>
      <c r="D360" s="4" t="s">
        <v>15</v>
      </c>
      <c r="E360" s="8"/>
      <c r="F360" s="3">
        <v>56000</v>
      </c>
      <c r="G360" s="7">
        <f>G359+Tabla1[[#This Row],[ingreso]]-Tabla1[[#This Row],[egreso]]</f>
        <v>4092417</v>
      </c>
      <c r="H360" s="7"/>
      <c r="I360" s="7" t="s">
        <v>16</v>
      </c>
      <c r="J360" s="4"/>
    </row>
    <row r="361" spans="1:10" x14ac:dyDescent="0.2">
      <c r="A361">
        <f>COUNTIF($I$2:I361,'[1]Detalle Pilotos'!$G$3)</f>
        <v>0</v>
      </c>
      <c r="B361">
        <f t="shared" si="5"/>
        <v>360</v>
      </c>
      <c r="C361" s="9">
        <v>43836</v>
      </c>
      <c r="D361" s="4" t="s">
        <v>15</v>
      </c>
      <c r="E361" s="8"/>
      <c r="F361" s="3">
        <v>49000</v>
      </c>
      <c r="G361" s="7">
        <f>G360+Tabla1[[#This Row],[ingreso]]-Tabla1[[#This Row],[egreso]]</f>
        <v>4141417</v>
      </c>
      <c r="H361" s="7"/>
      <c r="I361" s="7" t="s">
        <v>16</v>
      </c>
      <c r="J361" s="4"/>
    </row>
    <row r="362" spans="1:10" x14ac:dyDescent="0.2">
      <c r="A362">
        <f>COUNTIF($I$2:I362,'[1]Detalle Pilotos'!$G$3)</f>
        <v>0</v>
      </c>
      <c r="B362">
        <f t="shared" si="5"/>
        <v>361</v>
      </c>
      <c r="C362" s="9">
        <v>43836</v>
      </c>
      <c r="D362" s="4" t="s">
        <v>126</v>
      </c>
      <c r="E362" s="8">
        <v>54782</v>
      </c>
      <c r="F362" s="3"/>
      <c r="G362" s="7">
        <f>G361+Tabla1[[#This Row],[ingreso]]-Tabla1[[#This Row],[egreso]]</f>
        <v>4086635</v>
      </c>
      <c r="H362" s="7" t="s">
        <v>14</v>
      </c>
      <c r="I362" s="7"/>
      <c r="J362" s="4"/>
    </row>
    <row r="363" spans="1:10" x14ac:dyDescent="0.2">
      <c r="A363">
        <f>COUNTIF($I$2:I363,'[1]Detalle Pilotos'!$G$3)</f>
        <v>0</v>
      </c>
      <c r="B363">
        <f t="shared" si="5"/>
        <v>362</v>
      </c>
      <c r="C363" s="9">
        <v>43836</v>
      </c>
      <c r="D363" s="4" t="s">
        <v>12</v>
      </c>
      <c r="E363" s="8"/>
      <c r="F363" s="3">
        <v>400000</v>
      </c>
      <c r="G363" s="7">
        <f>G362+Tabla1[[#This Row],[ingreso]]-Tabla1[[#This Row],[egreso]]</f>
        <v>4486635</v>
      </c>
      <c r="H363" s="7"/>
      <c r="I363" s="7" t="s">
        <v>13</v>
      </c>
      <c r="J363" s="4"/>
    </row>
    <row r="364" spans="1:10" x14ac:dyDescent="0.2">
      <c r="A364">
        <f>COUNTIF($I$2:I364,'[1]Detalle Pilotos'!$G$3)</f>
        <v>0</v>
      </c>
      <c r="B364">
        <f t="shared" si="5"/>
        <v>363</v>
      </c>
      <c r="C364" s="9">
        <v>43836</v>
      </c>
      <c r="D364" s="4" t="s">
        <v>127</v>
      </c>
      <c r="E364" s="8">
        <v>138000</v>
      </c>
      <c r="F364" s="3"/>
      <c r="G364" s="7">
        <f>G363+Tabla1[[#This Row],[ingreso]]-Tabla1[[#This Row],[egreso]]</f>
        <v>4348635</v>
      </c>
      <c r="H364" s="7" t="s">
        <v>34</v>
      </c>
      <c r="I364" s="7"/>
      <c r="J364" s="4"/>
    </row>
    <row r="365" spans="1:10" x14ac:dyDescent="0.2">
      <c r="A365">
        <f>COUNTIF($I$2:I365,'[1]Detalle Pilotos'!$G$3)</f>
        <v>0</v>
      </c>
      <c r="B365">
        <f t="shared" si="5"/>
        <v>364</v>
      </c>
      <c r="C365" s="9">
        <v>43837</v>
      </c>
      <c r="D365" s="4" t="s">
        <v>128</v>
      </c>
      <c r="E365" s="8">
        <v>13090</v>
      </c>
      <c r="F365" s="3"/>
      <c r="G365" s="7">
        <f>G364+Tabla1[[#This Row],[ingreso]]-Tabla1[[#This Row],[egreso]]</f>
        <v>4335545</v>
      </c>
      <c r="H365" s="7" t="s">
        <v>34</v>
      </c>
      <c r="I365" s="7"/>
      <c r="J365" s="4"/>
    </row>
    <row r="366" spans="1:10" x14ac:dyDescent="0.2">
      <c r="A366">
        <f>COUNTIF($I$2:I366,'[1]Detalle Pilotos'!$G$3)</f>
        <v>0</v>
      </c>
      <c r="B366">
        <f t="shared" si="5"/>
        <v>365</v>
      </c>
      <c r="C366" s="9">
        <v>43847</v>
      </c>
      <c r="D366" s="4" t="s">
        <v>49</v>
      </c>
      <c r="E366" s="8">
        <v>76012</v>
      </c>
      <c r="F366" s="3"/>
      <c r="G366" s="7">
        <f>G365+Tabla1[[#This Row],[ingreso]]-Tabla1[[#This Row],[egreso]]</f>
        <v>4259533</v>
      </c>
      <c r="H366" s="7" t="s">
        <v>14</v>
      </c>
      <c r="I366" s="7"/>
      <c r="J366" s="4"/>
    </row>
    <row r="367" spans="1:10" x14ac:dyDescent="0.2">
      <c r="A367">
        <f>COUNTIF($I$2:I367,'[1]Detalle Pilotos'!$G$3)</f>
        <v>0</v>
      </c>
      <c r="B367">
        <f t="shared" si="5"/>
        <v>366</v>
      </c>
      <c r="C367" s="9">
        <v>43847</v>
      </c>
      <c r="D367" s="4" t="s">
        <v>12</v>
      </c>
      <c r="E367" s="8">
        <v>166736</v>
      </c>
      <c r="F367" s="3"/>
      <c r="G367" s="7">
        <f>G366+Tabla1[[#This Row],[ingreso]]-Tabla1[[#This Row],[egreso]]</f>
        <v>4092797</v>
      </c>
      <c r="H367" s="7" t="s">
        <v>14</v>
      </c>
      <c r="I367" s="7" t="s">
        <v>13</v>
      </c>
      <c r="J367" s="4"/>
    </row>
    <row r="368" spans="1:10" x14ac:dyDescent="0.2">
      <c r="A368">
        <f>COUNTIF($I$2:I368,'[1]Detalle Pilotos'!$G$3)</f>
        <v>0</v>
      </c>
      <c r="B368">
        <f t="shared" si="5"/>
        <v>367</v>
      </c>
      <c r="C368" s="9">
        <v>43850</v>
      </c>
      <c r="D368" s="4" t="s">
        <v>124</v>
      </c>
      <c r="E368" s="8">
        <v>130000</v>
      </c>
      <c r="F368" s="3"/>
      <c r="G368" s="7">
        <f>G367+Tabla1[[#This Row],[ingreso]]-Tabla1[[#This Row],[egreso]]</f>
        <v>3962797</v>
      </c>
      <c r="H368" s="7" t="s">
        <v>14</v>
      </c>
      <c r="I368" s="7"/>
      <c r="J368" s="4"/>
    </row>
    <row r="369" spans="1:11" x14ac:dyDescent="0.2">
      <c r="A369">
        <f>COUNTIF($I$2:I369,'[1]Detalle Pilotos'!$G$3)</f>
        <v>0</v>
      </c>
      <c r="B369">
        <f t="shared" si="5"/>
        <v>368</v>
      </c>
      <c r="C369" s="9">
        <v>43851</v>
      </c>
      <c r="D369" s="4" t="s">
        <v>129</v>
      </c>
      <c r="E369" s="8">
        <v>131100</v>
      </c>
      <c r="F369" s="3"/>
      <c r="G369" s="7">
        <f>G368+Tabla1[[#This Row],[ingreso]]-Tabla1[[#This Row],[egreso]]</f>
        <v>3831697</v>
      </c>
      <c r="H369" s="7" t="s">
        <v>14</v>
      </c>
      <c r="I369" s="7"/>
      <c r="J369" s="4"/>
    </row>
    <row r="370" spans="1:11" x14ac:dyDescent="0.2">
      <c r="A370">
        <f>COUNTIF($I$2:I370,'[1]Detalle Pilotos'!$G$3)</f>
        <v>0</v>
      </c>
      <c r="B370">
        <f t="shared" si="5"/>
        <v>369</v>
      </c>
      <c r="C370" s="9">
        <v>43859</v>
      </c>
      <c r="D370" s="4" t="s">
        <v>12</v>
      </c>
      <c r="E370" s="8">
        <v>106490</v>
      </c>
      <c r="F370" s="3"/>
      <c r="G370" s="7">
        <f>G369+Tabla1[[#This Row],[ingreso]]-Tabla1[[#This Row],[egreso]]</f>
        <v>3725207</v>
      </c>
      <c r="H370" s="7" t="s">
        <v>14</v>
      </c>
      <c r="I370" s="7" t="s">
        <v>13</v>
      </c>
      <c r="J370" s="4"/>
    </row>
    <row r="371" spans="1:11" x14ac:dyDescent="0.2">
      <c r="A371">
        <f>COUNTIF($I$2:I371,'[1]Detalle Pilotos'!$G$3)</f>
        <v>0</v>
      </c>
      <c r="B371">
        <f t="shared" si="5"/>
        <v>370</v>
      </c>
      <c r="C371" s="9">
        <v>43859</v>
      </c>
      <c r="D371" s="4" t="s">
        <v>130</v>
      </c>
      <c r="E371" s="8">
        <v>2192720</v>
      </c>
      <c r="F371" s="3"/>
      <c r="G371" s="7">
        <f>G370+Tabla1[[#This Row],[ingreso]]-Tabla1[[#This Row],[egreso]]</f>
        <v>1532487</v>
      </c>
      <c r="H371" s="7" t="s">
        <v>34</v>
      </c>
      <c r="I371" s="7"/>
      <c r="J371" s="4"/>
    </row>
    <row r="372" spans="1:11" x14ac:dyDescent="0.2">
      <c r="A372">
        <f>COUNTIF($I$2:I372,'[1]Detalle Pilotos'!$G$3)</f>
        <v>0</v>
      </c>
      <c r="B372">
        <f t="shared" si="5"/>
        <v>371</v>
      </c>
      <c r="C372" s="9">
        <v>43859</v>
      </c>
      <c r="D372" s="4" t="s">
        <v>131</v>
      </c>
      <c r="E372" s="8">
        <v>100000</v>
      </c>
      <c r="F372" s="3"/>
      <c r="G372" s="7">
        <f>G371+Tabla1[[#This Row],[ingreso]]-Tabla1[[#This Row],[egreso]]</f>
        <v>1432487</v>
      </c>
      <c r="H372" s="7" t="s">
        <v>18</v>
      </c>
      <c r="I372" s="7"/>
      <c r="J372" s="4"/>
    </row>
    <row r="373" spans="1:11" x14ac:dyDescent="0.2">
      <c r="A373">
        <f>COUNTIF($I$2:I373,'[1]Detalle Pilotos'!$G$3)</f>
        <v>0</v>
      </c>
      <c r="B373">
        <f t="shared" si="5"/>
        <v>372</v>
      </c>
      <c r="C373" s="9">
        <v>43864</v>
      </c>
      <c r="D373" s="4" t="s">
        <v>12</v>
      </c>
      <c r="E373" s="8"/>
      <c r="F373" s="3">
        <v>500000</v>
      </c>
      <c r="G373" s="7">
        <f>G372+Tabla1[[#This Row],[ingreso]]-Tabla1[[#This Row],[egreso]]</f>
        <v>1932487</v>
      </c>
      <c r="H373" s="7"/>
      <c r="I373" s="7" t="s">
        <v>13</v>
      </c>
      <c r="J373" s="4"/>
    </row>
    <row r="374" spans="1:11" x14ac:dyDescent="0.2">
      <c r="A374">
        <f>COUNTIF($I$2:I374,'[1]Detalle Pilotos'!$G$3)</f>
        <v>0</v>
      </c>
      <c r="B374">
        <f t="shared" si="5"/>
        <v>373</v>
      </c>
      <c r="C374" s="9">
        <v>43864</v>
      </c>
      <c r="D374" s="4" t="s">
        <v>53</v>
      </c>
      <c r="E374" s="8"/>
      <c r="F374" s="3">
        <v>500000</v>
      </c>
      <c r="G374" s="7">
        <f>G373+Tabla1[[#This Row],[ingreso]]-Tabla1[[#This Row],[egreso]]</f>
        <v>2432487</v>
      </c>
      <c r="H374" s="7"/>
      <c r="I374" s="4" t="s">
        <v>54</v>
      </c>
      <c r="J374" s="4"/>
    </row>
    <row r="375" spans="1:11" x14ac:dyDescent="0.2">
      <c r="A375">
        <f>COUNTIF($I$2:I375,'[1]Detalle Pilotos'!$G$3)</f>
        <v>0</v>
      </c>
      <c r="B375">
        <f t="shared" si="5"/>
        <v>374</v>
      </c>
      <c r="C375" s="9">
        <v>43871</v>
      </c>
      <c r="D375" s="4" t="s">
        <v>132</v>
      </c>
      <c r="E375" s="8">
        <v>460100</v>
      </c>
      <c r="F375" s="3"/>
      <c r="G375" s="7">
        <f>G374+Tabla1[[#This Row],[ingreso]]-Tabla1[[#This Row],[egreso]]</f>
        <v>1972387</v>
      </c>
      <c r="H375" s="7" t="s">
        <v>91</v>
      </c>
      <c r="I375" s="7"/>
      <c r="J375" s="4"/>
    </row>
    <row r="376" spans="1:11" x14ac:dyDescent="0.2">
      <c r="A376">
        <f>COUNTIF($I$2:I376,'[1]Detalle Pilotos'!$G$3)</f>
        <v>0</v>
      </c>
      <c r="B376">
        <f t="shared" si="5"/>
        <v>375</v>
      </c>
      <c r="C376" s="9">
        <v>43871</v>
      </c>
      <c r="D376" s="4" t="s">
        <v>12</v>
      </c>
      <c r="E376" s="8"/>
      <c r="F376" s="3">
        <v>600000</v>
      </c>
      <c r="G376" s="7">
        <f>G375+Tabla1[[#This Row],[ingreso]]-Tabla1[[#This Row],[egreso]]</f>
        <v>2572387</v>
      </c>
      <c r="H376" s="7"/>
      <c r="I376" s="7" t="s">
        <v>13</v>
      </c>
      <c r="J376" s="4"/>
    </row>
    <row r="377" spans="1:11" x14ac:dyDescent="0.2">
      <c r="A377">
        <f>COUNTIF($I$2:I377,'[1]Detalle Pilotos'!$G$3)</f>
        <v>0</v>
      </c>
      <c r="B377">
        <f t="shared" si="5"/>
        <v>376</v>
      </c>
      <c r="C377" s="9">
        <v>43871</v>
      </c>
      <c r="D377" s="4" t="s">
        <v>105</v>
      </c>
      <c r="E377" s="8"/>
      <c r="F377" s="3">
        <v>187900</v>
      </c>
      <c r="G377" s="7">
        <f>G376+Tabla1[[#This Row],[ingreso]]-Tabla1[[#This Row],[egreso]]</f>
        <v>2760287</v>
      </c>
      <c r="H377" s="7"/>
      <c r="I377" s="7" t="s">
        <v>106</v>
      </c>
      <c r="J377" s="4"/>
    </row>
    <row r="378" spans="1:11" x14ac:dyDescent="0.2">
      <c r="A378">
        <f>COUNTIF($I$2:I378,'[1]Detalle Pilotos'!$G$3)</f>
        <v>0</v>
      </c>
      <c r="B378">
        <f t="shared" si="5"/>
        <v>377</v>
      </c>
      <c r="C378" s="9">
        <v>43873</v>
      </c>
      <c r="D378" s="4" t="s">
        <v>12</v>
      </c>
      <c r="E378" s="8"/>
      <c r="F378" s="3">
        <v>365000</v>
      </c>
      <c r="G378" s="7">
        <f>G377+Tabla1[[#This Row],[ingreso]]-Tabla1[[#This Row],[egreso]]</f>
        <v>3125287</v>
      </c>
      <c r="H378" s="7"/>
      <c r="I378" s="7" t="s">
        <v>13</v>
      </c>
      <c r="J378" s="4"/>
    </row>
    <row r="379" spans="1:11" x14ac:dyDescent="0.2">
      <c r="A379">
        <f>COUNTIF($I$2:I379,'[1]Detalle Pilotos'!$G$3)</f>
        <v>0</v>
      </c>
      <c r="B379">
        <f t="shared" si="5"/>
        <v>378</v>
      </c>
      <c r="C379" s="9">
        <v>43878</v>
      </c>
      <c r="D379" s="4" t="s">
        <v>133</v>
      </c>
      <c r="E379" s="8">
        <v>158400</v>
      </c>
      <c r="F379" s="3"/>
      <c r="G379" s="7">
        <f>G378+Tabla1[[#This Row],[ingreso]]-Tabla1[[#This Row],[egreso]]</f>
        <v>2966887</v>
      </c>
      <c r="H379" s="7" t="s">
        <v>43</v>
      </c>
      <c r="I379" s="7"/>
      <c r="J379" s="4"/>
    </row>
    <row r="380" spans="1:11" x14ac:dyDescent="0.2">
      <c r="A380">
        <f>COUNTIF($I$2:I380,'[1]Detalle Pilotos'!$G$3)</f>
        <v>0</v>
      </c>
      <c r="B380">
        <f t="shared" si="5"/>
        <v>379</v>
      </c>
      <c r="C380" s="9">
        <v>43888</v>
      </c>
      <c r="D380" s="4" t="s">
        <v>12</v>
      </c>
      <c r="E380" s="8"/>
      <c r="F380" s="3">
        <v>220000</v>
      </c>
      <c r="G380" s="7">
        <f>G379+Tabla1[[#This Row],[ingreso]]-Tabla1[[#This Row],[egreso]]</f>
        <v>3186887</v>
      </c>
      <c r="H380" s="7"/>
      <c r="I380" s="7" t="s">
        <v>13</v>
      </c>
      <c r="J380" s="4"/>
    </row>
    <row r="381" spans="1:11" x14ac:dyDescent="0.2">
      <c r="A381">
        <f>COUNTIF($I$2:I381,'[1]Detalle Pilotos'!$G$3)</f>
        <v>0</v>
      </c>
      <c r="B381">
        <f t="shared" si="5"/>
        <v>380</v>
      </c>
      <c r="C381" s="9">
        <v>43895</v>
      </c>
      <c r="D381" s="4" t="s">
        <v>36</v>
      </c>
      <c r="E381" s="8"/>
      <c r="F381" s="3">
        <v>307780</v>
      </c>
      <c r="G381" s="7">
        <f>G380+Tabla1[[#This Row],[ingreso]]-Tabla1[[#This Row],[egreso]]</f>
        <v>3494667</v>
      </c>
      <c r="H381" s="7"/>
      <c r="I381" s="7" t="s">
        <v>37</v>
      </c>
      <c r="J381" s="4"/>
    </row>
    <row r="382" spans="1:11" x14ac:dyDescent="0.2">
      <c r="A382">
        <f>COUNTIF($I$2:I382,'[1]Detalle Pilotos'!$G$3)</f>
        <v>0</v>
      </c>
      <c r="B382">
        <f t="shared" si="5"/>
        <v>381</v>
      </c>
      <c r="C382" s="9">
        <v>43895</v>
      </c>
      <c r="D382" s="4" t="s">
        <v>134</v>
      </c>
      <c r="E382" s="8">
        <v>250000</v>
      </c>
      <c r="F382" s="3"/>
      <c r="G382" s="7">
        <f>G381+Tabla1[[#This Row],[ingreso]]-Tabla1[[#This Row],[egreso]]</f>
        <v>3244667</v>
      </c>
      <c r="H382" s="7" t="s">
        <v>43</v>
      </c>
      <c r="I382" s="7"/>
      <c r="J382" s="4"/>
    </row>
    <row r="383" spans="1:11" x14ac:dyDescent="0.2">
      <c r="A383">
        <f>COUNTIF($I$2:I383,'[1]Detalle Pilotos'!$G$3)</f>
        <v>0</v>
      </c>
      <c r="B383">
        <f t="shared" si="5"/>
        <v>382</v>
      </c>
      <c r="C383" s="9">
        <v>43896</v>
      </c>
      <c r="D383" s="4" t="s">
        <v>122</v>
      </c>
      <c r="E383" s="8"/>
      <c r="F383" s="3">
        <v>86960</v>
      </c>
      <c r="G383" s="7">
        <f>G382+Tabla1[[#This Row],[ingreso]]-Tabla1[[#This Row],[egreso]]</f>
        <v>3331627</v>
      </c>
      <c r="H383" s="7"/>
      <c r="I383" s="7" t="s">
        <v>123</v>
      </c>
      <c r="J383" s="4"/>
      <c r="K383" s="10"/>
    </row>
    <row r="384" spans="1:11" x14ac:dyDescent="0.2">
      <c r="A384">
        <f>COUNTIF($I$2:I384,'[1]Detalle Pilotos'!$G$3)</f>
        <v>0</v>
      </c>
      <c r="B384">
        <f t="shared" si="5"/>
        <v>383</v>
      </c>
      <c r="C384" s="9">
        <v>43899</v>
      </c>
      <c r="D384" s="4" t="s">
        <v>135</v>
      </c>
      <c r="E384" s="8">
        <v>152832</v>
      </c>
      <c r="F384" s="3"/>
      <c r="G384" s="7">
        <f>G383+Tabla1[[#This Row],[ingreso]]-Tabla1[[#This Row],[egreso]]</f>
        <v>3178795</v>
      </c>
      <c r="H384" s="7" t="s">
        <v>18</v>
      </c>
      <c r="I384" s="7"/>
      <c r="J384" s="4"/>
    </row>
    <row r="385" spans="1:10" x14ac:dyDescent="0.2">
      <c r="A385">
        <f>COUNTIF($I$2:I385,'[1]Detalle Pilotos'!$G$3)</f>
        <v>0</v>
      </c>
      <c r="B385">
        <f t="shared" si="5"/>
        <v>384</v>
      </c>
      <c r="C385" s="9">
        <v>43899</v>
      </c>
      <c r="D385" s="4" t="s">
        <v>47</v>
      </c>
      <c r="E385" s="8"/>
      <c r="F385" s="3">
        <v>700000</v>
      </c>
      <c r="G385" s="7">
        <f>G384+Tabla1[[#This Row],[ingreso]]-Tabla1[[#This Row],[egreso]]</f>
        <v>3878795</v>
      </c>
      <c r="H385" s="7"/>
      <c r="I385" s="7" t="s">
        <v>48</v>
      </c>
      <c r="J385" s="4"/>
    </row>
    <row r="386" spans="1:10" x14ac:dyDescent="0.2">
      <c r="A386">
        <f>COUNTIF($I$2:I386,'[1]Detalle Pilotos'!$G$3)</f>
        <v>0</v>
      </c>
      <c r="B386">
        <f t="shared" si="5"/>
        <v>385</v>
      </c>
      <c r="C386" s="9">
        <v>43899</v>
      </c>
      <c r="D386" s="4" t="s">
        <v>12</v>
      </c>
      <c r="E386" s="8"/>
      <c r="F386" s="3">
        <v>530000</v>
      </c>
      <c r="G386" s="7">
        <f>G385+Tabla1[[#This Row],[ingreso]]-Tabla1[[#This Row],[egreso]]</f>
        <v>4408795</v>
      </c>
      <c r="H386" s="7"/>
      <c r="I386" s="7" t="s">
        <v>13</v>
      </c>
      <c r="J386" s="4"/>
    </row>
    <row r="387" spans="1:10" x14ac:dyDescent="0.2">
      <c r="A387">
        <f>COUNTIF($I$2:I387,'[1]Detalle Pilotos'!$G$3)</f>
        <v>0</v>
      </c>
      <c r="B387">
        <f t="shared" si="5"/>
        <v>386</v>
      </c>
      <c r="C387" s="9">
        <v>43901</v>
      </c>
      <c r="D387" s="4" t="s">
        <v>12</v>
      </c>
      <c r="E387" s="8">
        <v>101355</v>
      </c>
      <c r="F387" s="3"/>
      <c r="G387" s="7">
        <f>G386+Tabla1[[#This Row],[ingreso]]-Tabla1[[#This Row],[egreso]]</f>
        <v>4307440</v>
      </c>
      <c r="H387" s="7" t="s">
        <v>14</v>
      </c>
      <c r="I387" s="7" t="s">
        <v>13</v>
      </c>
      <c r="J387" s="4"/>
    </row>
    <row r="388" spans="1:10" x14ac:dyDescent="0.2">
      <c r="A388">
        <f>COUNTIF($I$2:I388,'[1]Detalle Pilotos'!$G$3)</f>
        <v>0</v>
      </c>
      <c r="B388">
        <f t="shared" ref="B388:B451" si="6">IF(C388="","",1+B387)</f>
        <v>387</v>
      </c>
      <c r="C388" s="9">
        <v>43902</v>
      </c>
      <c r="D388" s="4" t="s">
        <v>136</v>
      </c>
      <c r="E388" s="8">
        <v>187717</v>
      </c>
      <c r="F388" s="3"/>
      <c r="G388" s="7">
        <f>G387+Tabla1[[#This Row],[ingreso]]-Tabla1[[#This Row],[egreso]]</f>
        <v>4119723</v>
      </c>
      <c r="H388" s="7" t="s">
        <v>18</v>
      </c>
      <c r="I388" s="7"/>
      <c r="J388" s="4"/>
    </row>
    <row r="389" spans="1:10" x14ac:dyDescent="0.2">
      <c r="A389">
        <f>COUNTIF($I$2:I389,'[1]Detalle Pilotos'!$G$3)</f>
        <v>0</v>
      </c>
      <c r="B389">
        <f t="shared" si="6"/>
        <v>388</v>
      </c>
      <c r="C389" s="9">
        <v>43908</v>
      </c>
      <c r="D389" s="4" t="s">
        <v>53</v>
      </c>
      <c r="E389" s="8"/>
      <c r="F389" s="3">
        <v>200000</v>
      </c>
      <c r="G389" s="7">
        <f>G388+Tabla1[[#This Row],[ingreso]]-Tabla1[[#This Row],[egreso]]</f>
        <v>4319723</v>
      </c>
      <c r="H389" s="7"/>
      <c r="I389" s="4" t="s">
        <v>54</v>
      </c>
      <c r="J389" s="4"/>
    </row>
    <row r="390" spans="1:10" x14ac:dyDescent="0.2">
      <c r="A390">
        <f>COUNTIF($I$2:I390,'[1]Detalle Pilotos'!$G$3)</f>
        <v>0</v>
      </c>
      <c r="B390">
        <f t="shared" si="6"/>
        <v>389</v>
      </c>
      <c r="C390" s="9">
        <v>43913</v>
      </c>
      <c r="D390" s="4" t="s">
        <v>137</v>
      </c>
      <c r="E390" s="8"/>
      <c r="F390" s="3">
        <v>113</v>
      </c>
      <c r="G390" s="7">
        <f>G389+Tabla1[[#This Row],[ingreso]]-Tabla1[[#This Row],[egreso]]</f>
        <v>4319836</v>
      </c>
      <c r="H390" s="7"/>
      <c r="I390" s="7"/>
      <c r="J390" s="4"/>
    </row>
    <row r="391" spans="1:10" x14ac:dyDescent="0.2">
      <c r="A391">
        <f>COUNTIF($I$2:I391,'[1]Detalle Pilotos'!$G$3)</f>
        <v>0</v>
      </c>
      <c r="B391">
        <f t="shared" si="6"/>
        <v>390</v>
      </c>
      <c r="C391" s="9">
        <v>43921</v>
      </c>
      <c r="D391" s="4" t="s">
        <v>138</v>
      </c>
      <c r="E391" s="8"/>
      <c r="F391" s="3">
        <v>105051</v>
      </c>
      <c r="G391" s="7">
        <f>G390+Tabla1[[#This Row],[ingreso]]-Tabla1[[#This Row],[egreso]]</f>
        <v>4424887</v>
      </c>
      <c r="H391" s="7"/>
      <c r="I391" s="7"/>
      <c r="J391" s="4"/>
    </row>
    <row r="392" spans="1:10" x14ac:dyDescent="0.2">
      <c r="A392">
        <f>COUNTIF($I$2:I392,'[1]Detalle Pilotos'!$G$3)</f>
        <v>0</v>
      </c>
      <c r="B392">
        <f t="shared" si="6"/>
        <v>391</v>
      </c>
      <c r="C392" s="9">
        <v>43922</v>
      </c>
      <c r="D392" s="4" t="s">
        <v>102</v>
      </c>
      <c r="E392" s="8"/>
      <c r="F392" s="3">
        <v>6957329</v>
      </c>
      <c r="G392" s="7">
        <f>G391+Tabla1[[#This Row],[ingreso]]-Tabla1[[#This Row],[egreso]]</f>
        <v>11382216</v>
      </c>
      <c r="H392" s="7"/>
      <c r="I392" s="7"/>
      <c r="J392" s="4"/>
    </row>
    <row r="393" spans="1:10" x14ac:dyDescent="0.2">
      <c r="A393">
        <f>COUNTIF($I$2:I393,'[1]Detalle Pilotos'!$G$3)</f>
        <v>0</v>
      </c>
      <c r="B393">
        <f t="shared" si="6"/>
        <v>392</v>
      </c>
      <c r="C393" s="9">
        <v>43922</v>
      </c>
      <c r="D393" s="4" t="s">
        <v>96</v>
      </c>
      <c r="E393" s="8">
        <v>125845</v>
      </c>
      <c r="F393" s="3"/>
      <c r="G393" s="7">
        <f>G392+Tabla1[[#This Row],[ingreso]]-Tabla1[[#This Row],[egreso]]</f>
        <v>11256371</v>
      </c>
      <c r="H393" s="7" t="s">
        <v>43</v>
      </c>
      <c r="I393" s="7"/>
      <c r="J393" s="4"/>
    </row>
    <row r="394" spans="1:10" x14ac:dyDescent="0.2">
      <c r="A394">
        <f>COUNTIF($I$2:I394,'[1]Detalle Pilotos'!$G$3)</f>
        <v>0</v>
      </c>
      <c r="B394">
        <f t="shared" si="6"/>
        <v>393</v>
      </c>
      <c r="C394" s="9">
        <v>43922</v>
      </c>
      <c r="D394" s="4" t="s">
        <v>139</v>
      </c>
      <c r="E394" s="12">
        <v>8500000</v>
      </c>
      <c r="F394" s="3"/>
      <c r="G394" s="7">
        <f>G393+Tabla1[[#This Row],[ingreso]]-Tabla1[[#This Row],[egreso]]</f>
        <v>2756371</v>
      </c>
      <c r="H394" s="7"/>
      <c r="I394" s="7"/>
      <c r="J394" s="4"/>
    </row>
    <row r="395" spans="1:10" x14ac:dyDescent="0.2">
      <c r="A395">
        <f>COUNTIF($I$2:I395,'[1]Detalle Pilotos'!$G$3)</f>
        <v>0</v>
      </c>
      <c r="B395">
        <f t="shared" si="6"/>
        <v>394</v>
      </c>
      <c r="C395" s="9">
        <v>43935</v>
      </c>
      <c r="D395" s="4" t="s">
        <v>140</v>
      </c>
      <c r="E395" s="8">
        <v>1120757</v>
      </c>
      <c r="F395" s="3"/>
      <c r="G395" s="7">
        <f>G394+Tabla1[[#This Row],[ingreso]]-Tabla1[[#This Row],[egreso]]</f>
        <v>1635614</v>
      </c>
      <c r="H395" s="7" t="s">
        <v>20</v>
      </c>
      <c r="I395" s="7"/>
      <c r="J395" s="4"/>
    </row>
    <row r="396" spans="1:10" x14ac:dyDescent="0.2">
      <c r="A396">
        <f>COUNTIF($I$2:I396,'[1]Detalle Pilotos'!$G$3)</f>
        <v>0</v>
      </c>
      <c r="B396">
        <f t="shared" si="6"/>
        <v>395</v>
      </c>
      <c r="C396" s="9">
        <v>43944</v>
      </c>
      <c r="D396" s="4" t="s">
        <v>137</v>
      </c>
      <c r="E396" s="8"/>
      <c r="F396" s="3">
        <v>113</v>
      </c>
      <c r="G396" s="7">
        <f>G395+Tabla1[[#This Row],[ingreso]]-Tabla1[[#This Row],[egreso]]</f>
        <v>1635727</v>
      </c>
      <c r="H396" s="7"/>
      <c r="I396" s="7"/>
      <c r="J396" s="4"/>
    </row>
    <row r="397" spans="1:10" x14ac:dyDescent="0.2">
      <c r="A397">
        <f>COUNTIF($I$2:I397,'[1]Detalle Pilotos'!$G$3)</f>
        <v>0</v>
      </c>
      <c r="B397">
        <f t="shared" si="6"/>
        <v>396</v>
      </c>
      <c r="C397" s="9">
        <v>43952</v>
      </c>
      <c r="D397" s="4" t="s">
        <v>141</v>
      </c>
      <c r="E397" s="8">
        <v>126252</v>
      </c>
      <c r="F397" s="3"/>
      <c r="G397" s="7">
        <f>G396+Tabla1[[#This Row],[ingreso]]-Tabla1[[#This Row],[egreso]]</f>
        <v>1509475</v>
      </c>
      <c r="H397" s="7" t="s">
        <v>43</v>
      </c>
      <c r="I397" s="7"/>
      <c r="J397" s="4"/>
    </row>
    <row r="398" spans="1:10" x14ac:dyDescent="0.2">
      <c r="A398">
        <f>COUNTIF($I$2:I398,'[1]Detalle Pilotos'!$G$3)</f>
        <v>0</v>
      </c>
      <c r="B398">
        <f t="shared" si="6"/>
        <v>397</v>
      </c>
      <c r="C398" s="9">
        <v>43955</v>
      </c>
      <c r="D398" s="4" t="s">
        <v>114</v>
      </c>
      <c r="E398" s="8">
        <v>71400</v>
      </c>
      <c r="F398" s="3"/>
      <c r="G398" s="7">
        <f>G397+Tabla1[[#This Row],[ingreso]]-Tabla1[[#This Row],[egreso]]</f>
        <v>1438075</v>
      </c>
      <c r="H398" s="7" t="s">
        <v>34</v>
      </c>
      <c r="I398" s="7"/>
      <c r="J398" s="4"/>
    </row>
    <row r="399" spans="1:10" x14ac:dyDescent="0.2">
      <c r="A399">
        <f>COUNTIF($I$2:I399,'[1]Detalle Pilotos'!$G$3)</f>
        <v>0</v>
      </c>
      <c r="B399">
        <f t="shared" si="6"/>
        <v>398</v>
      </c>
      <c r="C399" s="9">
        <v>43956</v>
      </c>
      <c r="D399" s="4" t="s">
        <v>36</v>
      </c>
      <c r="E399" s="8"/>
      <c r="F399" s="3">
        <v>118400</v>
      </c>
      <c r="G399" s="7">
        <f>G398+Tabla1[[#This Row],[ingreso]]-Tabla1[[#This Row],[egreso]]</f>
        <v>1556475</v>
      </c>
      <c r="H399" s="7"/>
      <c r="I399" s="7" t="s">
        <v>37</v>
      </c>
      <c r="J399" s="4"/>
    </row>
    <row r="400" spans="1:10" x14ac:dyDescent="0.2">
      <c r="A400">
        <f>COUNTIF($I$2:I400,'[1]Detalle Pilotos'!$G$3)</f>
        <v>0</v>
      </c>
      <c r="B400">
        <f t="shared" si="6"/>
        <v>399</v>
      </c>
      <c r="C400" s="9">
        <v>43957</v>
      </c>
      <c r="D400" s="4" t="s">
        <v>142</v>
      </c>
      <c r="E400" s="8"/>
      <c r="F400" s="3">
        <v>8508727</v>
      </c>
      <c r="G400" s="7">
        <f>G399+Tabla1[[#This Row],[ingreso]]-Tabla1[[#This Row],[egreso]]</f>
        <v>10065202</v>
      </c>
      <c r="H400" s="7"/>
      <c r="I400" s="7"/>
      <c r="J400" s="4"/>
    </row>
    <row r="401" spans="1:10" x14ac:dyDescent="0.2">
      <c r="A401">
        <f>COUNTIF($I$2:I401,'[1]Detalle Pilotos'!$G$3)</f>
        <v>0</v>
      </c>
      <c r="B401">
        <f t="shared" si="6"/>
        <v>400</v>
      </c>
      <c r="C401" s="9">
        <v>43957</v>
      </c>
      <c r="D401" s="4" t="s">
        <v>139</v>
      </c>
      <c r="E401" s="12">
        <v>5000000</v>
      </c>
      <c r="F401" s="3"/>
      <c r="G401" s="7">
        <f>G400+Tabla1[[#This Row],[ingreso]]-Tabla1[[#This Row],[egreso]]</f>
        <v>5065202</v>
      </c>
      <c r="H401" s="7"/>
      <c r="I401" s="7"/>
      <c r="J401" s="4"/>
    </row>
    <row r="402" spans="1:10" x14ac:dyDescent="0.2">
      <c r="A402">
        <f>COUNTIF($I$2:I402,'[1]Detalle Pilotos'!$G$3)</f>
        <v>0</v>
      </c>
      <c r="B402">
        <f t="shared" si="6"/>
        <v>401</v>
      </c>
      <c r="C402" s="9">
        <v>43957</v>
      </c>
      <c r="D402" s="4" t="s">
        <v>143</v>
      </c>
      <c r="E402" s="8">
        <f>F396+F390+F391</f>
        <v>105277</v>
      </c>
      <c r="F402" s="3"/>
      <c r="G402" s="7">
        <f>G401+Tabla1[[#This Row],[ingreso]]-Tabla1[[#This Row],[egreso]]</f>
        <v>4959925</v>
      </c>
      <c r="H402" s="7"/>
      <c r="I402" s="7"/>
      <c r="J402" s="4"/>
    </row>
    <row r="403" spans="1:10" x14ac:dyDescent="0.2">
      <c r="A403">
        <f>COUNTIF($I$2:I403,'[1]Detalle Pilotos'!$G$3)</f>
        <v>0</v>
      </c>
      <c r="B403">
        <f t="shared" si="6"/>
        <v>402</v>
      </c>
      <c r="C403" s="9">
        <v>43959</v>
      </c>
      <c r="D403" s="4" t="s">
        <v>144</v>
      </c>
      <c r="E403" s="8">
        <v>72750</v>
      </c>
      <c r="F403" s="3"/>
      <c r="G403" s="7">
        <f>G402+Tabla1[[#This Row],[ingreso]]-Tabla1[[#This Row],[egreso]]</f>
        <v>4887175</v>
      </c>
      <c r="H403" s="7" t="s">
        <v>14</v>
      </c>
      <c r="I403" s="7"/>
      <c r="J403" s="4"/>
    </row>
    <row r="404" spans="1:10" x14ac:dyDescent="0.2">
      <c r="A404">
        <f>COUNTIF($I$2:I404,'[1]Detalle Pilotos'!$G$3)</f>
        <v>0</v>
      </c>
      <c r="B404">
        <f t="shared" si="6"/>
        <v>403</v>
      </c>
      <c r="C404" s="9">
        <v>43959</v>
      </c>
      <c r="D404" s="4" t="s">
        <v>145</v>
      </c>
      <c r="E404" s="8">
        <v>76500</v>
      </c>
      <c r="F404" s="3"/>
      <c r="G404" s="7">
        <f>G403+Tabla1[[#This Row],[ingreso]]-Tabla1[[#This Row],[egreso]]</f>
        <v>4810675</v>
      </c>
      <c r="H404" s="7" t="s">
        <v>34</v>
      </c>
      <c r="I404" s="7"/>
      <c r="J404" s="4"/>
    </row>
    <row r="405" spans="1:10" x14ac:dyDescent="0.2">
      <c r="A405">
        <f>COUNTIF($I$2:I405,'[1]Detalle Pilotos'!$G$3)</f>
        <v>0</v>
      </c>
      <c r="B405">
        <f t="shared" si="6"/>
        <v>404</v>
      </c>
      <c r="C405" s="9">
        <v>43959</v>
      </c>
      <c r="D405" s="4" t="s">
        <v>146</v>
      </c>
      <c r="E405" s="8">
        <v>1128685</v>
      </c>
      <c r="F405" s="3"/>
      <c r="G405" s="7">
        <f>G404+Tabla1[[#This Row],[ingreso]]-Tabla1[[#This Row],[egreso]]</f>
        <v>3681990</v>
      </c>
      <c r="H405" s="7" t="s">
        <v>20</v>
      </c>
      <c r="I405" s="7"/>
      <c r="J405" s="4"/>
    </row>
    <row r="406" spans="1:10" x14ac:dyDescent="0.2">
      <c r="A406">
        <f>COUNTIF($I$2:I406,'[1]Detalle Pilotos'!$G$3)</f>
        <v>0</v>
      </c>
      <c r="B406">
        <f t="shared" si="6"/>
        <v>405</v>
      </c>
      <c r="C406" s="9">
        <v>43959</v>
      </c>
      <c r="D406" s="4" t="s">
        <v>9</v>
      </c>
      <c r="E406" s="8"/>
      <c r="F406" s="3">
        <v>88000</v>
      </c>
      <c r="G406" s="7">
        <f>G405+Tabla1[[#This Row],[ingreso]]-Tabla1[[#This Row],[egreso]]</f>
        <v>3769990</v>
      </c>
      <c r="H406" s="7"/>
      <c r="I406" s="7" t="s">
        <v>10</v>
      </c>
      <c r="J406" s="4"/>
    </row>
    <row r="407" spans="1:10" x14ac:dyDescent="0.2">
      <c r="A407">
        <f>COUNTIF($I$2:I407,'[1]Detalle Pilotos'!$G$3)</f>
        <v>0</v>
      </c>
      <c r="B407">
        <f t="shared" si="6"/>
        <v>406</v>
      </c>
      <c r="C407" s="9">
        <v>43963</v>
      </c>
      <c r="D407" s="4" t="s">
        <v>147</v>
      </c>
      <c r="E407" s="8">
        <v>77350</v>
      </c>
      <c r="F407" s="3"/>
      <c r="G407" s="7">
        <f>G406+Tabla1[[#This Row],[ingreso]]-Tabla1[[#This Row],[egreso]]</f>
        <v>3692640</v>
      </c>
      <c r="H407" s="7" t="s">
        <v>14</v>
      </c>
      <c r="I407" s="7"/>
      <c r="J407" s="4"/>
    </row>
    <row r="408" spans="1:10" x14ac:dyDescent="0.2">
      <c r="A408">
        <f>COUNTIF($I$2:I408,'[1]Detalle Pilotos'!$G$3)</f>
        <v>0</v>
      </c>
      <c r="B408">
        <f t="shared" si="6"/>
        <v>407</v>
      </c>
      <c r="C408" s="9">
        <v>43963</v>
      </c>
      <c r="D408" s="4" t="s">
        <v>148</v>
      </c>
      <c r="E408" s="8">
        <v>25000</v>
      </c>
      <c r="F408" s="3"/>
      <c r="G408" s="7">
        <f>G407+Tabla1[[#This Row],[ingreso]]-Tabla1[[#This Row],[egreso]]</f>
        <v>3667640</v>
      </c>
      <c r="H408" s="7" t="s">
        <v>34</v>
      </c>
      <c r="I408" s="7"/>
      <c r="J408" s="4"/>
    </row>
    <row r="409" spans="1:10" x14ac:dyDescent="0.2">
      <c r="A409">
        <f>COUNTIF($I$2:I409,'[1]Detalle Pilotos'!$G$3)</f>
        <v>0</v>
      </c>
      <c r="B409">
        <f t="shared" si="6"/>
        <v>408</v>
      </c>
      <c r="C409" s="9">
        <v>43974</v>
      </c>
      <c r="D409" s="4" t="s">
        <v>15</v>
      </c>
      <c r="E409" s="8"/>
      <c r="F409" s="3">
        <v>777000</v>
      </c>
      <c r="G409" s="7">
        <f>IF(Tabla1[[#This Row],[Fecha]]="","",G408+Tabla1[[#This Row],[ingreso]]-Tabla1[[#This Row],[egreso]])</f>
        <v>4444640</v>
      </c>
      <c r="H409" s="7"/>
      <c r="I409" s="7" t="s">
        <v>16</v>
      </c>
      <c r="J409" s="4"/>
    </row>
    <row r="410" spans="1:10" x14ac:dyDescent="0.2">
      <c r="A410">
        <f>COUNTIF($I$2:I410,'[1]Detalle Pilotos'!$G$3)</f>
        <v>0</v>
      </c>
      <c r="B410">
        <f t="shared" si="6"/>
        <v>409</v>
      </c>
      <c r="C410" s="9">
        <v>43985</v>
      </c>
      <c r="D410" s="4" t="s">
        <v>149</v>
      </c>
      <c r="E410" s="8">
        <v>126642</v>
      </c>
      <c r="F410" s="3"/>
      <c r="G410" s="7">
        <f>IF(Tabla1[[#This Row],[Fecha]]="","",G409+Tabla1[[#This Row],[ingreso]]-Tabla1[[#This Row],[egreso]])</f>
        <v>4317998</v>
      </c>
      <c r="H410" s="7" t="s">
        <v>43</v>
      </c>
      <c r="I410" s="7"/>
      <c r="J410" s="4"/>
    </row>
    <row r="411" spans="1:10" x14ac:dyDescent="0.2">
      <c r="A411">
        <f>COUNTIF($I$2:I411,'[1]Detalle Pilotos'!$G$3)</f>
        <v>0</v>
      </c>
      <c r="B411">
        <f t="shared" si="6"/>
        <v>410</v>
      </c>
      <c r="C411" s="9">
        <v>43991</v>
      </c>
      <c r="D411" s="4" t="s">
        <v>142</v>
      </c>
      <c r="E411" s="8"/>
      <c r="F411" s="3">
        <v>5002750</v>
      </c>
      <c r="G411" s="7">
        <f>IF(Tabla1[[#This Row],[Fecha]]="","",G410+Tabla1[[#This Row],[ingreso]]-Tabla1[[#This Row],[egreso]])</f>
        <v>9320748</v>
      </c>
      <c r="H411" s="7"/>
      <c r="I411" s="7"/>
      <c r="J411" s="4"/>
    </row>
    <row r="412" spans="1:10" x14ac:dyDescent="0.2">
      <c r="A412">
        <f>COUNTIF($I$2:I412,'[1]Detalle Pilotos'!$G$3)</f>
        <v>0</v>
      </c>
      <c r="B412">
        <f t="shared" si="6"/>
        <v>411</v>
      </c>
      <c r="C412" s="9">
        <v>44012</v>
      </c>
      <c r="D412" s="4" t="s">
        <v>150</v>
      </c>
      <c r="E412" s="8">
        <v>126551</v>
      </c>
      <c r="F412" s="3"/>
      <c r="G412" s="7">
        <f>IF(Tabla1[[#This Row],[Fecha]]="","",G411+Tabla1[[#This Row],[ingreso]]-Tabla1[[#This Row],[egreso]])</f>
        <v>9194197</v>
      </c>
      <c r="H412" s="7" t="s">
        <v>43</v>
      </c>
      <c r="I412" s="7"/>
      <c r="J412" s="4"/>
    </row>
    <row r="413" spans="1:10" x14ac:dyDescent="0.2">
      <c r="A413">
        <f>COUNTIF($I$2:I413,'[1]Detalle Pilotos'!$G$3)</f>
        <v>0</v>
      </c>
      <c r="B413">
        <f t="shared" si="6"/>
        <v>412</v>
      </c>
      <c r="C413" s="9">
        <v>44019</v>
      </c>
      <c r="D413" s="4" t="s">
        <v>47</v>
      </c>
      <c r="E413" s="8"/>
      <c r="F413" s="3">
        <v>100000</v>
      </c>
      <c r="G413" s="7">
        <f>IF(Tabla1[[#This Row],[Fecha]]="","",G412+Tabla1[[#This Row],[ingreso]]-Tabla1[[#This Row],[egreso]])</f>
        <v>9294197</v>
      </c>
      <c r="H413" s="7"/>
      <c r="I413" s="7" t="s">
        <v>48</v>
      </c>
      <c r="J413" s="4"/>
    </row>
    <row r="414" spans="1:10" x14ac:dyDescent="0.2">
      <c r="A414">
        <f>COUNTIF($I$2:I414,'[1]Detalle Pilotos'!$G$3)</f>
        <v>0</v>
      </c>
      <c r="B414">
        <f t="shared" si="6"/>
        <v>413</v>
      </c>
      <c r="C414" s="9">
        <v>44043</v>
      </c>
      <c r="D414" s="4" t="s">
        <v>151</v>
      </c>
      <c r="E414" s="8">
        <v>1500</v>
      </c>
      <c r="F414" s="3"/>
      <c r="G414" s="7">
        <f>IF(Tabla1[[#This Row],[Fecha]]="","",G413+Tabla1[[#This Row],[ingreso]]-Tabla1[[#This Row],[egreso]])</f>
        <v>9292697</v>
      </c>
      <c r="H414" s="7" t="s">
        <v>18</v>
      </c>
      <c r="I414" s="7"/>
      <c r="J414" s="4"/>
    </row>
    <row r="415" spans="1:10" x14ac:dyDescent="0.2">
      <c r="A415">
        <f>COUNTIF($I$2:I415,'[1]Detalle Pilotos'!$G$3)</f>
        <v>0</v>
      </c>
      <c r="B415">
        <f t="shared" si="6"/>
        <v>414</v>
      </c>
      <c r="C415" s="9">
        <v>44044</v>
      </c>
      <c r="D415" s="4" t="s">
        <v>152</v>
      </c>
      <c r="E415" s="8">
        <f>28666.51*(8.82/2)</f>
        <v>126419.3091</v>
      </c>
      <c r="F415" s="3"/>
      <c r="G415" s="7">
        <f>IF(Tabla1[[#This Row],[Fecha]]="","",G414+Tabla1[[#This Row],[ingreso]]-Tabla1[[#This Row],[egreso]])</f>
        <v>9166277.6908999998</v>
      </c>
      <c r="H415" s="7" t="s">
        <v>43</v>
      </c>
      <c r="I415" s="7"/>
      <c r="J415" s="4"/>
    </row>
    <row r="416" spans="1:10" x14ac:dyDescent="0.2">
      <c r="A416">
        <f>COUNTIF($I$2:I416,'[1]Detalle Pilotos'!$G$3)</f>
        <v>0</v>
      </c>
      <c r="B416">
        <f t="shared" si="6"/>
        <v>415</v>
      </c>
      <c r="C416" s="9">
        <v>44050</v>
      </c>
      <c r="D416" s="4" t="s">
        <v>153</v>
      </c>
      <c r="E416" s="8">
        <v>1031861</v>
      </c>
      <c r="F416" s="3"/>
      <c r="G416" s="7">
        <f>IF(Tabla1[[#This Row],[Fecha]]="","",G415+Tabla1[[#This Row],[ingreso]]-Tabla1[[#This Row],[egreso]])</f>
        <v>8134416.6908999998</v>
      </c>
      <c r="H416" s="7" t="s">
        <v>20</v>
      </c>
      <c r="I416" s="7"/>
      <c r="J416" s="4"/>
    </row>
    <row r="417" spans="1:10" x14ac:dyDescent="0.2">
      <c r="A417">
        <f>COUNTIF($I$2:I417,'[1]Detalle Pilotos'!$G$3)</f>
        <v>0</v>
      </c>
      <c r="B417">
        <f t="shared" si="6"/>
        <v>416</v>
      </c>
      <c r="C417" s="9">
        <v>44063</v>
      </c>
      <c r="D417" s="4" t="s">
        <v>154</v>
      </c>
      <c r="E417" s="8">
        <v>252936</v>
      </c>
      <c r="F417" s="3"/>
      <c r="G417" s="7">
        <f>IF(Tabla1[[#This Row],[Fecha]]="","",G416+Tabla1[[#This Row],[ingreso]]-Tabla1[[#This Row],[egreso]])</f>
        <v>7881480.6908999998</v>
      </c>
      <c r="H417" s="7" t="s">
        <v>43</v>
      </c>
      <c r="I417" s="7"/>
      <c r="J417" s="4"/>
    </row>
    <row r="418" spans="1:10" x14ac:dyDescent="0.2">
      <c r="A418">
        <f>COUNTIF($I$2:I418,'[1]Detalle Pilotos'!$G$3)</f>
        <v>0</v>
      </c>
      <c r="B418">
        <f t="shared" si="6"/>
        <v>417</v>
      </c>
      <c r="C418" s="9">
        <v>44074</v>
      </c>
      <c r="D418" s="4" t="s">
        <v>47</v>
      </c>
      <c r="E418" s="8"/>
      <c r="F418" s="3">
        <v>600000</v>
      </c>
      <c r="G418" s="7">
        <f>IF(Tabla1[[#This Row],[Fecha]]="","",G417+Tabla1[[#This Row],[ingreso]]-Tabla1[[#This Row],[egreso]])</f>
        <v>8481480.6908999998</v>
      </c>
      <c r="H418" s="7"/>
      <c r="I418" s="7" t="s">
        <v>48</v>
      </c>
      <c r="J418" s="4"/>
    </row>
    <row r="419" spans="1:10" x14ac:dyDescent="0.2">
      <c r="A419">
        <f>COUNTIF($I$2:I419,'[1]Detalle Pilotos'!$G$3)</f>
        <v>0</v>
      </c>
      <c r="B419">
        <f t="shared" si="6"/>
        <v>418</v>
      </c>
      <c r="C419" s="9">
        <v>44083</v>
      </c>
      <c r="D419" s="4" t="s">
        <v>155</v>
      </c>
      <c r="E419" s="8"/>
      <c r="F419" s="3">
        <v>86000</v>
      </c>
      <c r="G419" s="7">
        <f>IF(Tabla1[[#This Row],[Fecha]]="","",G418+Tabla1[[#This Row],[ingreso]]-Tabla1[[#This Row],[egreso]])</f>
        <v>8567480.6908999998</v>
      </c>
      <c r="H419" s="7"/>
      <c r="I419" s="7" t="s">
        <v>156</v>
      </c>
      <c r="J419" s="4"/>
    </row>
    <row r="420" spans="1:10" x14ac:dyDescent="0.2">
      <c r="A420">
        <f>COUNTIF($I$2:I420,'[1]Detalle Pilotos'!$G$3)</f>
        <v>0</v>
      </c>
      <c r="B420">
        <f t="shared" si="6"/>
        <v>419</v>
      </c>
      <c r="C420" s="9">
        <v>44091</v>
      </c>
      <c r="D420" s="4" t="s">
        <v>157</v>
      </c>
      <c r="E420" s="8"/>
      <c r="F420" s="3">
        <v>500000</v>
      </c>
      <c r="G420" s="7">
        <f>IF(Tabla1[[#This Row],[Fecha]]="","",G419+Tabla1[[#This Row],[ingreso]]-Tabla1[[#This Row],[egreso]])</f>
        <v>9067480.6908999998</v>
      </c>
      <c r="H420" s="7"/>
      <c r="I420" s="7" t="s">
        <v>158</v>
      </c>
      <c r="J420" s="4"/>
    </row>
    <row r="421" spans="1:10" x14ac:dyDescent="0.2">
      <c r="A421">
        <f>COUNTIF($I$2:I421,'[1]Detalle Pilotos'!$G$3)</f>
        <v>0</v>
      </c>
      <c r="B421">
        <f t="shared" si="6"/>
        <v>420</v>
      </c>
      <c r="C421" s="9">
        <v>44091</v>
      </c>
      <c r="D421" s="4" t="s">
        <v>53</v>
      </c>
      <c r="E421" s="8"/>
      <c r="F421" s="3">
        <v>250000</v>
      </c>
      <c r="G421" s="7">
        <f>IF(Tabla1[[#This Row],[Fecha]]="","",G420+Tabla1[[#This Row],[ingreso]]-Tabla1[[#This Row],[egreso]])</f>
        <v>9317480.6908999998</v>
      </c>
      <c r="H421" s="7"/>
      <c r="I421" s="7" t="s">
        <v>54</v>
      </c>
      <c r="J421" s="4"/>
    </row>
    <row r="422" spans="1:10" x14ac:dyDescent="0.2">
      <c r="A422">
        <f>COUNTIF($I$2:I422,'[1]Detalle Pilotos'!$G$3)</f>
        <v>0</v>
      </c>
      <c r="B422">
        <f t="shared" si="6"/>
        <v>421</v>
      </c>
      <c r="C422" s="9">
        <v>44093</v>
      </c>
      <c r="D422" s="4" t="s">
        <v>157</v>
      </c>
      <c r="E422" s="8"/>
      <c r="F422" s="3">
        <v>9510</v>
      </c>
      <c r="G422" s="7">
        <f>IF(Tabla1[[#This Row],[Fecha]]="","",G421+Tabla1[[#This Row],[ingreso]]-Tabla1[[#This Row],[egreso]])</f>
        <v>9326990.6908999998</v>
      </c>
      <c r="H422" s="7"/>
      <c r="I422" s="7" t="s">
        <v>158</v>
      </c>
      <c r="J422" s="4"/>
    </row>
    <row r="423" spans="1:10" x14ac:dyDescent="0.2">
      <c r="A423">
        <f>COUNTIF($I$2:I423,'[1]Detalle Pilotos'!$G$3)</f>
        <v>0</v>
      </c>
      <c r="B423">
        <f t="shared" si="6"/>
        <v>422</v>
      </c>
      <c r="C423" s="9">
        <v>44093</v>
      </c>
      <c r="D423" s="4" t="s">
        <v>53</v>
      </c>
      <c r="E423" s="8"/>
      <c r="F423" s="3">
        <v>300000</v>
      </c>
      <c r="G423" s="7">
        <f>IF(Tabla1[[#This Row],[Fecha]]="","",G422+Tabla1[[#This Row],[ingreso]]-Tabla1[[#This Row],[egreso]])</f>
        <v>9626990.6908999998</v>
      </c>
      <c r="H423" s="7"/>
      <c r="I423" s="7" t="s">
        <v>54</v>
      </c>
      <c r="J423" s="4"/>
    </row>
    <row r="424" spans="1:10" x14ac:dyDescent="0.2">
      <c r="A424">
        <f>COUNTIF($I$2:I424,'[1]Detalle Pilotos'!$G$3)</f>
        <v>0</v>
      </c>
      <c r="B424">
        <f t="shared" si="6"/>
        <v>423</v>
      </c>
      <c r="C424" s="9">
        <v>44093</v>
      </c>
      <c r="D424" s="4" t="s">
        <v>159</v>
      </c>
      <c r="E424" s="8"/>
      <c r="F424" s="3">
        <v>91252</v>
      </c>
      <c r="G424" s="7">
        <f>IF(Tabla1[[#This Row],[Fecha]]="","",G423+Tabla1[[#This Row],[ingreso]]-Tabla1[[#This Row],[egreso]])</f>
        <v>9718242.6908999998</v>
      </c>
      <c r="H424" s="7"/>
      <c r="I424" s="7" t="s">
        <v>54</v>
      </c>
      <c r="J424" s="4"/>
    </row>
    <row r="425" spans="1:10" x14ac:dyDescent="0.2">
      <c r="A425">
        <f>COUNTIF($I$2:I425,'[1]Detalle Pilotos'!$G$3)</f>
        <v>0</v>
      </c>
      <c r="B425">
        <f t="shared" si="6"/>
        <v>424</v>
      </c>
      <c r="C425" s="9">
        <v>44098</v>
      </c>
      <c r="D425" s="4" t="s">
        <v>53</v>
      </c>
      <c r="E425" s="8"/>
      <c r="F425" s="3">
        <v>430000</v>
      </c>
      <c r="G425" s="7">
        <f>IF(Tabla1[[#This Row],[Fecha]]="","",G424+Tabla1[[#This Row],[ingreso]]-Tabla1[[#This Row],[egreso]])</f>
        <v>10148242.6909</v>
      </c>
      <c r="H425" s="7"/>
      <c r="I425" s="7" t="s">
        <v>54</v>
      </c>
      <c r="J425" s="4"/>
    </row>
    <row r="426" spans="1:10" x14ac:dyDescent="0.2">
      <c r="A426">
        <f>COUNTIF($I$2:I426,'[1]Detalle Pilotos'!$G$3)</f>
        <v>0</v>
      </c>
      <c r="B426">
        <f t="shared" si="6"/>
        <v>425</v>
      </c>
      <c r="C426" s="9">
        <v>44104</v>
      </c>
      <c r="D426" s="4" t="s">
        <v>53</v>
      </c>
      <c r="E426" s="8"/>
      <c r="F426" s="3">
        <v>200000</v>
      </c>
      <c r="G426" s="7">
        <f>IF(Tabla1[[#This Row],[Fecha]]="","",G425+Tabla1[[#This Row],[ingreso]]-Tabla1[[#This Row],[egreso]])</f>
        <v>10348242.6909</v>
      </c>
      <c r="H426" s="7"/>
      <c r="I426" s="7" t="s">
        <v>54</v>
      </c>
      <c r="J426" s="4"/>
    </row>
    <row r="427" spans="1:10" x14ac:dyDescent="0.2">
      <c r="A427">
        <f>COUNTIF($I$2:I427,'[1]Detalle Pilotos'!$G$3)</f>
        <v>0</v>
      </c>
      <c r="B427">
        <f t="shared" si="6"/>
        <v>426</v>
      </c>
      <c r="C427" s="9">
        <v>44105</v>
      </c>
      <c r="D427" s="4" t="s">
        <v>160</v>
      </c>
      <c r="E427" s="8">
        <v>253212</v>
      </c>
      <c r="F427" s="3"/>
      <c r="G427" s="7">
        <f>IF(Tabla1[[#This Row],[Fecha]]="","",G426+Tabla1[[#This Row],[ingreso]]-Tabla1[[#This Row],[egreso]])</f>
        <v>10095030.6909</v>
      </c>
      <c r="H427" s="7" t="s">
        <v>43</v>
      </c>
      <c r="I427" s="7"/>
      <c r="J427" s="4"/>
    </row>
    <row r="428" spans="1:10" x14ac:dyDescent="0.2">
      <c r="A428">
        <f>COUNTIF($I$2:I428,'[1]Detalle Pilotos'!$G$3)</f>
        <v>0</v>
      </c>
      <c r="B428">
        <f t="shared" si="6"/>
        <v>427</v>
      </c>
      <c r="C428" s="9">
        <v>44112</v>
      </c>
      <c r="D428" s="4" t="s">
        <v>161</v>
      </c>
      <c r="E428" s="8">
        <v>700000</v>
      </c>
      <c r="F428" s="3"/>
      <c r="G428" s="7">
        <f>IF(Tabla1[[#This Row],[Fecha]]="","",G427+Tabla1[[#This Row],[ingreso]]-Tabla1[[#This Row],[egreso]])</f>
        <v>9395030.6908999998</v>
      </c>
      <c r="H428" s="7" t="s">
        <v>34</v>
      </c>
      <c r="I428" s="7"/>
      <c r="J428" s="4"/>
    </row>
    <row r="429" spans="1:10" x14ac:dyDescent="0.2">
      <c r="A429">
        <f>COUNTIF($I$2:I429,'[1]Detalle Pilotos'!$G$3)</f>
        <v>0</v>
      </c>
      <c r="B429">
        <f t="shared" si="6"/>
        <v>428</v>
      </c>
      <c r="C429" s="9">
        <v>44117</v>
      </c>
      <c r="D429" s="4" t="s">
        <v>162</v>
      </c>
      <c r="E429" s="8"/>
      <c r="F429" s="3">
        <v>84000</v>
      </c>
      <c r="G429" s="7">
        <f>IF(Tabla1[[#This Row],[Fecha]]="","",G428+Tabla1[[#This Row],[ingreso]]-Tabla1[[#This Row],[egreso]])</f>
        <v>9479030.6908999998</v>
      </c>
      <c r="H429" s="7"/>
      <c r="I429" s="7" t="s">
        <v>163</v>
      </c>
      <c r="J429" s="4"/>
    </row>
    <row r="430" spans="1:10" x14ac:dyDescent="0.2">
      <c r="A430">
        <f>COUNTIF($I$2:I430,'[1]Detalle Pilotos'!$G$3)</f>
        <v>0</v>
      </c>
      <c r="B430">
        <f t="shared" si="6"/>
        <v>429</v>
      </c>
      <c r="C430" s="9">
        <v>44106</v>
      </c>
      <c r="D430" s="4" t="s">
        <v>155</v>
      </c>
      <c r="E430" s="8"/>
      <c r="F430" s="3">
        <v>156000</v>
      </c>
      <c r="G430" s="7">
        <f>IF(Tabla1[[#This Row],[Fecha]]="","",G429+Tabla1[[#This Row],[ingreso]]-Tabla1[[#This Row],[egreso]])</f>
        <v>9635030.6908999998</v>
      </c>
      <c r="H430" s="7"/>
      <c r="I430" s="7" t="s">
        <v>156</v>
      </c>
      <c r="J430" s="4"/>
    </row>
    <row r="431" spans="1:10" x14ac:dyDescent="0.2">
      <c r="A431">
        <f>COUNTIF($I$2:I431,'[1]Detalle Pilotos'!$G$3)</f>
        <v>0</v>
      </c>
      <c r="B431">
        <f t="shared" si="6"/>
        <v>430</v>
      </c>
      <c r="C431" s="9">
        <v>44120</v>
      </c>
      <c r="D431" s="4" t="s">
        <v>164</v>
      </c>
      <c r="E431" s="8"/>
      <c r="F431" s="3">
        <v>100000</v>
      </c>
      <c r="G431" s="7">
        <f>IF(Tabla1[[#This Row],[Fecha]]="","",G430+Tabla1[[#This Row],[ingreso]]-Tabla1[[#This Row],[egreso]])</f>
        <v>9735030.6908999998</v>
      </c>
      <c r="H431" s="7"/>
      <c r="I431" s="7" t="s">
        <v>165</v>
      </c>
      <c r="J431" s="4"/>
    </row>
    <row r="432" spans="1:10" x14ac:dyDescent="0.2">
      <c r="A432">
        <f>COUNTIF($I$2:I432,'[1]Detalle Pilotos'!$G$3)</f>
        <v>0</v>
      </c>
      <c r="B432">
        <f t="shared" si="6"/>
        <v>431</v>
      </c>
      <c r="C432" s="9">
        <v>44121</v>
      </c>
      <c r="D432" s="4" t="s">
        <v>164</v>
      </c>
      <c r="E432" s="8"/>
      <c r="F432" s="3">
        <v>56000</v>
      </c>
      <c r="G432" s="7">
        <f>IF(Tabla1[[#This Row],[Fecha]]="","",G431+Tabla1[[#This Row],[ingreso]]-Tabla1[[#This Row],[egreso]])</f>
        <v>9791030.6908999998</v>
      </c>
      <c r="H432" s="7"/>
      <c r="I432" s="7" t="s">
        <v>165</v>
      </c>
      <c r="J432" s="4"/>
    </row>
    <row r="433" spans="1:10" x14ac:dyDescent="0.2">
      <c r="A433">
        <f>COUNTIF($I$2:I433,'[1]Detalle Pilotos'!$G$3)</f>
        <v>0</v>
      </c>
      <c r="B433">
        <f t="shared" si="6"/>
        <v>432</v>
      </c>
      <c r="C433" s="9">
        <v>44122</v>
      </c>
      <c r="D433" s="4" t="s">
        <v>155</v>
      </c>
      <c r="E433" s="8"/>
      <c r="F433" s="3">
        <v>223700</v>
      </c>
      <c r="G433" s="7">
        <f>IF(Tabla1[[#This Row],[Fecha]]="","",G432+Tabla1[[#This Row],[ingreso]]-Tabla1[[#This Row],[egreso]])</f>
        <v>10014730.6909</v>
      </c>
      <c r="H433" s="7"/>
      <c r="I433" s="7" t="s">
        <v>156</v>
      </c>
      <c r="J433" s="4"/>
    </row>
    <row r="434" spans="1:10" x14ac:dyDescent="0.2">
      <c r="A434">
        <f>COUNTIF($I$2:I434,'[1]Detalle Pilotos'!$G$3)</f>
        <v>0</v>
      </c>
      <c r="B434">
        <f t="shared" si="6"/>
        <v>433</v>
      </c>
      <c r="C434" s="9">
        <v>44127</v>
      </c>
      <c r="D434" s="4" t="s">
        <v>12</v>
      </c>
      <c r="E434" s="8"/>
      <c r="F434" s="3">
        <v>58500</v>
      </c>
      <c r="G434" s="7">
        <f>IF(Tabla1[[#This Row],[Fecha]]="","",G433+Tabla1[[#This Row],[ingreso]]-Tabla1[[#This Row],[egreso]])</f>
        <v>10073230.6909</v>
      </c>
      <c r="H434" s="7"/>
      <c r="I434" s="7" t="s">
        <v>13</v>
      </c>
      <c r="J434" s="4"/>
    </row>
    <row r="435" spans="1:10" x14ac:dyDescent="0.2">
      <c r="A435">
        <f>COUNTIF($I$2:I435,'[1]Detalle Pilotos'!$G$3)</f>
        <v>0</v>
      </c>
      <c r="B435">
        <f t="shared" si="6"/>
        <v>434</v>
      </c>
      <c r="C435" s="9">
        <v>44133</v>
      </c>
      <c r="D435" s="4" t="s">
        <v>157</v>
      </c>
      <c r="E435" s="8"/>
      <c r="F435" s="3">
        <v>187800</v>
      </c>
      <c r="G435" s="7">
        <f>IF(Tabla1[[#This Row],[Fecha]]="","",G434+Tabla1[[#This Row],[ingreso]]-Tabla1[[#This Row],[egreso]])</f>
        <v>10261030.6909</v>
      </c>
      <c r="H435" s="7"/>
      <c r="I435" s="7" t="s">
        <v>158</v>
      </c>
      <c r="J435" s="4"/>
    </row>
    <row r="436" spans="1:10" x14ac:dyDescent="0.2">
      <c r="A436">
        <f>COUNTIF($I$2:I436,'[1]Detalle Pilotos'!$G$3)</f>
        <v>0</v>
      </c>
      <c r="B436">
        <f t="shared" si="6"/>
        <v>435</v>
      </c>
      <c r="C436" s="9">
        <v>44135</v>
      </c>
      <c r="D436" s="4" t="s">
        <v>166</v>
      </c>
      <c r="E436" s="8"/>
      <c r="F436" s="3">
        <v>60000</v>
      </c>
      <c r="G436" s="7">
        <f>IF(Tabla1[[#This Row],[Fecha]]="","",G435+Tabla1[[#This Row],[ingreso]]-Tabla1[[#This Row],[egreso]])</f>
        <v>10321030.6909</v>
      </c>
      <c r="H436" s="7"/>
      <c r="I436" s="7" t="s">
        <v>167</v>
      </c>
      <c r="J436" s="4"/>
    </row>
    <row r="437" spans="1:10" x14ac:dyDescent="0.2">
      <c r="A437">
        <f>COUNTIF($I$2:I437,'[1]Detalle Pilotos'!$G$3)</f>
        <v>0</v>
      </c>
      <c r="B437">
        <f t="shared" si="6"/>
        <v>436</v>
      </c>
      <c r="C437" s="9">
        <v>44135</v>
      </c>
      <c r="D437" s="4" t="s">
        <v>12</v>
      </c>
      <c r="E437" s="8"/>
      <c r="F437" s="3">
        <v>252770</v>
      </c>
      <c r="G437" s="7">
        <f>IF(Tabla1[[#This Row],[Fecha]]="","",G436+Tabla1[[#This Row],[ingreso]]-Tabla1[[#This Row],[egreso]])</f>
        <v>10573800.6909</v>
      </c>
      <c r="H437" s="7"/>
      <c r="I437" s="7" t="s">
        <v>13</v>
      </c>
      <c r="J437" s="4"/>
    </row>
    <row r="438" spans="1:10" x14ac:dyDescent="0.2">
      <c r="A438">
        <f>COUNTIF($I$2:I438,'[1]Detalle Pilotos'!$G$3)</f>
        <v>0</v>
      </c>
      <c r="B438">
        <f t="shared" si="6"/>
        <v>437</v>
      </c>
      <c r="C438" s="9">
        <v>44137</v>
      </c>
      <c r="D438" s="4" t="s">
        <v>168</v>
      </c>
      <c r="E438" s="8">
        <v>276824</v>
      </c>
      <c r="F438" s="3"/>
      <c r="G438" s="7">
        <f>IF(Tabla1[[#This Row],[Fecha]]="","",G437+Tabla1[[#This Row],[ingreso]]-Tabla1[[#This Row],[egreso]])</f>
        <v>10296976.6909</v>
      </c>
      <c r="H438" s="7" t="s">
        <v>18</v>
      </c>
      <c r="I438" s="7"/>
      <c r="J438" s="4"/>
    </row>
    <row r="439" spans="1:10" x14ac:dyDescent="0.2">
      <c r="A439">
        <f>COUNTIF($I$2:I439,'[1]Detalle Pilotos'!$G$3)</f>
        <v>0</v>
      </c>
      <c r="B439">
        <f t="shared" si="6"/>
        <v>438</v>
      </c>
      <c r="C439" s="9">
        <v>44140</v>
      </c>
      <c r="D439" s="4" t="s">
        <v>72</v>
      </c>
      <c r="E439" s="8">
        <v>254602</v>
      </c>
      <c r="F439" s="3"/>
      <c r="G439" s="7">
        <f>IF(Tabla1[[#This Row],[Fecha]]="","",G438+Tabla1[[#This Row],[ingreso]]-Tabla1[[#This Row],[egreso]])</f>
        <v>10042374.6909</v>
      </c>
      <c r="H439" s="7" t="s">
        <v>43</v>
      </c>
      <c r="I439" s="7"/>
      <c r="J439" s="4"/>
    </row>
    <row r="440" spans="1:10" x14ac:dyDescent="0.2">
      <c r="A440">
        <f>COUNTIF($I$2:I440,'[1]Detalle Pilotos'!$G$3)</f>
        <v>0</v>
      </c>
      <c r="B440">
        <f t="shared" si="6"/>
        <v>439</v>
      </c>
      <c r="C440" s="9">
        <v>44140</v>
      </c>
      <c r="D440" s="4" t="s">
        <v>169</v>
      </c>
      <c r="E440" s="8">
        <v>1013531</v>
      </c>
      <c r="F440" s="3"/>
      <c r="G440" s="7">
        <f>IF(Tabla1[[#This Row],[Fecha]]="","",G439+Tabla1[[#This Row],[ingreso]]-Tabla1[[#This Row],[egreso]])</f>
        <v>9028843.6908999998</v>
      </c>
      <c r="H440" s="7" t="s">
        <v>20</v>
      </c>
      <c r="I440" s="7"/>
      <c r="J440" s="4"/>
    </row>
    <row r="441" spans="1:10" x14ac:dyDescent="0.2">
      <c r="A441">
        <f>COUNTIF($I$2:I441,'[1]Detalle Pilotos'!$G$3)</f>
        <v>0</v>
      </c>
      <c r="B441">
        <f t="shared" si="6"/>
        <v>440</v>
      </c>
      <c r="C441" s="9">
        <v>44140</v>
      </c>
      <c r="D441" s="4" t="s">
        <v>170</v>
      </c>
      <c r="E441" s="8">
        <v>44625</v>
      </c>
      <c r="F441" s="3"/>
      <c r="G441" s="7">
        <f>IF(Tabla1[[#This Row],[Fecha]]="","",G440+Tabla1[[#This Row],[ingreso]]-Tabla1[[#This Row],[egreso]])</f>
        <v>8984218.6908999998</v>
      </c>
      <c r="H441" s="7" t="s">
        <v>34</v>
      </c>
      <c r="I441" s="7"/>
      <c r="J441" s="4"/>
    </row>
    <row r="442" spans="1:10" x14ac:dyDescent="0.2">
      <c r="A442">
        <f>COUNTIF($I$2:I442,'[1]Detalle Pilotos'!$G$3)</f>
        <v>0</v>
      </c>
      <c r="B442">
        <f t="shared" si="6"/>
        <v>441</v>
      </c>
      <c r="C442" s="9">
        <v>44141</v>
      </c>
      <c r="D442" s="4" t="s">
        <v>171</v>
      </c>
      <c r="E442" s="8">
        <v>360332</v>
      </c>
      <c r="F442" s="3"/>
      <c r="G442" s="7">
        <f>IF(Tabla1[[#This Row],[Fecha]]="","",G441+Tabla1[[#This Row],[ingreso]]-Tabla1[[#This Row],[egreso]])</f>
        <v>8623886.6908999998</v>
      </c>
      <c r="H442" s="7" t="s">
        <v>34</v>
      </c>
      <c r="I442" s="7"/>
      <c r="J442" s="4"/>
    </row>
    <row r="443" spans="1:10" x14ac:dyDescent="0.2">
      <c r="A443">
        <f>COUNTIF($I$2:I443,'[1]Detalle Pilotos'!$G$3)</f>
        <v>0</v>
      </c>
      <c r="B443">
        <f t="shared" si="6"/>
        <v>442</v>
      </c>
      <c r="C443" s="9">
        <v>44146</v>
      </c>
      <c r="D443" s="4" t="s">
        <v>172</v>
      </c>
      <c r="E443" s="8">
        <v>194446</v>
      </c>
      <c r="F443" s="3"/>
      <c r="G443" s="7">
        <f>IF(Tabla1[[#This Row],[Fecha]]="","",G442+Tabla1[[#This Row],[ingreso]]-Tabla1[[#This Row],[egreso]])</f>
        <v>8429440.6908999998</v>
      </c>
      <c r="H443" s="7" t="s">
        <v>34</v>
      </c>
      <c r="I443" s="7"/>
      <c r="J443" s="4"/>
    </row>
    <row r="444" spans="1:10" x14ac:dyDescent="0.2">
      <c r="A444">
        <f>COUNTIF($I$2:I444,'[1]Detalle Pilotos'!$G$3)</f>
        <v>0</v>
      </c>
      <c r="B444">
        <f t="shared" si="6"/>
        <v>443</v>
      </c>
      <c r="C444" s="9">
        <v>44159</v>
      </c>
      <c r="D444" s="4" t="s">
        <v>148</v>
      </c>
      <c r="E444" s="8">
        <v>25000</v>
      </c>
      <c r="F444" s="3"/>
      <c r="G444" s="7">
        <f>IF(Tabla1[[#This Row],[Fecha]]="","",G443+Tabla1[[#This Row],[ingreso]]-Tabla1[[#This Row],[egreso]])</f>
        <v>8404440.6908999998</v>
      </c>
      <c r="H444" s="7" t="s">
        <v>34</v>
      </c>
      <c r="I444" s="7"/>
      <c r="J444" s="4"/>
    </row>
    <row r="445" spans="1:10" x14ac:dyDescent="0.2">
      <c r="A445">
        <f>COUNTIF($I$2:I445,'[1]Detalle Pilotos'!$G$3)</f>
        <v>0</v>
      </c>
      <c r="B445">
        <f t="shared" si="6"/>
        <v>444</v>
      </c>
      <c r="C445" s="9">
        <v>44159</v>
      </c>
      <c r="D445" s="4" t="s">
        <v>173</v>
      </c>
      <c r="E445" s="8">
        <v>30065</v>
      </c>
      <c r="F445" s="3"/>
      <c r="G445" s="7">
        <f>IF(Tabla1[[#This Row],[Fecha]]="","",G444+Tabla1[[#This Row],[ingreso]]-Tabla1[[#This Row],[egreso]])</f>
        <v>8374375.6908999998</v>
      </c>
      <c r="H445" s="7" t="s">
        <v>18</v>
      </c>
      <c r="I445" s="7"/>
      <c r="J445" s="4"/>
    </row>
    <row r="446" spans="1:10" x14ac:dyDescent="0.2">
      <c r="A446">
        <f>COUNTIF($I$2:I446,'[1]Detalle Pilotos'!$G$3)</f>
        <v>0</v>
      </c>
      <c r="B446">
        <f t="shared" si="6"/>
        <v>445</v>
      </c>
      <c r="C446" s="9">
        <v>44160</v>
      </c>
      <c r="D446" s="4" t="s">
        <v>174</v>
      </c>
      <c r="E446" s="8">
        <v>250000</v>
      </c>
      <c r="F446" s="3"/>
      <c r="G446" s="7">
        <f>IF(Tabla1[[#This Row],[Fecha]]="","",G445+Tabla1[[#This Row],[ingreso]]-Tabla1[[#This Row],[egreso]])</f>
        <v>8124375.6908999998</v>
      </c>
      <c r="H446" s="7" t="s">
        <v>34</v>
      </c>
      <c r="I446" s="7"/>
      <c r="J446" s="4"/>
    </row>
    <row r="447" spans="1:10" x14ac:dyDescent="0.2">
      <c r="A447">
        <f>COUNTIF($I$2:I447,'[1]Detalle Pilotos'!$G$3)</f>
        <v>0</v>
      </c>
      <c r="B447">
        <f t="shared" si="6"/>
        <v>446</v>
      </c>
      <c r="C447" s="9">
        <v>44163</v>
      </c>
      <c r="D447" s="4" t="s">
        <v>175</v>
      </c>
      <c r="E447" s="8">
        <v>2245462</v>
      </c>
      <c r="F447" s="3"/>
      <c r="G447" s="7">
        <f>IF(Tabla1[[#This Row],[Fecha]]="","",G446+Tabla1[[#This Row],[ingreso]]-Tabla1[[#This Row],[egreso]])</f>
        <v>5878913.6908999998</v>
      </c>
      <c r="H447" s="7" t="s">
        <v>34</v>
      </c>
      <c r="I447" s="7"/>
      <c r="J447" s="4"/>
    </row>
    <row r="448" spans="1:10" x14ac:dyDescent="0.2">
      <c r="A448">
        <f>COUNTIF($I$2:I448,'[1]Detalle Pilotos'!$G$3)</f>
        <v>0</v>
      </c>
      <c r="B448">
        <f t="shared" si="6"/>
        <v>447</v>
      </c>
      <c r="C448" s="9">
        <v>44140</v>
      </c>
      <c r="D448" s="4" t="s">
        <v>176</v>
      </c>
      <c r="E448" s="8">
        <v>167400</v>
      </c>
      <c r="F448" s="3"/>
      <c r="G448" s="7">
        <f>IF(Tabla1[[#This Row],[Fecha]]="","",G447+Tabla1[[#This Row],[ingreso]]-Tabla1[[#This Row],[egreso]])</f>
        <v>5711513.6908999998</v>
      </c>
      <c r="H448" s="7" t="s">
        <v>34</v>
      </c>
      <c r="I448" s="7"/>
      <c r="J448" s="4"/>
    </row>
    <row r="449" spans="1:10" x14ac:dyDescent="0.2">
      <c r="A449">
        <f>COUNTIF($I$2:I449,'[1]Detalle Pilotos'!$G$3)</f>
        <v>0</v>
      </c>
      <c r="B449">
        <f t="shared" si="6"/>
        <v>448</v>
      </c>
      <c r="C449" s="9">
        <v>44165</v>
      </c>
      <c r="D449" s="4" t="s">
        <v>177</v>
      </c>
      <c r="E449" s="8">
        <v>256046</v>
      </c>
      <c r="F449" s="3"/>
      <c r="G449" s="7">
        <f>IF(Tabla1[[#This Row],[Fecha]]="","",G448+Tabla1[[#This Row],[ingreso]]-Tabla1[[#This Row],[egreso]])</f>
        <v>5455467.6908999998</v>
      </c>
      <c r="H449" s="7" t="s">
        <v>43</v>
      </c>
      <c r="I449" s="7"/>
      <c r="J449" s="4"/>
    </row>
    <row r="450" spans="1:10" x14ac:dyDescent="0.2">
      <c r="A450">
        <f>COUNTIF($I$2:I450,'[1]Detalle Pilotos'!$G$3)</f>
        <v>0</v>
      </c>
      <c r="B450">
        <f t="shared" si="6"/>
        <v>449</v>
      </c>
      <c r="C450" s="9">
        <v>44166</v>
      </c>
      <c r="D450" s="4" t="s">
        <v>53</v>
      </c>
      <c r="E450" s="8"/>
      <c r="F450" s="3">
        <v>247400</v>
      </c>
      <c r="G450" s="7">
        <f>IF(Tabla1[[#This Row],[Fecha]]="","",G449+Tabla1[[#This Row],[ingreso]]-Tabla1[[#This Row],[egreso]])</f>
        <v>5702867.6908999998</v>
      </c>
      <c r="H450" s="7"/>
      <c r="I450" s="7" t="s">
        <v>54</v>
      </c>
      <c r="J450" s="4"/>
    </row>
    <row r="451" spans="1:10" x14ac:dyDescent="0.2">
      <c r="A451">
        <f>COUNTIF($I$2:I451,'[1]Detalle Pilotos'!$G$3)</f>
        <v>0</v>
      </c>
      <c r="B451">
        <f t="shared" si="6"/>
        <v>450</v>
      </c>
      <c r="C451" s="9">
        <v>44179</v>
      </c>
      <c r="D451" s="4" t="s">
        <v>178</v>
      </c>
      <c r="E451" s="8"/>
      <c r="F451" s="3">
        <v>350000</v>
      </c>
      <c r="G451" s="7">
        <f>IF(Tabla1[[#This Row],[Fecha]]="","",G450+Tabla1[[#This Row],[ingreso]]-Tabla1[[#This Row],[egreso]])</f>
        <v>6052867.6908999998</v>
      </c>
      <c r="H451" s="7"/>
      <c r="I451" s="7" t="s">
        <v>179</v>
      </c>
      <c r="J451" s="4"/>
    </row>
    <row r="452" spans="1:10" x14ac:dyDescent="0.2">
      <c r="A452">
        <f>COUNTIF($I$2:I452,'[1]Detalle Pilotos'!$G$3)</f>
        <v>0</v>
      </c>
      <c r="B452">
        <f t="shared" ref="B452:B515" si="7">IF(C452="","",1+B451)</f>
        <v>451</v>
      </c>
      <c r="C452" s="9">
        <v>44180</v>
      </c>
      <c r="D452" s="4" t="s">
        <v>178</v>
      </c>
      <c r="E452" s="8"/>
      <c r="F452" s="3">
        <v>235500</v>
      </c>
      <c r="G452" s="7">
        <f>IF(Tabla1[[#This Row],[Fecha]]="","",G451+Tabla1[[#This Row],[ingreso]]-Tabla1[[#This Row],[egreso]])</f>
        <v>6288367.6908999998</v>
      </c>
      <c r="H452" s="7"/>
      <c r="I452" s="7" t="s">
        <v>179</v>
      </c>
      <c r="J452" s="4"/>
    </row>
    <row r="453" spans="1:10" x14ac:dyDescent="0.2">
      <c r="A453">
        <f>COUNTIF($I$2:I453,'[1]Detalle Pilotos'!$G$3)</f>
        <v>0</v>
      </c>
      <c r="B453">
        <f t="shared" si="7"/>
        <v>452</v>
      </c>
      <c r="C453" s="9">
        <v>44180</v>
      </c>
      <c r="D453" s="4" t="s">
        <v>180</v>
      </c>
      <c r="E453" s="8">
        <v>55500</v>
      </c>
      <c r="F453" s="3"/>
      <c r="G453" s="7">
        <f>IF(Tabla1[[#This Row],[Fecha]]="","",G452+Tabla1[[#This Row],[ingreso]]-Tabla1[[#This Row],[egreso]])</f>
        <v>6232867.6908999998</v>
      </c>
      <c r="H453" s="7"/>
      <c r="I453" s="7"/>
      <c r="J453" s="4"/>
    </row>
    <row r="454" spans="1:10" x14ac:dyDescent="0.2">
      <c r="A454">
        <f>COUNTIF($I$2:I454,'[1]Detalle Pilotos'!$G$3)</f>
        <v>0</v>
      </c>
      <c r="B454">
        <f t="shared" si="7"/>
        <v>453</v>
      </c>
      <c r="C454" s="9">
        <v>44180</v>
      </c>
      <c r="D454" s="4" t="s">
        <v>15</v>
      </c>
      <c r="E454" s="8"/>
      <c r="F454" s="3">
        <v>55500</v>
      </c>
      <c r="G454" s="7">
        <f>IF(Tabla1[[#This Row],[Fecha]]="","",G453+Tabla1[[#This Row],[ingreso]]-Tabla1[[#This Row],[egreso]])</f>
        <v>6288367.6908999998</v>
      </c>
      <c r="H454" s="7"/>
      <c r="I454" s="7" t="s">
        <v>16</v>
      </c>
      <c r="J454" s="4"/>
    </row>
    <row r="455" spans="1:10" x14ac:dyDescent="0.2">
      <c r="A455">
        <f>COUNTIF($I$2:I455,'[1]Detalle Pilotos'!$G$3)</f>
        <v>0</v>
      </c>
      <c r="B455">
        <f t="shared" si="7"/>
        <v>454</v>
      </c>
      <c r="C455" s="9">
        <v>44181</v>
      </c>
      <c r="D455" s="4" t="s">
        <v>181</v>
      </c>
      <c r="E455" s="8"/>
      <c r="F455" s="3">
        <v>250000</v>
      </c>
      <c r="G455" s="7">
        <f>IF(Tabla1[[#This Row],[Fecha]]="","",G454+Tabla1[[#This Row],[ingreso]]-Tabla1[[#This Row],[egreso]])</f>
        <v>6538367.6908999998</v>
      </c>
      <c r="H455" s="7"/>
      <c r="I455" s="7" t="s">
        <v>182</v>
      </c>
      <c r="J455" s="4"/>
    </row>
    <row r="456" spans="1:10" x14ac:dyDescent="0.2">
      <c r="A456">
        <f>COUNTIF($I$2:I456,'[1]Detalle Pilotos'!$G$3)</f>
        <v>0</v>
      </c>
      <c r="B456">
        <f t="shared" si="7"/>
        <v>455</v>
      </c>
      <c r="C456" s="9">
        <v>44181</v>
      </c>
      <c r="D456" s="4" t="s">
        <v>183</v>
      </c>
      <c r="E456" s="8"/>
      <c r="F456" s="3">
        <v>129070</v>
      </c>
      <c r="G456" s="7">
        <f>IF(Tabla1[[#This Row],[Fecha]]="","",G455+Tabla1[[#This Row],[ingreso]]-Tabla1[[#This Row],[egreso]])</f>
        <v>6667437.6908999998</v>
      </c>
      <c r="H456" s="7"/>
      <c r="I456" s="7" t="s">
        <v>184</v>
      </c>
      <c r="J456" s="4"/>
    </row>
    <row r="457" spans="1:10" x14ac:dyDescent="0.2">
      <c r="A457">
        <f>COUNTIF($I$2:I457,'[1]Detalle Pilotos'!$G$3)</f>
        <v>0</v>
      </c>
      <c r="B457">
        <f t="shared" si="7"/>
        <v>456</v>
      </c>
      <c r="C457" s="9">
        <v>44183</v>
      </c>
      <c r="D457" s="4" t="s">
        <v>181</v>
      </c>
      <c r="E457" s="8"/>
      <c r="F457" s="3">
        <v>712559</v>
      </c>
      <c r="G457" s="7">
        <f>IF(Tabla1[[#This Row],[Fecha]]="","",G456+Tabla1[[#This Row],[ingreso]]-Tabla1[[#This Row],[egreso]])</f>
        <v>7379996.6908999998</v>
      </c>
      <c r="H457" s="7"/>
      <c r="I457" s="7" t="s">
        <v>182</v>
      </c>
      <c r="J457" s="4"/>
    </row>
    <row r="458" spans="1:10" x14ac:dyDescent="0.2">
      <c r="A458">
        <f>COUNTIF($I$2:I458,'[1]Detalle Pilotos'!$G$3)</f>
        <v>0</v>
      </c>
      <c r="B458">
        <f t="shared" si="7"/>
        <v>457</v>
      </c>
      <c r="C458" s="9">
        <v>44183</v>
      </c>
      <c r="D458" s="4" t="s">
        <v>53</v>
      </c>
      <c r="E458" s="8"/>
      <c r="F458" s="3">
        <v>216000</v>
      </c>
      <c r="G458" s="7">
        <f>IF(Tabla1[[#This Row],[Fecha]]="","",G457+Tabla1[[#This Row],[ingreso]]-Tabla1[[#This Row],[egreso]])</f>
        <v>7595996.6908999998</v>
      </c>
      <c r="H458" s="7"/>
      <c r="I458" s="7" t="s">
        <v>54</v>
      </c>
      <c r="J458" s="4"/>
    </row>
    <row r="459" spans="1:10" x14ac:dyDescent="0.2">
      <c r="A459">
        <f>COUNTIF($I$2:I459,'[1]Detalle Pilotos'!$G$3)</f>
        <v>0</v>
      </c>
      <c r="B459">
        <f t="shared" si="7"/>
        <v>458</v>
      </c>
      <c r="C459" s="9">
        <v>44188</v>
      </c>
      <c r="D459" s="4" t="s">
        <v>181</v>
      </c>
      <c r="E459" s="8"/>
      <c r="F459" s="3">
        <v>231104</v>
      </c>
      <c r="G459" s="7">
        <f>IF(Tabla1[[#This Row],[Fecha]]="","",G458+Tabla1[[#This Row],[ingreso]]-Tabla1[[#This Row],[egreso]])</f>
        <v>7827100.6908999998</v>
      </c>
      <c r="H459" s="7"/>
      <c r="I459" s="7" t="s">
        <v>182</v>
      </c>
      <c r="J459" s="4"/>
    </row>
    <row r="460" spans="1:10" x14ac:dyDescent="0.2">
      <c r="A460">
        <f>COUNTIF($I$2:I460,'[1]Detalle Pilotos'!$G$3)</f>
        <v>0</v>
      </c>
      <c r="B460">
        <f t="shared" si="7"/>
        <v>459</v>
      </c>
      <c r="C460" s="9">
        <v>44554</v>
      </c>
      <c r="D460" s="4" t="s">
        <v>181</v>
      </c>
      <c r="E460" s="8"/>
      <c r="F460" s="3">
        <v>414605</v>
      </c>
      <c r="G460" s="7">
        <f>IF(Tabla1[[#This Row],[Fecha]]="","",G459+Tabla1[[#This Row],[ingreso]]-Tabla1[[#This Row],[egreso]])</f>
        <v>8241705.6908999998</v>
      </c>
      <c r="H460" s="7"/>
      <c r="I460" s="7" t="s">
        <v>182</v>
      </c>
      <c r="J460" s="4"/>
    </row>
    <row r="461" spans="1:10" x14ac:dyDescent="0.2">
      <c r="A461">
        <f>COUNTIF($I$2:I461,'[1]Detalle Pilotos'!$G$3)</f>
        <v>0</v>
      </c>
      <c r="B461">
        <f t="shared" si="7"/>
        <v>460</v>
      </c>
      <c r="C461" s="9">
        <v>44561</v>
      </c>
      <c r="D461" s="4" t="s">
        <v>181</v>
      </c>
      <c r="E461" s="8"/>
      <c r="F461" s="3">
        <v>472929</v>
      </c>
      <c r="G461" s="7">
        <f>IF(Tabla1[[#This Row],[Fecha]]="","",G460+Tabla1[[#This Row],[ingreso]]-Tabla1[[#This Row],[egreso]])</f>
        <v>8714634.6908999998</v>
      </c>
      <c r="H461" s="7"/>
      <c r="I461" s="7" t="s">
        <v>182</v>
      </c>
      <c r="J461" s="4"/>
    </row>
    <row r="462" spans="1:10" x14ac:dyDescent="0.2">
      <c r="A462">
        <f>COUNTIF($I$2:I462,'[1]Detalle Pilotos'!$G$3)</f>
        <v>0</v>
      </c>
      <c r="B462">
        <f t="shared" si="7"/>
        <v>461</v>
      </c>
      <c r="C462" s="9">
        <v>44200</v>
      </c>
      <c r="D462" s="4" t="s">
        <v>185</v>
      </c>
      <c r="E462" s="8">
        <v>256367</v>
      </c>
      <c r="F462" s="3"/>
      <c r="G462" s="7">
        <f>IF(Tabla1[[#This Row],[Fecha]]="","",G461+Tabla1[[#This Row],[ingreso]]-Tabla1[[#This Row],[egreso]])</f>
        <v>8458267.6908999998</v>
      </c>
      <c r="H462" s="7" t="s">
        <v>43</v>
      </c>
      <c r="I462" s="7"/>
      <c r="J462" s="4"/>
    </row>
    <row r="463" spans="1:10" x14ac:dyDescent="0.2">
      <c r="A463">
        <f>COUNTIF($I$2:I463,'[1]Detalle Pilotos'!$G$3)</f>
        <v>0</v>
      </c>
      <c r="B463">
        <f t="shared" si="7"/>
        <v>462</v>
      </c>
      <c r="C463" s="9">
        <v>44202</v>
      </c>
      <c r="D463" s="4" t="s">
        <v>12</v>
      </c>
      <c r="E463" s="8"/>
      <c r="F463" s="3">
        <v>180000</v>
      </c>
      <c r="G463" s="7">
        <f>IF(Tabla1[[#This Row],[Fecha]]="","",G462+Tabla1[[#This Row],[ingreso]]-Tabla1[[#This Row],[egreso]])</f>
        <v>8638267.6908999998</v>
      </c>
      <c r="H463" s="7"/>
      <c r="I463" s="7" t="s">
        <v>13</v>
      </c>
      <c r="J463" s="4"/>
    </row>
    <row r="464" spans="1:10" x14ac:dyDescent="0.2">
      <c r="A464">
        <f>COUNTIF($I$2:I464,'[1]Detalle Pilotos'!$G$3)</f>
        <v>0</v>
      </c>
      <c r="B464">
        <f t="shared" si="7"/>
        <v>463</v>
      </c>
      <c r="C464" s="9">
        <v>44204</v>
      </c>
      <c r="D464" s="4" t="s">
        <v>53</v>
      </c>
      <c r="E464" s="8"/>
      <c r="F464" s="3">
        <v>204000</v>
      </c>
      <c r="G464" s="7">
        <f>IF(Tabla1[[#This Row],[Fecha]]="","",G463+Tabla1[[#This Row],[ingreso]]-Tabla1[[#This Row],[egreso]])</f>
        <v>8842267.6908999998</v>
      </c>
      <c r="H464" s="7"/>
      <c r="I464" s="7" t="s">
        <v>54</v>
      </c>
      <c r="J464" s="4"/>
    </row>
    <row r="465" spans="1:10" x14ac:dyDescent="0.2">
      <c r="A465">
        <f>COUNTIF($I$2:I465,'[1]Detalle Pilotos'!$G$3)</f>
        <v>0</v>
      </c>
      <c r="B465">
        <f t="shared" si="7"/>
        <v>464</v>
      </c>
      <c r="C465" s="9">
        <v>44207</v>
      </c>
      <c r="D465" s="4" t="s">
        <v>53</v>
      </c>
      <c r="E465" s="8"/>
      <c r="F465" s="3">
        <v>208738</v>
      </c>
      <c r="G465" s="7">
        <f>IF(Tabla1[[#This Row],[Fecha]]="","",G464+Tabla1[[#This Row],[ingreso]]-Tabla1[[#This Row],[egreso]])</f>
        <v>9051005.6908999998</v>
      </c>
      <c r="H465" s="7"/>
      <c r="I465" s="7" t="s">
        <v>54</v>
      </c>
      <c r="J465" s="4"/>
    </row>
    <row r="466" spans="1:10" x14ac:dyDescent="0.2">
      <c r="A466">
        <f>COUNTIF($I$2:I466,'[1]Detalle Pilotos'!$G$3)</f>
        <v>0</v>
      </c>
      <c r="B466">
        <f t="shared" si="7"/>
        <v>465</v>
      </c>
      <c r="C466" s="9">
        <v>44208</v>
      </c>
      <c r="D466" s="4" t="s">
        <v>36</v>
      </c>
      <c r="E466" s="8"/>
      <c r="F466" s="3">
        <v>125150</v>
      </c>
      <c r="G466" s="7">
        <f>IF(Tabla1[[#This Row],[Fecha]]="","",G465+Tabla1[[#This Row],[ingreso]]-Tabla1[[#This Row],[egreso]])</f>
        <v>9176155.6908999998</v>
      </c>
      <c r="H466" s="7"/>
      <c r="I466" s="7" t="s">
        <v>37</v>
      </c>
      <c r="J466" s="4"/>
    </row>
    <row r="467" spans="1:10" x14ac:dyDescent="0.2">
      <c r="A467">
        <f>COUNTIF($I$2:I467,'[1]Detalle Pilotos'!$G$3)</f>
        <v>0</v>
      </c>
      <c r="B467">
        <f t="shared" si="7"/>
        <v>466</v>
      </c>
      <c r="C467" s="9">
        <v>44211</v>
      </c>
      <c r="D467" s="4" t="s">
        <v>12</v>
      </c>
      <c r="E467" s="8"/>
      <c r="F467" s="3">
        <v>80978</v>
      </c>
      <c r="G467" s="7">
        <f>IF(Tabla1[[#This Row],[Fecha]]="","",G466+Tabla1[[#This Row],[ingreso]]-Tabla1[[#This Row],[egreso]])</f>
        <v>9257133.6908999998</v>
      </c>
      <c r="H467" s="7"/>
      <c r="I467" s="7" t="s">
        <v>13</v>
      </c>
      <c r="J467" s="4"/>
    </row>
    <row r="468" spans="1:10" x14ac:dyDescent="0.2">
      <c r="A468">
        <f>COUNTIF($I$2:I468,'[1]Detalle Pilotos'!$G$3)</f>
        <v>0</v>
      </c>
      <c r="B468">
        <f t="shared" si="7"/>
        <v>467</v>
      </c>
      <c r="C468" s="9">
        <v>44211</v>
      </c>
      <c r="D468" s="4" t="s">
        <v>186</v>
      </c>
      <c r="E468" s="8"/>
      <c r="F468" s="3">
        <v>237020</v>
      </c>
      <c r="G468" s="7">
        <f>IF(Tabla1[[#This Row],[Fecha]]="","",G467+Tabla1[[#This Row],[ingreso]]-Tabla1[[#This Row],[egreso]])</f>
        <v>9494153.6908999998</v>
      </c>
      <c r="H468" s="7"/>
      <c r="I468" s="7" t="s">
        <v>187</v>
      </c>
      <c r="J468" s="4"/>
    </row>
    <row r="469" spans="1:10" x14ac:dyDescent="0.2">
      <c r="A469">
        <f>COUNTIF($I$2:I469,'[1]Detalle Pilotos'!$G$3)</f>
        <v>0</v>
      </c>
      <c r="B469">
        <f t="shared" si="7"/>
        <v>468</v>
      </c>
      <c r="C469" s="9">
        <v>44211</v>
      </c>
      <c r="D469" s="4" t="s">
        <v>47</v>
      </c>
      <c r="E469" s="8"/>
      <c r="F469" s="3">
        <v>200000</v>
      </c>
      <c r="G469" s="7">
        <f>IF(Tabla1[[#This Row],[Fecha]]="","",G468+Tabla1[[#This Row],[ingreso]]-Tabla1[[#This Row],[egreso]])</f>
        <v>9694153.6908999998</v>
      </c>
      <c r="H469" s="7"/>
      <c r="I469" s="7" t="s">
        <v>48</v>
      </c>
      <c r="J469" s="4"/>
    </row>
    <row r="470" spans="1:10" x14ac:dyDescent="0.2">
      <c r="A470">
        <f>COUNTIF($I$2:I470,'[1]Detalle Pilotos'!$G$3)</f>
        <v>0</v>
      </c>
      <c r="B470">
        <f t="shared" si="7"/>
        <v>469</v>
      </c>
      <c r="C470" s="9">
        <v>44212</v>
      </c>
      <c r="D470" s="4" t="s">
        <v>188</v>
      </c>
      <c r="E470" s="8"/>
      <c r="F470" s="3">
        <v>240000</v>
      </c>
      <c r="G470" s="7">
        <f>IF(Tabla1[[#This Row],[Fecha]]="","",G469+Tabla1[[#This Row],[ingreso]]-Tabla1[[#This Row],[egreso]])</f>
        <v>9934153.6908999998</v>
      </c>
      <c r="H470" s="7"/>
      <c r="I470" s="7" t="s">
        <v>189</v>
      </c>
      <c r="J470" s="4"/>
    </row>
    <row r="471" spans="1:10" x14ac:dyDescent="0.2">
      <c r="A471">
        <f>COUNTIF($I$2:I471,'[1]Detalle Pilotos'!$G$3)</f>
        <v>0</v>
      </c>
      <c r="B471">
        <f t="shared" si="7"/>
        <v>470</v>
      </c>
      <c r="C471" s="9">
        <v>44215</v>
      </c>
      <c r="D471" s="4" t="s">
        <v>157</v>
      </c>
      <c r="E471" s="8"/>
      <c r="F471" s="3">
        <v>252235</v>
      </c>
      <c r="G471" s="7">
        <f>IF(Tabla1[[#This Row],[Fecha]]="","",G470+Tabla1[[#This Row],[ingreso]]-Tabla1[[#This Row],[egreso]])</f>
        <v>10186388.6909</v>
      </c>
      <c r="H471" s="7"/>
      <c r="I471" s="7" t="s">
        <v>158</v>
      </c>
      <c r="J471" s="4"/>
    </row>
    <row r="472" spans="1:10" x14ac:dyDescent="0.2">
      <c r="A472">
        <f>COUNTIF($I$2:I472,'[1]Detalle Pilotos'!$G$3)</f>
        <v>0</v>
      </c>
      <c r="B472">
        <f t="shared" si="7"/>
        <v>471</v>
      </c>
      <c r="C472" s="9">
        <v>44217</v>
      </c>
      <c r="D472" s="4" t="s">
        <v>190</v>
      </c>
      <c r="E472" s="8">
        <v>250000</v>
      </c>
      <c r="F472" s="3"/>
      <c r="G472" s="7">
        <f>IF(Tabla1[[#This Row],[Fecha]]="","",G471+Tabla1[[#This Row],[ingreso]]-Tabla1[[#This Row],[egreso]])</f>
        <v>9936388.6908999998</v>
      </c>
      <c r="H472" s="7" t="s">
        <v>18</v>
      </c>
      <c r="I472" s="7"/>
      <c r="J472" s="4"/>
    </row>
    <row r="473" spans="1:10" x14ac:dyDescent="0.2">
      <c r="A473">
        <f>COUNTIF($I$2:I473,'[1]Detalle Pilotos'!$G$3)</f>
        <v>0</v>
      </c>
      <c r="B473">
        <f t="shared" si="7"/>
        <v>472</v>
      </c>
      <c r="C473" s="9">
        <v>44217</v>
      </c>
      <c r="D473" s="4" t="s">
        <v>191</v>
      </c>
      <c r="E473" s="8">
        <v>152115</v>
      </c>
      <c r="F473" s="3"/>
      <c r="G473" s="7">
        <f>IF(Tabla1[[#This Row],[Fecha]]="","",G472+Tabla1[[#This Row],[ingreso]]-Tabla1[[#This Row],[egreso]])</f>
        <v>9784273.6908999998</v>
      </c>
      <c r="H473" s="7" t="s">
        <v>18</v>
      </c>
      <c r="I473" s="7"/>
      <c r="J473" s="4"/>
    </row>
    <row r="474" spans="1:10" x14ac:dyDescent="0.2">
      <c r="A474">
        <f>COUNTIF($I$2:I474,'[1]Detalle Pilotos'!$G$3)</f>
        <v>0</v>
      </c>
      <c r="B474">
        <f t="shared" si="7"/>
        <v>473</v>
      </c>
      <c r="C474" s="9">
        <v>44211</v>
      </c>
      <c r="D474" s="4" t="s">
        <v>192</v>
      </c>
      <c r="E474" s="8">
        <v>27000</v>
      </c>
      <c r="F474" s="3"/>
      <c r="G474" s="7">
        <f>IF(Tabla1[[#This Row],[Fecha]]="","",G473+Tabla1[[#This Row],[ingreso]]-Tabla1[[#This Row],[egreso]])</f>
        <v>9757273.6908999998</v>
      </c>
      <c r="H474" s="7"/>
      <c r="I474" s="7"/>
      <c r="J474" s="4"/>
    </row>
    <row r="475" spans="1:10" x14ac:dyDescent="0.2">
      <c r="A475">
        <f>COUNTIF($I$2:I475,'[1]Detalle Pilotos'!$G$3)</f>
        <v>0</v>
      </c>
      <c r="B475">
        <f t="shared" si="7"/>
        <v>474</v>
      </c>
      <c r="C475" s="9">
        <v>44225</v>
      </c>
      <c r="D475" s="4" t="s">
        <v>15</v>
      </c>
      <c r="E475" s="8"/>
      <c r="F475" s="3">
        <v>27000</v>
      </c>
      <c r="G475" s="7">
        <f>IF(Tabla1[[#This Row],[Fecha]]="","",G474+Tabla1[[#This Row],[ingreso]]-Tabla1[[#This Row],[egreso]])</f>
        <v>9784273.6908999998</v>
      </c>
      <c r="H475" s="7"/>
      <c r="I475" s="7" t="s">
        <v>16</v>
      </c>
      <c r="J475" s="4"/>
    </row>
    <row r="476" spans="1:10" x14ac:dyDescent="0.2">
      <c r="A476">
        <f>COUNTIF($I$2:I476,'[1]Detalle Pilotos'!$G$3)</f>
        <v>0</v>
      </c>
      <c r="B476">
        <f t="shared" si="7"/>
        <v>475</v>
      </c>
      <c r="C476" s="9">
        <v>44223</v>
      </c>
      <c r="D476" s="4" t="s">
        <v>193</v>
      </c>
      <c r="E476" s="8"/>
      <c r="F476" s="3">
        <v>156000</v>
      </c>
      <c r="G476" s="7">
        <f>IF(Tabla1[[#This Row],[Fecha]]="","",G475+Tabla1[[#This Row],[ingreso]]-Tabla1[[#This Row],[egreso]])</f>
        <v>9940273.6908999998</v>
      </c>
      <c r="H476" s="7"/>
      <c r="I476" s="7" t="s">
        <v>165</v>
      </c>
      <c r="J476" s="4"/>
    </row>
    <row r="477" spans="1:10" x14ac:dyDescent="0.2">
      <c r="A477">
        <f>COUNTIF($I$2:I477,'[1]Detalle Pilotos'!$G$3)</f>
        <v>0</v>
      </c>
      <c r="B477">
        <f t="shared" si="7"/>
        <v>476</v>
      </c>
      <c r="C477" s="9">
        <v>44223</v>
      </c>
      <c r="D477" s="4" t="s">
        <v>53</v>
      </c>
      <c r="E477" s="8"/>
      <c r="F477" s="3">
        <v>491060</v>
      </c>
      <c r="G477" s="7">
        <f>IF(Tabla1[[#This Row],[Fecha]]="","",G476+Tabla1[[#This Row],[ingreso]]-Tabla1[[#This Row],[egreso]])</f>
        <v>10431333.6909</v>
      </c>
      <c r="H477" s="7"/>
      <c r="I477" s="7" t="s">
        <v>54</v>
      </c>
      <c r="J477" s="4"/>
    </row>
    <row r="478" spans="1:10" x14ac:dyDescent="0.2">
      <c r="A478">
        <f>COUNTIF($I$2:I478,'[1]Detalle Pilotos'!$G$3)</f>
        <v>0</v>
      </c>
      <c r="B478">
        <f t="shared" si="7"/>
        <v>477</v>
      </c>
      <c r="C478" s="9">
        <v>44225</v>
      </c>
      <c r="D478" s="4" t="s">
        <v>47</v>
      </c>
      <c r="E478" s="8"/>
      <c r="F478" s="3">
        <v>300000</v>
      </c>
      <c r="G478" s="7">
        <f>IF(Tabla1[[#This Row],[Fecha]]="","",G477+Tabla1[[#This Row],[ingreso]]-Tabla1[[#This Row],[egreso]])</f>
        <v>10731333.6909</v>
      </c>
      <c r="H478" s="7"/>
      <c r="I478" s="7" t="s">
        <v>48</v>
      </c>
      <c r="J478" s="4"/>
    </row>
    <row r="479" spans="1:10" x14ac:dyDescent="0.2">
      <c r="A479">
        <f>COUNTIF($I$2:I479,'[1]Detalle Pilotos'!$G$3)</f>
        <v>0</v>
      </c>
      <c r="B479">
        <f t="shared" si="7"/>
        <v>478</v>
      </c>
      <c r="C479" s="9">
        <v>44228</v>
      </c>
      <c r="D479" s="4" t="s">
        <v>133</v>
      </c>
      <c r="E479" s="8">
        <v>256896</v>
      </c>
      <c r="F479" s="3"/>
      <c r="G479" s="7">
        <f>IF(Tabla1[[#This Row],[Fecha]]="","",G478+Tabla1[[#This Row],[ingreso]]-Tabla1[[#This Row],[egreso]])</f>
        <v>10474437.6909</v>
      </c>
      <c r="H479" s="7" t="s">
        <v>43</v>
      </c>
      <c r="I479" s="7"/>
      <c r="J479" s="4"/>
    </row>
    <row r="480" spans="1:10" x14ac:dyDescent="0.2">
      <c r="A480">
        <f>COUNTIF($I$2:I480,'[1]Detalle Pilotos'!$G$3)</f>
        <v>0</v>
      </c>
      <c r="B480">
        <f t="shared" si="7"/>
        <v>479</v>
      </c>
      <c r="C480" s="9">
        <v>44229</v>
      </c>
      <c r="D480" s="4" t="s">
        <v>194</v>
      </c>
      <c r="E480" s="8">
        <f>18435+11605</f>
        <v>30040</v>
      </c>
      <c r="F480" s="3"/>
      <c r="G480" s="7">
        <f>IF(Tabla1[[#This Row],[Fecha]]="","",G479+Tabla1[[#This Row],[ingreso]]-Tabla1[[#This Row],[egreso]])</f>
        <v>10444397.6909</v>
      </c>
      <c r="H480" s="7" t="s">
        <v>18</v>
      </c>
      <c r="I480" s="7"/>
      <c r="J480" s="4"/>
    </row>
    <row r="481" spans="1:11" x14ac:dyDescent="0.2">
      <c r="A481">
        <f>COUNTIF($I$2:I481,'[1]Detalle Pilotos'!$G$3)</f>
        <v>0</v>
      </c>
      <c r="B481">
        <f t="shared" si="7"/>
        <v>480</v>
      </c>
      <c r="C481" s="9">
        <v>44230</v>
      </c>
      <c r="D481" s="4" t="s">
        <v>176</v>
      </c>
      <c r="E481" s="8">
        <v>170100</v>
      </c>
      <c r="F481" s="3"/>
      <c r="G481" s="7">
        <f>IF(Tabla1[[#This Row],[Fecha]]="","",G480+Tabla1[[#This Row],[ingreso]]-Tabla1[[#This Row],[egreso]])</f>
        <v>10274297.6909</v>
      </c>
      <c r="H481" s="7" t="s">
        <v>34</v>
      </c>
      <c r="I481" s="7"/>
      <c r="J481" s="4"/>
    </row>
    <row r="482" spans="1:11" x14ac:dyDescent="0.2">
      <c r="A482">
        <f>COUNTIF($I$2:I482,'[1]Detalle Pilotos'!$G$3)</f>
        <v>0</v>
      </c>
      <c r="B482">
        <f t="shared" si="7"/>
        <v>481</v>
      </c>
      <c r="C482" s="9">
        <v>44234</v>
      </c>
      <c r="D482" s="4" t="s">
        <v>195</v>
      </c>
      <c r="E482" s="8">
        <v>150000</v>
      </c>
      <c r="F482" s="3"/>
      <c r="G482" s="7">
        <f>IF(Tabla1[[#This Row],[Fecha]]="","",G481+Tabla1[[#This Row],[ingreso]]-Tabla1[[#This Row],[egreso]])</f>
        <v>10124297.6909</v>
      </c>
      <c r="H482" s="7" t="s">
        <v>34</v>
      </c>
      <c r="I482" s="7"/>
      <c r="J482" s="4"/>
    </row>
    <row r="483" spans="1:11" x14ac:dyDescent="0.2">
      <c r="A483">
        <f>COUNTIF($I$2:I483,'[1]Detalle Pilotos'!$G$3)</f>
        <v>0</v>
      </c>
      <c r="B483">
        <f t="shared" si="7"/>
        <v>482</v>
      </c>
      <c r="C483" s="9">
        <v>44236</v>
      </c>
      <c r="D483" s="4" t="s">
        <v>49</v>
      </c>
      <c r="E483" s="8">
        <v>48269</v>
      </c>
      <c r="F483" s="3"/>
      <c r="G483" s="7">
        <f>IF(Tabla1[[#This Row],[Fecha]]="","",G482+Tabla1[[#This Row],[ingreso]]-Tabla1[[#This Row],[egreso]])</f>
        <v>10076028.6909</v>
      </c>
      <c r="H483" s="7" t="s">
        <v>14</v>
      </c>
      <c r="I483" s="7"/>
      <c r="J483" s="4"/>
    </row>
    <row r="484" spans="1:11" x14ac:dyDescent="0.2">
      <c r="A484">
        <f>COUNTIF($I$2:I484,'[1]Detalle Pilotos'!$G$3)</f>
        <v>0</v>
      </c>
      <c r="B484">
        <f t="shared" si="7"/>
        <v>483</v>
      </c>
      <c r="C484" s="9">
        <v>44236</v>
      </c>
      <c r="D484" s="4" t="s">
        <v>196</v>
      </c>
      <c r="E484" s="8"/>
      <c r="F484" s="3">
        <v>94000</v>
      </c>
      <c r="G484" s="7">
        <f>IF(Tabla1[[#This Row],[Fecha]]="","",G483+Tabla1[[#This Row],[ingreso]]-Tabla1[[#This Row],[egreso]])</f>
        <v>10170028.6909</v>
      </c>
      <c r="H484" s="7"/>
      <c r="I484" s="7" t="s">
        <v>197</v>
      </c>
      <c r="J484" s="4"/>
    </row>
    <row r="485" spans="1:11" x14ac:dyDescent="0.2">
      <c r="A485">
        <f>COUNTIF($I$2:I485,'[1]Detalle Pilotos'!$G$3)</f>
        <v>0</v>
      </c>
      <c r="B485">
        <f t="shared" si="7"/>
        <v>484</v>
      </c>
      <c r="C485" s="9">
        <v>44236</v>
      </c>
      <c r="D485" s="4" t="s">
        <v>198</v>
      </c>
      <c r="E485" s="8">
        <v>52000</v>
      </c>
      <c r="F485" s="3"/>
      <c r="G485" s="7">
        <f>IF(Tabla1[[#This Row],[Fecha]]="","",G484+Tabla1[[#This Row],[ingreso]]-Tabla1[[#This Row],[egreso]])</f>
        <v>10118028.6909</v>
      </c>
      <c r="H485" s="7"/>
      <c r="I485" s="7"/>
      <c r="J485" s="4"/>
    </row>
    <row r="486" spans="1:11" x14ac:dyDescent="0.2">
      <c r="A486">
        <f>COUNTIF($I$2:I486,'[1]Detalle Pilotos'!$G$3)</f>
        <v>0</v>
      </c>
      <c r="B486">
        <f t="shared" si="7"/>
        <v>485</v>
      </c>
      <c r="C486" s="9">
        <v>44236</v>
      </c>
      <c r="D486" s="4" t="s">
        <v>15</v>
      </c>
      <c r="E486" s="8"/>
      <c r="F486" s="3">
        <v>52000</v>
      </c>
      <c r="G486" s="7">
        <f>IF(Tabla1[[#This Row],[Fecha]]="","",G485+Tabla1[[#This Row],[ingreso]]-Tabla1[[#This Row],[egreso]])</f>
        <v>10170028.6909</v>
      </c>
      <c r="H486" s="7"/>
      <c r="I486" s="7" t="s">
        <v>16</v>
      </c>
      <c r="J486" s="4"/>
    </row>
    <row r="487" spans="1:11" x14ac:dyDescent="0.2">
      <c r="A487">
        <f>COUNTIF($I$2:I487,'[1]Detalle Pilotos'!$G$3)</f>
        <v>0</v>
      </c>
      <c r="B487">
        <f t="shared" si="7"/>
        <v>486</v>
      </c>
      <c r="C487" s="9">
        <v>44237</v>
      </c>
      <c r="D487" s="4" t="s">
        <v>164</v>
      </c>
      <c r="E487" s="8"/>
      <c r="F487" s="3">
        <v>24155</v>
      </c>
      <c r="G487" s="7">
        <f>IF(Tabla1[[#This Row],[Fecha]]="","",G486+Tabla1[[#This Row],[ingreso]]-Tabla1[[#This Row],[egreso]])</f>
        <v>10194183.6909</v>
      </c>
      <c r="H487" s="7"/>
      <c r="I487" s="7" t="s">
        <v>165</v>
      </c>
      <c r="J487" s="4"/>
    </row>
    <row r="488" spans="1:11" x14ac:dyDescent="0.2">
      <c r="A488">
        <f>COUNTIF($I$2:I488,'[1]Detalle Pilotos'!$G$3)</f>
        <v>0</v>
      </c>
      <c r="B488">
        <f t="shared" si="7"/>
        <v>487</v>
      </c>
      <c r="C488" s="9">
        <v>44243</v>
      </c>
      <c r="D488" s="4" t="s">
        <v>188</v>
      </c>
      <c r="E488" s="8"/>
      <c r="F488" s="3">
        <v>192000</v>
      </c>
      <c r="G488" s="7">
        <f>IF(Tabla1[[#This Row],[Fecha]]="","",G487+Tabla1[[#This Row],[ingreso]]-Tabla1[[#This Row],[egreso]])</f>
        <v>10386183.6909</v>
      </c>
      <c r="H488" s="7"/>
      <c r="I488" s="7" t="s">
        <v>189</v>
      </c>
      <c r="J488" s="4"/>
    </row>
    <row r="489" spans="1:11" x14ac:dyDescent="0.2">
      <c r="A489">
        <f>COUNTIF($I$2:I489,'[1]Detalle Pilotos'!$G$3)</f>
        <v>0</v>
      </c>
      <c r="B489">
        <f t="shared" si="7"/>
        <v>488</v>
      </c>
      <c r="C489" s="9">
        <v>44243</v>
      </c>
      <c r="D489" s="4" t="s">
        <v>186</v>
      </c>
      <c r="E489" s="8"/>
      <c r="F489" s="3">
        <v>973468</v>
      </c>
      <c r="G489" s="7">
        <f>IF(Tabla1[[#This Row],[Fecha]]="","",G488+Tabla1[[#This Row],[ingreso]]-Tabla1[[#This Row],[egreso]])</f>
        <v>11359651.6909</v>
      </c>
      <c r="H489" s="7"/>
      <c r="I489" s="7" t="s">
        <v>187</v>
      </c>
      <c r="J489" s="4"/>
      <c r="K489" s="10"/>
    </row>
    <row r="490" spans="1:11" x14ac:dyDescent="0.2">
      <c r="A490">
        <f>COUNTIF($I$2:I490,'[1]Detalle Pilotos'!$G$3)</f>
        <v>0</v>
      </c>
      <c r="B490">
        <f t="shared" si="7"/>
        <v>489</v>
      </c>
      <c r="C490" s="9">
        <v>44245</v>
      </c>
      <c r="D490" s="4" t="s">
        <v>36</v>
      </c>
      <c r="E490" s="8"/>
      <c r="F490" s="3">
        <v>132000</v>
      </c>
      <c r="G490" s="7">
        <f>IF(Tabla1[[#This Row],[Fecha]]="","",G489+Tabla1[[#This Row],[ingreso]]-Tabla1[[#This Row],[egreso]])</f>
        <v>11491651.6909</v>
      </c>
      <c r="H490" s="7"/>
      <c r="I490" s="7" t="s">
        <v>37</v>
      </c>
      <c r="J490" s="4"/>
    </row>
    <row r="491" spans="1:11" x14ac:dyDescent="0.2">
      <c r="A491">
        <f>COUNTIF($I$2:I491,'[1]Detalle Pilotos'!$G$3)</f>
        <v>0</v>
      </c>
      <c r="B491">
        <f t="shared" si="7"/>
        <v>490</v>
      </c>
      <c r="C491" s="9">
        <v>44245</v>
      </c>
      <c r="D491" s="4" t="s">
        <v>199</v>
      </c>
      <c r="E491" s="8">
        <v>256024</v>
      </c>
      <c r="F491" s="3"/>
      <c r="G491" s="7">
        <f>IF(Tabla1[[#This Row],[Fecha]]="","",G490+Tabla1[[#This Row],[ingreso]]-Tabla1[[#This Row],[egreso]])</f>
        <v>11235627.6909</v>
      </c>
      <c r="H491" s="7" t="s">
        <v>18</v>
      </c>
      <c r="I491" s="7"/>
      <c r="J491" s="4"/>
    </row>
    <row r="492" spans="1:11" x14ac:dyDescent="0.2">
      <c r="A492">
        <f>COUNTIF($I$2:I492,'[1]Detalle Pilotos'!$G$3)</f>
        <v>0</v>
      </c>
      <c r="B492">
        <f t="shared" si="7"/>
        <v>491</v>
      </c>
      <c r="C492" s="9">
        <v>44245</v>
      </c>
      <c r="D492" s="4" t="s">
        <v>109</v>
      </c>
      <c r="E492" s="8"/>
      <c r="F492" s="3">
        <v>170000</v>
      </c>
      <c r="G492" s="7">
        <f>IF(Tabla1[[#This Row],[Fecha]]="","",G491+Tabla1[[#This Row],[ingreso]]-Tabla1[[#This Row],[egreso]])</f>
        <v>11405627.6909</v>
      </c>
      <c r="H492" s="7"/>
      <c r="I492" s="7" t="s">
        <v>110</v>
      </c>
      <c r="J492" s="4"/>
    </row>
    <row r="493" spans="1:11" x14ac:dyDescent="0.2">
      <c r="A493">
        <f>COUNTIF($I$2:I493,'[1]Detalle Pilotos'!$G$3)</f>
        <v>0</v>
      </c>
      <c r="B493">
        <f t="shared" si="7"/>
        <v>492</v>
      </c>
      <c r="C493" s="9">
        <v>44247</v>
      </c>
      <c r="D493" s="4" t="s">
        <v>200</v>
      </c>
      <c r="E493" s="8"/>
      <c r="F493" s="3">
        <v>134100</v>
      </c>
      <c r="G493" s="7">
        <f>IF(Tabla1[[#This Row],[Fecha]]="","",G492+Tabla1[[#This Row],[ingreso]]-Tabla1[[#This Row],[egreso]])</f>
        <v>11539727.6909</v>
      </c>
      <c r="H493" s="7"/>
      <c r="I493" s="7" t="s">
        <v>201</v>
      </c>
      <c r="J493" s="4"/>
    </row>
    <row r="494" spans="1:11" x14ac:dyDescent="0.2">
      <c r="A494">
        <f>COUNTIF($I$2:I494,'[1]Detalle Pilotos'!$G$3)</f>
        <v>0</v>
      </c>
      <c r="B494">
        <f t="shared" si="7"/>
        <v>493</v>
      </c>
      <c r="C494" s="9">
        <v>44247</v>
      </c>
      <c r="D494" s="4" t="s">
        <v>202</v>
      </c>
      <c r="E494" s="8">
        <v>26100</v>
      </c>
      <c r="F494" s="3"/>
      <c r="G494" s="7">
        <f>IF(Tabla1[[#This Row],[Fecha]]="","",G493+Tabla1[[#This Row],[ingreso]]-Tabla1[[#This Row],[egreso]])</f>
        <v>11513627.6909</v>
      </c>
      <c r="H494" s="7"/>
      <c r="I494" s="7"/>
      <c r="J494" s="4"/>
    </row>
    <row r="495" spans="1:11" x14ac:dyDescent="0.2">
      <c r="A495">
        <f>COUNTIF($I$2:I495,'[1]Detalle Pilotos'!$G$3)</f>
        <v>0</v>
      </c>
      <c r="B495">
        <f t="shared" si="7"/>
        <v>494</v>
      </c>
      <c r="C495" s="9">
        <v>44247</v>
      </c>
      <c r="D495" s="4" t="s">
        <v>15</v>
      </c>
      <c r="E495" s="8"/>
      <c r="F495" s="3">
        <v>26100</v>
      </c>
      <c r="G495" s="7">
        <f>IF(Tabla1[[#This Row],[Fecha]]="","",G494+Tabla1[[#This Row],[ingreso]]-Tabla1[[#This Row],[egreso]])</f>
        <v>11539727.6909</v>
      </c>
      <c r="H495" s="7"/>
      <c r="I495" s="7" t="s">
        <v>16</v>
      </c>
      <c r="J495" s="4"/>
    </row>
    <row r="496" spans="1:11" x14ac:dyDescent="0.2">
      <c r="A496">
        <f>COUNTIF($I$2:I496,'[1]Detalle Pilotos'!$G$3)</f>
        <v>0</v>
      </c>
      <c r="B496">
        <f t="shared" si="7"/>
        <v>495</v>
      </c>
      <c r="C496" s="9">
        <v>44251</v>
      </c>
      <c r="D496" s="4" t="s">
        <v>203</v>
      </c>
      <c r="E496" s="8">
        <v>214753</v>
      </c>
      <c r="F496" s="3"/>
      <c r="G496" s="7">
        <f>IF(Tabla1[[#This Row],[Fecha]]="","",G495+Tabla1[[#This Row],[ingreso]]-Tabla1[[#This Row],[egreso]])</f>
        <v>11324974.6909</v>
      </c>
      <c r="H496" s="7" t="s">
        <v>18</v>
      </c>
      <c r="I496" s="7"/>
      <c r="J496" s="4"/>
    </row>
    <row r="497" spans="1:10" x14ac:dyDescent="0.2">
      <c r="A497">
        <f>COUNTIF($I$2:I497,'[1]Detalle Pilotos'!$G$3)</f>
        <v>0</v>
      </c>
      <c r="B497">
        <f t="shared" si="7"/>
        <v>496</v>
      </c>
      <c r="C497" s="9">
        <v>44258</v>
      </c>
      <c r="D497" s="4" t="s">
        <v>53</v>
      </c>
      <c r="E497" s="8"/>
      <c r="F497" s="3">
        <v>185250</v>
      </c>
      <c r="G497" s="7">
        <f>IF(Tabla1[[#This Row],[Fecha]]="","",G496+Tabla1[[#This Row],[ingreso]]-Tabla1[[#This Row],[egreso]])</f>
        <v>11510224.6909</v>
      </c>
      <c r="H497" s="7"/>
      <c r="I497" s="7" t="s">
        <v>54</v>
      </c>
      <c r="J497" s="4"/>
    </row>
    <row r="498" spans="1:10" x14ac:dyDescent="0.2">
      <c r="A498">
        <f>COUNTIF($I$2:I498,'[1]Detalle Pilotos'!$G$3)</f>
        <v>0</v>
      </c>
      <c r="B498">
        <f t="shared" si="7"/>
        <v>497</v>
      </c>
      <c r="C498" s="9">
        <v>44258</v>
      </c>
      <c r="D498" s="4" t="s">
        <v>157</v>
      </c>
      <c r="E498" s="8"/>
      <c r="F498" s="3">
        <v>96000</v>
      </c>
      <c r="G498" s="7">
        <f>IF(Tabla1[[#This Row],[Fecha]]="","",G497+Tabla1[[#This Row],[ingreso]]-Tabla1[[#This Row],[egreso]])</f>
        <v>11606224.6909</v>
      </c>
      <c r="H498" s="7"/>
      <c r="I498" s="7" t="s">
        <v>158</v>
      </c>
      <c r="J498" s="4"/>
    </row>
    <row r="499" spans="1:10" x14ac:dyDescent="0.2">
      <c r="A499">
        <f>COUNTIF($I$2:I499,'[1]Detalle Pilotos'!$G$3)</f>
        <v>0</v>
      </c>
      <c r="B499">
        <f t="shared" si="7"/>
        <v>498</v>
      </c>
      <c r="C499" s="9">
        <v>44258</v>
      </c>
      <c r="D499" s="4" t="s">
        <v>134</v>
      </c>
      <c r="E499" s="8">
        <f>29309.28*8.82</f>
        <v>258507.84959999999</v>
      </c>
      <c r="F499" s="3"/>
      <c r="G499" s="7">
        <f>IF(Tabla1[[#This Row],[Fecha]]="","",G498+Tabla1[[#This Row],[ingreso]]-Tabla1[[#This Row],[egreso]])</f>
        <v>11347716.8413</v>
      </c>
      <c r="H499" s="7" t="s">
        <v>43</v>
      </c>
      <c r="I499" s="7"/>
      <c r="J499" s="4"/>
    </row>
    <row r="500" spans="1:10" x14ac:dyDescent="0.2">
      <c r="A500">
        <f>COUNTIF($I$2:I500,'[1]Detalle Pilotos'!$G$3)</f>
        <v>0</v>
      </c>
      <c r="B500">
        <f t="shared" si="7"/>
        <v>499</v>
      </c>
      <c r="C500" s="9">
        <v>44258</v>
      </c>
      <c r="D500" s="4" t="s">
        <v>204</v>
      </c>
      <c r="E500" s="8"/>
      <c r="F500" s="3">
        <v>250000</v>
      </c>
      <c r="G500" s="7">
        <f>IF(Tabla1[[#This Row],[Fecha]]="","",G499+Tabla1[[#This Row],[ingreso]]-Tabla1[[#This Row],[egreso]])</f>
        <v>11597716.8413</v>
      </c>
      <c r="H500" s="7"/>
      <c r="I500" s="7" t="s">
        <v>182</v>
      </c>
      <c r="J500" s="4"/>
    </row>
    <row r="501" spans="1:10" x14ac:dyDescent="0.2">
      <c r="A501">
        <f>COUNTIF($I$2:I501,'[1]Detalle Pilotos'!$G$3)</f>
        <v>0</v>
      </c>
      <c r="B501">
        <f t="shared" si="7"/>
        <v>500</v>
      </c>
      <c r="C501" s="9">
        <v>44260</v>
      </c>
      <c r="D501" s="4" t="s">
        <v>204</v>
      </c>
      <c r="E501" s="8"/>
      <c r="F501" s="3">
        <v>323438</v>
      </c>
      <c r="G501" s="7">
        <f>IF(Tabla1[[#This Row],[Fecha]]="","",G500+Tabla1[[#This Row],[ingreso]]-Tabla1[[#This Row],[egreso]])</f>
        <v>11921154.8413</v>
      </c>
      <c r="H501" s="7"/>
      <c r="I501" s="7" t="s">
        <v>182</v>
      </c>
      <c r="J501" s="4"/>
    </row>
    <row r="502" spans="1:10" x14ac:dyDescent="0.2">
      <c r="A502">
        <f>COUNTIF($I$2:I502,'[1]Detalle Pilotos'!$G$3)</f>
        <v>0</v>
      </c>
      <c r="B502">
        <f t="shared" si="7"/>
        <v>501</v>
      </c>
      <c r="C502" s="9">
        <v>44260</v>
      </c>
      <c r="D502" s="4" t="s">
        <v>36</v>
      </c>
      <c r="E502" s="8"/>
      <c r="F502" s="3">
        <v>120000</v>
      </c>
      <c r="G502" s="7">
        <f>IF(Tabla1[[#This Row],[Fecha]]="","",G501+Tabla1[[#This Row],[ingreso]]-Tabla1[[#This Row],[egreso]])</f>
        <v>12041154.8413</v>
      </c>
      <c r="H502" s="7"/>
      <c r="I502" s="7" t="s">
        <v>37</v>
      </c>
      <c r="J502" s="4"/>
    </row>
    <row r="503" spans="1:10" x14ac:dyDescent="0.2">
      <c r="A503">
        <f>COUNTIF($I$2:I503,'[1]Detalle Pilotos'!$G$3)</f>
        <v>0</v>
      </c>
      <c r="B503">
        <f t="shared" si="7"/>
        <v>502</v>
      </c>
      <c r="C503" s="9">
        <v>44260</v>
      </c>
      <c r="D503" s="4" t="s">
        <v>101</v>
      </c>
      <c r="E503" s="8">
        <v>5000000</v>
      </c>
      <c r="F503" s="3"/>
      <c r="G503" s="7">
        <f>IF(Tabla1[[#This Row],[Fecha]]="","",G502+Tabla1[[#This Row],[ingreso]]-Tabla1[[#This Row],[egreso]])</f>
        <v>7041154.8412999995</v>
      </c>
      <c r="H503" s="7"/>
      <c r="I503" s="7"/>
      <c r="J503" s="4"/>
    </row>
    <row r="504" spans="1:10" x14ac:dyDescent="0.2">
      <c r="A504">
        <f>COUNTIF($I$2:I504,'[1]Detalle Pilotos'!$G$3)</f>
        <v>0</v>
      </c>
      <c r="B504">
        <f t="shared" si="7"/>
        <v>503</v>
      </c>
      <c r="C504" s="9">
        <v>44263</v>
      </c>
      <c r="D504" s="4" t="s">
        <v>205</v>
      </c>
      <c r="E504" s="8">
        <v>480778</v>
      </c>
      <c r="F504" s="3"/>
      <c r="G504" s="7">
        <f>IF(Tabla1[[#This Row],[Fecha]]="","",G503+Tabla1[[#This Row],[ingreso]]-Tabla1[[#This Row],[egreso]])</f>
        <v>6560376.8412999995</v>
      </c>
      <c r="H504" s="7"/>
      <c r="I504" s="7"/>
      <c r="J504" s="4"/>
    </row>
    <row r="505" spans="1:10" x14ac:dyDescent="0.2">
      <c r="A505">
        <f>COUNTIF($I$2:I505,'[1]Detalle Pilotos'!$G$3)</f>
        <v>0</v>
      </c>
      <c r="B505">
        <f t="shared" si="7"/>
        <v>504</v>
      </c>
      <c r="C505" s="9">
        <v>44271</v>
      </c>
      <c r="D505" s="4" t="s">
        <v>36</v>
      </c>
      <c r="E505" s="8"/>
      <c r="F505" s="3">
        <v>144000</v>
      </c>
      <c r="G505" s="7">
        <f>IF(Tabla1[[#This Row],[Fecha]]="","",G504+Tabla1[[#This Row],[ingreso]]-Tabla1[[#This Row],[egreso]])</f>
        <v>6704376.8412999995</v>
      </c>
      <c r="H505" s="7"/>
      <c r="I505" s="7" t="s">
        <v>37</v>
      </c>
      <c r="J505" s="4"/>
    </row>
    <row r="506" spans="1:10" x14ac:dyDescent="0.2">
      <c r="A506">
        <f>COUNTIF($I$2:I506,'[1]Detalle Pilotos'!$G$3)</f>
        <v>0</v>
      </c>
      <c r="B506">
        <f t="shared" si="7"/>
        <v>505</v>
      </c>
      <c r="C506" s="9">
        <v>44286</v>
      </c>
      <c r="D506" s="4" t="s">
        <v>206</v>
      </c>
      <c r="E506" s="8">
        <v>148243</v>
      </c>
      <c r="F506" s="3"/>
      <c r="G506" s="7">
        <f>IF(Tabla1[[#This Row],[Fecha]]="","",G505+Tabla1[[#This Row],[ingreso]]-Tabla1[[#This Row],[egreso]])</f>
        <v>6556133.8412999995</v>
      </c>
      <c r="H506" s="7"/>
      <c r="I506" s="7"/>
      <c r="J506" s="4"/>
    </row>
    <row r="507" spans="1:10" x14ac:dyDescent="0.2">
      <c r="A507">
        <f>COUNTIF($I$2:I507,'[1]Detalle Pilotos'!$G$3)</f>
        <v>0</v>
      </c>
      <c r="B507">
        <f t="shared" si="7"/>
        <v>506</v>
      </c>
      <c r="C507" s="9">
        <v>44287</v>
      </c>
      <c r="D507" s="4" t="s">
        <v>96</v>
      </c>
      <c r="E507" s="8">
        <v>259279</v>
      </c>
      <c r="F507" s="3"/>
      <c r="G507" s="7">
        <f>IF(Tabla1[[#This Row],[Fecha]]="","",G506+Tabla1[[#This Row],[ingreso]]-Tabla1[[#This Row],[egreso]])</f>
        <v>6296854.8412999995</v>
      </c>
      <c r="H507" s="7" t="s">
        <v>43</v>
      </c>
      <c r="I507" s="7"/>
      <c r="J507" s="4"/>
    </row>
    <row r="508" spans="1:10" x14ac:dyDescent="0.2">
      <c r="A508">
        <f>COUNTIF($I$2:I508,'[1]Detalle Pilotos'!$G$3)</f>
        <v>0</v>
      </c>
      <c r="B508">
        <f t="shared" si="7"/>
        <v>507</v>
      </c>
      <c r="C508" s="9">
        <v>44317</v>
      </c>
      <c r="D508" s="4" t="s">
        <v>141</v>
      </c>
      <c r="E508" s="8">
        <v>130086</v>
      </c>
      <c r="F508" s="3"/>
      <c r="G508" s="7">
        <f>IF(Tabla1[[#This Row],[Fecha]]="","",G507+Tabla1[[#This Row],[ingreso]]-Tabla1[[#This Row],[egreso]])</f>
        <v>6166768.8412999995</v>
      </c>
      <c r="H508" s="7" t="s">
        <v>43</v>
      </c>
      <c r="I508" s="7"/>
      <c r="J508" s="4"/>
    </row>
    <row r="509" spans="1:10" x14ac:dyDescent="0.2">
      <c r="A509">
        <f>COUNTIF($I$2:I509,'[1]Detalle Pilotos'!$G$3)</f>
        <v>0</v>
      </c>
      <c r="B509">
        <f t="shared" si="7"/>
        <v>508</v>
      </c>
      <c r="C509" s="9">
        <v>44328</v>
      </c>
      <c r="D509" s="4" t="s">
        <v>12</v>
      </c>
      <c r="E509" s="8"/>
      <c r="F509" s="3">
        <v>30096</v>
      </c>
      <c r="G509" s="7">
        <f>IF(Tabla1[[#This Row],[Fecha]]="","",G508+Tabla1[[#This Row],[ingreso]]-Tabla1[[#This Row],[egreso]])</f>
        <v>6196864.8412999995</v>
      </c>
      <c r="H509" s="7"/>
      <c r="I509" s="7" t="s">
        <v>13</v>
      </c>
      <c r="J509" s="4"/>
    </row>
    <row r="510" spans="1:10" x14ac:dyDescent="0.2">
      <c r="A510">
        <f>COUNTIF($I$2:I510,'[1]Detalle Pilotos'!$G$3)</f>
        <v>0</v>
      </c>
      <c r="B510">
        <f t="shared" si="7"/>
        <v>509</v>
      </c>
      <c r="C510" s="9">
        <v>44330</v>
      </c>
      <c r="D510" s="4" t="s">
        <v>178</v>
      </c>
      <c r="E510" s="8"/>
      <c r="F510" s="3">
        <v>140000</v>
      </c>
      <c r="G510" s="7">
        <f>IF(Tabla1[[#This Row],[Fecha]]="","",G509+Tabla1[[#This Row],[ingreso]]-Tabla1[[#This Row],[egreso]])</f>
        <v>6336864.8412999995</v>
      </c>
      <c r="H510" s="7"/>
      <c r="I510" s="7" t="s">
        <v>179</v>
      </c>
      <c r="J510" s="4"/>
    </row>
    <row r="511" spans="1:10" x14ac:dyDescent="0.2">
      <c r="A511">
        <f>COUNTIF($I$2:I511,'[1]Detalle Pilotos'!$G$3)</f>
        <v>0</v>
      </c>
      <c r="B511">
        <f t="shared" si="7"/>
        <v>510</v>
      </c>
      <c r="C511" s="9">
        <v>44330</v>
      </c>
      <c r="D511" s="4" t="s">
        <v>207</v>
      </c>
      <c r="E511" s="8">
        <v>20000</v>
      </c>
      <c r="F511" s="3"/>
      <c r="G511" s="7">
        <f>IF(Tabla1[[#This Row],[Fecha]]="","",G510+Tabla1[[#This Row],[ingreso]]-Tabla1[[#This Row],[egreso]])</f>
        <v>6316864.8412999995</v>
      </c>
      <c r="H511" s="7"/>
      <c r="I511" s="7"/>
      <c r="J511" s="4"/>
    </row>
    <row r="512" spans="1:10" x14ac:dyDescent="0.2">
      <c r="A512">
        <f>COUNTIF($I$2:I512,'[1]Detalle Pilotos'!$G$3)</f>
        <v>0</v>
      </c>
      <c r="B512">
        <f t="shared" si="7"/>
        <v>511</v>
      </c>
      <c r="C512" s="9">
        <v>44330</v>
      </c>
      <c r="D512" s="4" t="s">
        <v>15</v>
      </c>
      <c r="E512" s="8"/>
      <c r="F512" s="3">
        <v>20000</v>
      </c>
      <c r="G512" s="7">
        <f>IF(Tabla1[[#This Row],[Fecha]]="","",G511+Tabla1[[#This Row],[ingreso]]-Tabla1[[#This Row],[egreso]])</f>
        <v>6336864.8412999995</v>
      </c>
      <c r="H512" s="7"/>
      <c r="I512" s="7" t="s">
        <v>16</v>
      </c>
      <c r="J512" s="4"/>
    </row>
    <row r="513" spans="1:10" x14ac:dyDescent="0.2">
      <c r="A513">
        <f>COUNTIF($I$2:I513,'[1]Detalle Pilotos'!$G$3)</f>
        <v>0</v>
      </c>
      <c r="B513">
        <f t="shared" si="7"/>
        <v>512</v>
      </c>
      <c r="C513" s="9">
        <v>44337</v>
      </c>
      <c r="D513" s="4" t="s">
        <v>208</v>
      </c>
      <c r="E513" s="8">
        <v>147819</v>
      </c>
      <c r="F513" s="3"/>
      <c r="G513" s="7">
        <f>IF(Tabla1[[#This Row],[Fecha]]="","",G512+Tabla1[[#This Row],[ingreso]]-Tabla1[[#This Row],[egreso]])</f>
        <v>6189045.8412999995</v>
      </c>
      <c r="H513" s="7" t="s">
        <v>18</v>
      </c>
      <c r="I513" s="7"/>
      <c r="J513" s="4"/>
    </row>
    <row r="514" spans="1:10" x14ac:dyDescent="0.2">
      <c r="A514">
        <f>COUNTIF($I$2:I514,'[1]Detalle Pilotos'!$G$3)</f>
        <v>0</v>
      </c>
      <c r="B514">
        <f t="shared" si="7"/>
        <v>513</v>
      </c>
      <c r="C514" s="9">
        <v>44337</v>
      </c>
      <c r="D514" s="4" t="s">
        <v>188</v>
      </c>
      <c r="E514" s="8"/>
      <c r="F514" s="3">
        <v>18096</v>
      </c>
      <c r="G514" s="7">
        <f>IF(Tabla1[[#This Row],[Fecha]]="","",G513+Tabla1[[#This Row],[ingreso]]-Tabla1[[#This Row],[egreso]])</f>
        <v>6207141.8412999995</v>
      </c>
      <c r="H514" s="7"/>
      <c r="I514" s="7" t="s">
        <v>189</v>
      </c>
      <c r="J514" s="4"/>
    </row>
    <row r="515" spans="1:10" x14ac:dyDescent="0.2">
      <c r="A515">
        <f>COUNTIF($I$2:I515,'[1]Detalle Pilotos'!$G$3)</f>
        <v>0</v>
      </c>
      <c r="B515">
        <f t="shared" si="7"/>
        <v>514</v>
      </c>
      <c r="C515" s="9">
        <v>44343</v>
      </c>
      <c r="D515" s="4" t="s">
        <v>15</v>
      </c>
      <c r="E515" s="8"/>
      <c r="F515" s="3">
        <v>148500</v>
      </c>
      <c r="G515" s="7">
        <f>IF(Tabla1[[#This Row],[Fecha]]="","",G514+Tabla1[[#This Row],[ingreso]]-Tabla1[[#This Row],[egreso]])</f>
        <v>6355641.8412999995</v>
      </c>
      <c r="H515" s="7"/>
      <c r="I515" s="7" t="s">
        <v>16</v>
      </c>
      <c r="J515" s="4" t="s">
        <v>209</v>
      </c>
    </row>
    <row r="516" spans="1:10" x14ac:dyDescent="0.2">
      <c r="A516">
        <f>COUNTIF($I$2:I516,'[1]Detalle Pilotos'!$G$3)</f>
        <v>0</v>
      </c>
      <c r="B516">
        <f t="shared" ref="B516:B579" si="8">IF(C516="","",1+B515)</f>
        <v>515</v>
      </c>
      <c r="C516" s="9">
        <v>44343</v>
      </c>
      <c r="D516" s="4" t="s">
        <v>15</v>
      </c>
      <c r="E516" s="8"/>
      <c r="F516" s="3">
        <v>20000</v>
      </c>
      <c r="G516" s="7">
        <f>IF(Tabla1[[#This Row],[Fecha]]="","",G515+Tabla1[[#This Row],[ingreso]]-Tabla1[[#This Row],[egreso]])</f>
        <v>6375641.8412999995</v>
      </c>
      <c r="H516" s="7"/>
      <c r="I516" s="7" t="s">
        <v>16</v>
      </c>
      <c r="J516" s="4"/>
    </row>
    <row r="517" spans="1:10" x14ac:dyDescent="0.2">
      <c r="A517">
        <f>COUNTIF($I$2:I517,'[1]Detalle Pilotos'!$G$3)</f>
        <v>0</v>
      </c>
      <c r="B517">
        <f t="shared" si="8"/>
        <v>516</v>
      </c>
      <c r="C517" s="9">
        <v>44343</v>
      </c>
      <c r="D517" s="4" t="s">
        <v>36</v>
      </c>
      <c r="E517" s="8"/>
      <c r="F517" s="3">
        <v>240000</v>
      </c>
      <c r="G517" s="7">
        <f>IF(Tabla1[[#This Row],[Fecha]]="","",G516+Tabla1[[#This Row],[ingreso]]-Tabla1[[#This Row],[egreso]])</f>
        <v>6615641.8412999995</v>
      </c>
      <c r="H517" s="7"/>
      <c r="I517" s="7" t="s">
        <v>37</v>
      </c>
      <c r="J517" s="4"/>
    </row>
    <row r="518" spans="1:10" x14ac:dyDescent="0.2">
      <c r="A518">
        <f>COUNTIF($I$2:I518,'[1]Detalle Pilotos'!$G$3)</f>
        <v>0</v>
      </c>
      <c r="B518">
        <f t="shared" si="8"/>
        <v>517</v>
      </c>
      <c r="C518" s="9">
        <v>44345</v>
      </c>
      <c r="D518" s="4" t="s">
        <v>157</v>
      </c>
      <c r="E518" s="8"/>
      <c r="F518" s="3">
        <v>334735</v>
      </c>
      <c r="G518" s="7">
        <f>IF(Tabla1[[#This Row],[Fecha]]="","",G517+Tabla1[[#This Row],[ingreso]]-Tabla1[[#This Row],[egreso]])</f>
        <v>6950376.8412999995</v>
      </c>
      <c r="H518" s="7"/>
      <c r="I518" s="7" t="s">
        <v>158</v>
      </c>
      <c r="J518" s="4"/>
    </row>
    <row r="519" spans="1:10" x14ac:dyDescent="0.2">
      <c r="A519">
        <f>COUNTIF($I$2:I519,'[1]Detalle Pilotos'!$G$3)</f>
        <v>0</v>
      </c>
      <c r="B519">
        <f t="shared" si="8"/>
        <v>518</v>
      </c>
      <c r="C519" s="9">
        <v>44363</v>
      </c>
      <c r="D519" s="4" t="s">
        <v>149</v>
      </c>
      <c r="E519" s="8">
        <v>130266</v>
      </c>
      <c r="F519" s="3"/>
      <c r="G519" s="7">
        <f>IF(Tabla1[[#This Row],[Fecha]]="","",G518+Tabla1[[#This Row],[ingreso]]-Tabla1[[#This Row],[egreso]])</f>
        <v>6820110.8412999995</v>
      </c>
      <c r="H519" s="7" t="s">
        <v>43</v>
      </c>
      <c r="I519" s="7"/>
      <c r="J519" s="4"/>
    </row>
    <row r="520" spans="1:10" x14ac:dyDescent="0.2">
      <c r="A520">
        <f>COUNTIF($I$2:I520,'[1]Detalle Pilotos'!$G$3)</f>
        <v>0</v>
      </c>
      <c r="B520">
        <f t="shared" si="8"/>
        <v>519</v>
      </c>
      <c r="C520" s="9">
        <v>44347</v>
      </c>
      <c r="D520" s="4" t="s">
        <v>53</v>
      </c>
      <c r="E520" s="8"/>
      <c r="F520" s="3">
        <v>290100</v>
      </c>
      <c r="G520" s="7">
        <f>IF(Tabla1[[#This Row],[Fecha]]="","",G519+Tabla1[[#This Row],[ingreso]]-Tabla1[[#This Row],[egreso]])</f>
        <v>7110210.8412999995</v>
      </c>
      <c r="H520" s="7"/>
      <c r="I520" s="7" t="s">
        <v>54</v>
      </c>
      <c r="J520" s="4"/>
    </row>
    <row r="521" spans="1:10" x14ac:dyDescent="0.2">
      <c r="A521">
        <f>COUNTIF($I$2:I521,'[1]Detalle Pilotos'!$G$3)</f>
        <v>0</v>
      </c>
      <c r="B521">
        <f t="shared" si="8"/>
        <v>520</v>
      </c>
      <c r="C521" s="9">
        <v>44378</v>
      </c>
      <c r="D521" s="4" t="s">
        <v>150</v>
      </c>
      <c r="E521" s="8">
        <v>262067</v>
      </c>
      <c r="F521" s="3"/>
      <c r="G521" s="7">
        <f>IF(Tabla1[[#This Row],[Fecha]]="","",G520+Tabla1[[#This Row],[ingreso]]-Tabla1[[#This Row],[egreso]])</f>
        <v>6848143.8412999995</v>
      </c>
      <c r="H521" s="7" t="s">
        <v>43</v>
      </c>
      <c r="I521" s="7"/>
      <c r="J521" s="4"/>
    </row>
    <row r="522" spans="1:10" x14ac:dyDescent="0.2">
      <c r="A522">
        <f>COUNTIF($I$2:I522,'[1]Detalle Pilotos'!$G$3)</f>
        <v>0</v>
      </c>
      <c r="B522">
        <f t="shared" si="8"/>
        <v>521</v>
      </c>
      <c r="C522" s="9">
        <v>44378</v>
      </c>
      <c r="D522" s="4" t="s">
        <v>210</v>
      </c>
      <c r="E522" s="8">
        <v>15640</v>
      </c>
      <c r="F522" s="3"/>
      <c r="G522" s="7">
        <f>IF(Tabla1[[#This Row],[Fecha]]="","",G521+Tabla1[[#This Row],[ingreso]]-Tabla1[[#This Row],[egreso]])</f>
        <v>6832503.8412999995</v>
      </c>
      <c r="H522" s="7" t="s">
        <v>18</v>
      </c>
      <c r="I522" s="7"/>
      <c r="J522" s="4"/>
    </row>
    <row r="523" spans="1:10" x14ac:dyDescent="0.2">
      <c r="A523">
        <f>COUNTIF($I$2:I523,'[1]Detalle Pilotos'!$G$3)</f>
        <v>0</v>
      </c>
      <c r="B523">
        <f t="shared" si="8"/>
        <v>522</v>
      </c>
      <c r="C523" s="9">
        <v>44382</v>
      </c>
      <c r="D523" s="4" t="s">
        <v>157</v>
      </c>
      <c r="E523" s="8"/>
      <c r="F523" s="3">
        <v>204000</v>
      </c>
      <c r="G523" s="7">
        <f>IF(Tabla1[[#This Row],[Fecha]]="","",G522+Tabla1[[#This Row],[ingreso]]-Tabla1[[#This Row],[egreso]])</f>
        <v>7036503.8412999995</v>
      </c>
      <c r="H523" s="7"/>
      <c r="I523" s="7" t="s">
        <v>158</v>
      </c>
      <c r="J523" s="4"/>
    </row>
    <row r="524" spans="1:10" x14ac:dyDescent="0.2">
      <c r="A524">
        <f>COUNTIF($I$2:I524,'[1]Detalle Pilotos'!$G$3)</f>
        <v>0</v>
      </c>
      <c r="B524">
        <f t="shared" si="8"/>
        <v>523</v>
      </c>
      <c r="C524" s="9">
        <v>44387</v>
      </c>
      <c r="D524" s="4" t="s">
        <v>157</v>
      </c>
      <c r="E524" s="8"/>
      <c r="F524" s="3">
        <v>192000</v>
      </c>
      <c r="G524" s="7">
        <f>IF(Tabla1[[#This Row],[Fecha]]="","",G523+Tabla1[[#This Row],[ingreso]]-Tabla1[[#This Row],[egreso]])</f>
        <v>7228503.8412999995</v>
      </c>
      <c r="H524" s="7"/>
      <c r="I524" s="7" t="s">
        <v>158</v>
      </c>
      <c r="J524" s="4"/>
    </row>
    <row r="525" spans="1:10" x14ac:dyDescent="0.2">
      <c r="A525">
        <f>COUNTIF($I$2:I525,'[1]Detalle Pilotos'!$G$3)</f>
        <v>0</v>
      </c>
      <c r="B525">
        <f t="shared" si="8"/>
        <v>524</v>
      </c>
      <c r="C525" s="9">
        <v>44397</v>
      </c>
      <c r="D525" s="4" t="s">
        <v>53</v>
      </c>
      <c r="E525" s="8"/>
      <c r="F525" s="3">
        <v>118796</v>
      </c>
      <c r="G525" s="7">
        <f>IF(Tabla1[[#This Row],[Fecha]]="","",G524+Tabla1[[#This Row],[ingreso]]-Tabla1[[#This Row],[egreso]])</f>
        <v>7347299.8412999995</v>
      </c>
      <c r="H525" s="7"/>
      <c r="I525" s="7" t="s">
        <v>54</v>
      </c>
      <c r="J525" s="4"/>
    </row>
    <row r="526" spans="1:10" x14ac:dyDescent="0.2">
      <c r="A526">
        <f>COUNTIF($I$2:I526,'[1]Detalle Pilotos'!$G$3)</f>
        <v>0</v>
      </c>
      <c r="B526">
        <f t="shared" si="8"/>
        <v>525</v>
      </c>
      <c r="C526" s="9">
        <v>44398</v>
      </c>
      <c r="D526" s="4" t="s">
        <v>11</v>
      </c>
      <c r="E526" s="8"/>
      <c r="F526" s="3">
        <f>2590*790</f>
        <v>2046100</v>
      </c>
      <c r="G526" s="7">
        <f>IF(Tabla1[[#This Row],[Fecha]]="","",G525+Tabla1[[#This Row],[ingreso]]-Tabla1[[#This Row],[egreso]])</f>
        <v>9393399.8412999995</v>
      </c>
      <c r="H526" s="7"/>
      <c r="I526" s="7" t="s">
        <v>11</v>
      </c>
      <c r="J526" s="4"/>
    </row>
    <row r="527" spans="1:10" x14ac:dyDescent="0.2">
      <c r="A527">
        <f>COUNTIF($I$2:I527,'[1]Detalle Pilotos'!$G$3)</f>
        <v>0</v>
      </c>
      <c r="B527">
        <f t="shared" si="8"/>
        <v>526</v>
      </c>
      <c r="C527" s="9">
        <v>44398</v>
      </c>
      <c r="D527" s="4" t="s">
        <v>211</v>
      </c>
      <c r="E527" s="8">
        <f>2590*790</f>
        <v>2046100</v>
      </c>
      <c r="F527" s="3"/>
      <c r="G527" s="7">
        <f>IF(Tabla1[[#This Row],[Fecha]]="","",G526+Tabla1[[#This Row],[ingreso]]-Tabla1[[#This Row],[egreso]])</f>
        <v>7347299.8412999995</v>
      </c>
      <c r="H527" s="7" t="s">
        <v>22</v>
      </c>
      <c r="I527" s="7"/>
      <c r="J527" s="4"/>
    </row>
    <row r="528" spans="1:10" x14ac:dyDescent="0.2">
      <c r="A528">
        <f>COUNTIF($I$2:I528,'[1]Detalle Pilotos'!$G$3)</f>
        <v>0</v>
      </c>
      <c r="B528">
        <f t="shared" si="8"/>
        <v>527</v>
      </c>
      <c r="C528" s="9">
        <v>44403</v>
      </c>
      <c r="D528" s="4" t="s">
        <v>212</v>
      </c>
      <c r="E528" s="8">
        <v>97100</v>
      </c>
      <c r="F528" s="3"/>
      <c r="G528" s="7">
        <f>IF(Tabla1[[#This Row],[Fecha]]="","",G527+Tabla1[[#This Row],[ingreso]]-Tabla1[[#This Row],[egreso]])</f>
        <v>7250199.8412999995</v>
      </c>
      <c r="H528" s="7" t="s">
        <v>34</v>
      </c>
      <c r="I528" s="7"/>
      <c r="J528" s="4"/>
    </row>
    <row r="529" spans="1:10" x14ac:dyDescent="0.2">
      <c r="A529">
        <f>COUNTIF($I$2:I529,'[1]Detalle Pilotos'!$G$3)</f>
        <v>0</v>
      </c>
      <c r="B529">
        <f t="shared" si="8"/>
        <v>528</v>
      </c>
      <c r="C529" s="9">
        <v>44404</v>
      </c>
      <c r="D529" s="4" t="s">
        <v>213</v>
      </c>
      <c r="E529" s="8">
        <v>18050</v>
      </c>
      <c r="F529" s="3"/>
      <c r="G529" s="7">
        <f>IF(Tabla1[[#This Row],[Fecha]]="","",G528+Tabla1[[#This Row],[ingreso]]-Tabla1[[#This Row],[egreso]])</f>
        <v>7232149.8412999995</v>
      </c>
      <c r="H529" s="7" t="s">
        <v>34</v>
      </c>
      <c r="I529" s="7"/>
      <c r="J529" s="4"/>
    </row>
    <row r="530" spans="1:10" x14ac:dyDescent="0.2">
      <c r="A530">
        <f>COUNTIF($I$2:I530,'[1]Detalle Pilotos'!$G$3)</f>
        <v>0</v>
      </c>
      <c r="B530">
        <f t="shared" si="8"/>
        <v>529</v>
      </c>
      <c r="C530" s="9">
        <v>44407</v>
      </c>
      <c r="D530" s="4" t="s">
        <v>53</v>
      </c>
      <c r="E530" s="8"/>
      <c r="F530" s="3">
        <v>105390</v>
      </c>
      <c r="G530" s="7">
        <f>IF(Tabla1[[#This Row],[Fecha]]="","",G529+Tabla1[[#This Row],[ingreso]]-Tabla1[[#This Row],[egreso]])</f>
        <v>7337539.8412999995</v>
      </c>
      <c r="H530" s="7"/>
      <c r="I530" s="7" t="s">
        <v>54</v>
      </c>
      <c r="J530" s="4"/>
    </row>
    <row r="531" spans="1:10" x14ac:dyDescent="0.2">
      <c r="A531">
        <f>COUNTIF($I$2:I531,'[1]Detalle Pilotos'!$G$3)</f>
        <v>0</v>
      </c>
      <c r="B531">
        <f t="shared" si="8"/>
        <v>530</v>
      </c>
      <c r="C531" s="9">
        <v>44407</v>
      </c>
      <c r="D531" s="4" t="s">
        <v>178</v>
      </c>
      <c r="E531" s="8"/>
      <c r="F531" s="3">
        <v>102000</v>
      </c>
      <c r="G531" s="7">
        <f>IF(Tabla1[[#This Row],[Fecha]]="","",G530+Tabla1[[#This Row],[ingreso]]-Tabla1[[#This Row],[egreso]])</f>
        <v>7439539.8412999995</v>
      </c>
      <c r="H531" s="7"/>
      <c r="I531" s="7" t="s">
        <v>179</v>
      </c>
      <c r="J531" s="4"/>
    </row>
    <row r="532" spans="1:10" x14ac:dyDescent="0.2">
      <c r="A532">
        <f>COUNTIF($I$2:I532,'[1]Detalle Pilotos'!$G$3)</f>
        <v>0</v>
      </c>
      <c r="B532">
        <f t="shared" si="8"/>
        <v>531</v>
      </c>
      <c r="C532" s="9">
        <v>44408</v>
      </c>
      <c r="D532" s="4" t="s">
        <v>152</v>
      </c>
      <c r="E532" s="8">
        <v>262462</v>
      </c>
      <c r="F532" s="3"/>
      <c r="G532" s="7">
        <f>IF(Tabla1[[#This Row],[Fecha]]="","",G531+Tabla1[[#This Row],[ingreso]]-Tabla1[[#This Row],[egreso]])</f>
        <v>7177077.8412999995</v>
      </c>
      <c r="H532" s="7" t="s">
        <v>43</v>
      </c>
      <c r="I532" s="7"/>
      <c r="J532" s="4"/>
    </row>
    <row r="533" spans="1:10" x14ac:dyDescent="0.2">
      <c r="A533">
        <f>COUNTIF($I$2:I533,'[1]Detalle Pilotos'!$G$3)</f>
        <v>0</v>
      </c>
      <c r="B533">
        <f t="shared" si="8"/>
        <v>532</v>
      </c>
      <c r="C533" s="9">
        <v>44410</v>
      </c>
      <c r="D533" s="4" t="s">
        <v>214</v>
      </c>
      <c r="E533" s="8"/>
      <c r="F533" s="3">
        <v>210194</v>
      </c>
      <c r="G533" s="7">
        <f>IF(Tabla1[[#This Row],[Fecha]]="","",G532+Tabla1[[#This Row],[ingreso]]-Tabla1[[#This Row],[egreso]])</f>
        <v>7387271.8412999995</v>
      </c>
      <c r="H533" s="7" t="s">
        <v>43</v>
      </c>
      <c r="I533" s="7"/>
      <c r="J533" s="4"/>
    </row>
    <row r="534" spans="1:10" x14ac:dyDescent="0.2">
      <c r="A534">
        <f>COUNTIF($I$2:I534,'[1]Detalle Pilotos'!$G$3)</f>
        <v>0</v>
      </c>
      <c r="B534">
        <f t="shared" si="8"/>
        <v>533</v>
      </c>
      <c r="C534" s="9">
        <v>44411</v>
      </c>
      <c r="D534" s="4" t="s">
        <v>215</v>
      </c>
      <c r="E534" s="8">
        <v>54740</v>
      </c>
      <c r="F534" s="3"/>
      <c r="G534" s="7">
        <f>IF(Tabla1[[#This Row],[Fecha]]="","",G533+Tabla1[[#This Row],[ingreso]]-Tabla1[[#This Row],[egreso]])</f>
        <v>7332531.8412999995</v>
      </c>
      <c r="H534" s="7" t="s">
        <v>34</v>
      </c>
      <c r="I534" s="7"/>
      <c r="J534" s="4"/>
    </row>
    <row r="535" spans="1:10" x14ac:dyDescent="0.2">
      <c r="A535">
        <f>COUNTIF($I$2:I535,'[1]Detalle Pilotos'!$G$3)</f>
        <v>0</v>
      </c>
      <c r="B535">
        <f t="shared" si="8"/>
        <v>534</v>
      </c>
      <c r="C535" s="9">
        <v>44420</v>
      </c>
      <c r="D535" s="4" t="s">
        <v>148</v>
      </c>
      <c r="E535" s="8">
        <v>30000</v>
      </c>
      <c r="F535" s="3"/>
      <c r="G535" s="7">
        <f>IF(Tabla1[[#This Row],[Fecha]]="","",G534+Tabla1[[#This Row],[ingreso]]-Tabla1[[#This Row],[egreso]])</f>
        <v>7302531.8412999995</v>
      </c>
      <c r="H535" s="7" t="s">
        <v>34</v>
      </c>
      <c r="I535" s="7"/>
      <c r="J535" s="4"/>
    </row>
    <row r="536" spans="1:10" x14ac:dyDescent="0.2">
      <c r="A536">
        <f>COUNTIF($I$2:I536,'[1]Detalle Pilotos'!$G$3)</f>
        <v>0</v>
      </c>
      <c r="B536">
        <f t="shared" si="8"/>
        <v>535</v>
      </c>
      <c r="C536" s="9">
        <v>44420</v>
      </c>
      <c r="D536" s="4" t="s">
        <v>130</v>
      </c>
      <c r="E536" s="8">
        <v>2278275</v>
      </c>
      <c r="F536" s="3"/>
      <c r="G536" s="7">
        <f>IF(Tabla1[[#This Row],[Fecha]]="","",G535+Tabla1[[#This Row],[ingreso]]-Tabla1[[#This Row],[egreso]])</f>
        <v>5024256.8412999995</v>
      </c>
      <c r="H536" s="7" t="s">
        <v>34</v>
      </c>
      <c r="I536" s="7"/>
      <c r="J536" s="4"/>
    </row>
    <row r="537" spans="1:10" x14ac:dyDescent="0.2">
      <c r="A537">
        <f>COUNTIF($I$2:I537,'[1]Detalle Pilotos'!$G$3)</f>
        <v>0</v>
      </c>
      <c r="B537">
        <f t="shared" si="8"/>
        <v>536</v>
      </c>
      <c r="C537" s="9">
        <v>44423</v>
      </c>
      <c r="D537" s="4" t="s">
        <v>216</v>
      </c>
      <c r="E537" s="8">
        <v>280000</v>
      </c>
      <c r="F537" s="3"/>
      <c r="G537" s="7">
        <f>IF(Tabla1[[#This Row],[Fecha]]="","",G536+Tabla1[[#This Row],[ingreso]]-Tabla1[[#This Row],[egreso]])</f>
        <v>4744256.8412999995</v>
      </c>
      <c r="H537" s="7" t="s">
        <v>34</v>
      </c>
      <c r="I537" s="7"/>
      <c r="J537" s="4"/>
    </row>
    <row r="538" spans="1:10" x14ac:dyDescent="0.2">
      <c r="A538">
        <f>COUNTIF($I$2:I538,'[1]Detalle Pilotos'!$G$3)</f>
        <v>0</v>
      </c>
      <c r="B538">
        <f t="shared" si="8"/>
        <v>537</v>
      </c>
      <c r="C538" s="9">
        <v>44432</v>
      </c>
      <c r="D538" s="4" t="s">
        <v>217</v>
      </c>
      <c r="E538" s="8"/>
      <c r="F538" s="3">
        <v>89400</v>
      </c>
      <c r="G538" s="7">
        <f>IF(Tabla1[[#This Row],[Fecha]]="","",G537+Tabla1[[#This Row],[ingreso]]-Tabla1[[#This Row],[egreso]])</f>
        <v>4833656.8412999995</v>
      </c>
      <c r="H538" s="7"/>
      <c r="I538" s="7" t="s">
        <v>218</v>
      </c>
      <c r="J538" s="4"/>
    </row>
    <row r="539" spans="1:10" x14ac:dyDescent="0.2">
      <c r="A539">
        <f>COUNTIF($I$2:I539,'[1]Detalle Pilotos'!$G$3)</f>
        <v>0</v>
      </c>
      <c r="B539">
        <f t="shared" si="8"/>
        <v>538</v>
      </c>
      <c r="C539" s="9">
        <v>44433</v>
      </c>
      <c r="D539" s="4" t="s">
        <v>219</v>
      </c>
      <c r="E539" s="8"/>
      <c r="F539" s="3">
        <v>250000</v>
      </c>
      <c r="G539" s="7">
        <f>IF(Tabla1[[#This Row],[Fecha]]="","",G538+Tabla1[[#This Row],[ingreso]]-Tabla1[[#This Row],[egreso]])</f>
        <v>5083656.8412999995</v>
      </c>
      <c r="H539" s="7"/>
      <c r="I539" s="7" t="s">
        <v>220</v>
      </c>
      <c r="J539" s="4"/>
    </row>
    <row r="540" spans="1:10" x14ac:dyDescent="0.2">
      <c r="A540">
        <f>COUNTIF($I$2:I540,'[1]Detalle Pilotos'!$G$3)</f>
        <v>0</v>
      </c>
      <c r="B540">
        <f t="shared" si="8"/>
        <v>539</v>
      </c>
      <c r="C540" s="9">
        <v>44432</v>
      </c>
      <c r="D540" s="4" t="s">
        <v>221</v>
      </c>
      <c r="E540" s="8">
        <v>17400</v>
      </c>
      <c r="F540" s="3"/>
      <c r="G540" s="7">
        <f>IF(Tabla1[[#This Row],[Fecha]]="","",G539+Tabla1[[#This Row],[ingreso]]-Tabla1[[#This Row],[egreso]])</f>
        <v>5066256.8412999995</v>
      </c>
      <c r="H540" s="7"/>
      <c r="I540" s="7"/>
      <c r="J540" s="4"/>
    </row>
    <row r="541" spans="1:10" x14ac:dyDescent="0.2">
      <c r="A541">
        <f>COUNTIF($I$2:I541,'[1]Detalle Pilotos'!$G$3)</f>
        <v>0</v>
      </c>
      <c r="B541">
        <f t="shared" si="8"/>
        <v>540</v>
      </c>
      <c r="C541" s="9">
        <v>44432</v>
      </c>
      <c r="D541" s="4" t="s">
        <v>15</v>
      </c>
      <c r="E541" s="8"/>
      <c r="F541" s="3">
        <v>17400</v>
      </c>
      <c r="G541" s="7">
        <f>IF(Tabla1[[#This Row],[Fecha]]="","",G540+Tabla1[[#This Row],[ingreso]]-Tabla1[[#This Row],[egreso]])</f>
        <v>5083656.8412999995</v>
      </c>
      <c r="H541" s="7"/>
      <c r="I541" s="7" t="s">
        <v>16</v>
      </c>
      <c r="J541" s="4"/>
    </row>
    <row r="542" spans="1:10" x14ac:dyDescent="0.2">
      <c r="A542">
        <f>COUNTIF($I$2:I542,'[1]Detalle Pilotos'!$G$3)</f>
        <v>0</v>
      </c>
      <c r="B542">
        <f t="shared" si="8"/>
        <v>541</v>
      </c>
      <c r="C542" s="9">
        <v>44434</v>
      </c>
      <c r="D542" s="4" t="s">
        <v>157</v>
      </c>
      <c r="E542" s="8"/>
      <c r="F542" s="3">
        <v>34012</v>
      </c>
      <c r="G542" s="7">
        <f>IF(Tabla1[[#This Row],[Fecha]]="","",G541+Tabla1[[#This Row],[ingreso]]-Tabla1[[#This Row],[egreso]])</f>
        <v>5117668.8412999995</v>
      </c>
      <c r="H542" s="7"/>
      <c r="I542" s="7" t="s">
        <v>158</v>
      </c>
      <c r="J542" s="4"/>
    </row>
    <row r="543" spans="1:10" x14ac:dyDescent="0.2">
      <c r="A543">
        <f>COUNTIF($I$2:I543,'[1]Detalle Pilotos'!$G$3)</f>
        <v>0</v>
      </c>
      <c r="B543">
        <f t="shared" si="8"/>
        <v>542</v>
      </c>
      <c r="C543" s="9">
        <v>44434</v>
      </c>
      <c r="D543" s="4" t="s">
        <v>219</v>
      </c>
      <c r="E543" s="8"/>
      <c r="F543" s="3">
        <v>110000</v>
      </c>
      <c r="G543" s="7">
        <f>IF(Tabla1[[#This Row],[Fecha]]="","",G542+Tabla1[[#This Row],[ingreso]]-Tabla1[[#This Row],[egreso]])</f>
        <v>5227668.8412999995</v>
      </c>
      <c r="H543" s="7"/>
      <c r="I543" s="7" t="s">
        <v>220</v>
      </c>
      <c r="J543" s="4"/>
    </row>
    <row r="544" spans="1:10" x14ac:dyDescent="0.2">
      <c r="A544">
        <f>COUNTIF($I$2:I544,'[1]Detalle Pilotos'!$G$3)</f>
        <v>0</v>
      </c>
      <c r="B544">
        <f t="shared" si="8"/>
        <v>543</v>
      </c>
      <c r="C544" s="9">
        <v>44434</v>
      </c>
      <c r="D544" s="4" t="s">
        <v>53</v>
      </c>
      <c r="E544" s="8"/>
      <c r="F544" s="3">
        <v>162520</v>
      </c>
      <c r="G544" s="7">
        <f>IF(Tabla1[[#This Row],[Fecha]]="","",G543+Tabla1[[#This Row],[ingreso]]-Tabla1[[#This Row],[egreso]])</f>
        <v>5390188.8412999995</v>
      </c>
      <c r="H544" s="7"/>
      <c r="I544" s="7" t="s">
        <v>54</v>
      </c>
      <c r="J544" s="4"/>
    </row>
    <row r="545" spans="1:10" x14ac:dyDescent="0.2">
      <c r="A545">
        <f>COUNTIF($I$2:I545,'[1]Detalle Pilotos'!$G$3)</f>
        <v>0</v>
      </c>
      <c r="B545">
        <f t="shared" si="8"/>
        <v>544</v>
      </c>
      <c r="C545" s="9">
        <v>44440</v>
      </c>
      <c r="D545" s="4" t="s">
        <v>222</v>
      </c>
      <c r="E545" s="8">
        <v>440978</v>
      </c>
      <c r="F545" s="3"/>
      <c r="G545" s="7">
        <f>IF(Tabla1[[#This Row],[Fecha]]="","",G544+Tabla1[[#This Row],[ingreso]]-Tabla1[[#This Row],[egreso]])</f>
        <v>4949210.8412999995</v>
      </c>
      <c r="H545" s="7" t="s">
        <v>34</v>
      </c>
      <c r="I545" s="7"/>
      <c r="J545" s="4"/>
    </row>
    <row r="546" spans="1:10" x14ac:dyDescent="0.2">
      <c r="A546">
        <f>COUNTIF($I$2:I546,'[1]Detalle Pilotos'!$G$3)</f>
        <v>0</v>
      </c>
      <c r="B546">
        <f t="shared" si="8"/>
        <v>545</v>
      </c>
      <c r="C546" s="9">
        <v>44441</v>
      </c>
      <c r="D546" s="4" t="s">
        <v>154</v>
      </c>
      <c r="E546" s="8">
        <v>184060</v>
      </c>
      <c r="F546" s="3"/>
      <c r="G546" s="7">
        <f>IF(Tabla1[[#This Row],[Fecha]]="","",G545+Tabla1[[#This Row],[ingreso]]-Tabla1[[#This Row],[egreso]])</f>
        <v>4765150.8412999995</v>
      </c>
      <c r="H546" s="7" t="s">
        <v>43</v>
      </c>
      <c r="I546" s="7"/>
      <c r="J546" s="4"/>
    </row>
    <row r="547" spans="1:10" x14ac:dyDescent="0.2">
      <c r="A547">
        <f>COUNTIF($I$2:I547,'[1]Detalle Pilotos'!$G$3)</f>
        <v>0</v>
      </c>
      <c r="B547">
        <f t="shared" si="8"/>
        <v>546</v>
      </c>
      <c r="C547" s="9">
        <v>44446</v>
      </c>
      <c r="D547" s="4" t="s">
        <v>53</v>
      </c>
      <c r="E547" s="8"/>
      <c r="F547" s="3">
        <v>264000</v>
      </c>
      <c r="G547" s="7">
        <f>IF(Tabla1[[#This Row],[Fecha]]="","",G546+Tabla1[[#This Row],[ingreso]]-Tabla1[[#This Row],[egreso]])</f>
        <v>5029150.8412999995</v>
      </c>
      <c r="H547" s="7"/>
      <c r="I547" s="7" t="s">
        <v>54</v>
      </c>
      <c r="J547" s="4"/>
    </row>
    <row r="548" spans="1:10" x14ac:dyDescent="0.2">
      <c r="A548">
        <f>COUNTIF($I$2:I548,'[1]Detalle Pilotos'!$G$3)</f>
        <v>0</v>
      </c>
      <c r="B548">
        <f t="shared" si="8"/>
        <v>547</v>
      </c>
      <c r="C548" s="9">
        <v>44449</v>
      </c>
      <c r="D548" s="4" t="s">
        <v>9</v>
      </c>
      <c r="E548" s="8"/>
      <c r="F548" s="3">
        <v>216000</v>
      </c>
      <c r="G548" s="7">
        <f>IF(Tabla1[[#This Row],[Fecha]]="","",G547+Tabla1[[#This Row],[ingreso]]-Tabla1[[#This Row],[egreso]])</f>
        <v>5245150.8412999995</v>
      </c>
      <c r="H548" s="7"/>
      <c r="I548" s="7" t="s">
        <v>10</v>
      </c>
      <c r="J548" s="4"/>
    </row>
    <row r="549" spans="1:10" x14ac:dyDescent="0.2">
      <c r="A549">
        <f>COUNTIF($I$2:I549,'[1]Detalle Pilotos'!$G$3)</f>
        <v>0</v>
      </c>
      <c r="B549">
        <f t="shared" si="8"/>
        <v>548</v>
      </c>
      <c r="C549" s="9">
        <v>44451</v>
      </c>
      <c r="D549" s="4" t="s">
        <v>157</v>
      </c>
      <c r="E549" s="8"/>
      <c r="F549" s="3">
        <v>180000</v>
      </c>
      <c r="G549" s="7">
        <f>IF(Tabla1[[#This Row],[Fecha]]="","",G548+Tabla1[[#This Row],[ingreso]]-Tabla1[[#This Row],[egreso]])</f>
        <v>5425150.8412999995</v>
      </c>
      <c r="H549" s="7"/>
      <c r="I549" s="7" t="s">
        <v>158</v>
      </c>
      <c r="J549" s="4"/>
    </row>
    <row r="550" spans="1:10" x14ac:dyDescent="0.2">
      <c r="A550">
        <f>COUNTIF($I$2:I550,'[1]Detalle Pilotos'!$G$3)</f>
        <v>0</v>
      </c>
      <c r="B550">
        <f t="shared" si="8"/>
        <v>549</v>
      </c>
      <c r="C550" s="9">
        <v>44451</v>
      </c>
      <c r="D550" s="4" t="s">
        <v>15</v>
      </c>
      <c r="E550" s="8"/>
      <c r="F550" s="3">
        <v>300000</v>
      </c>
      <c r="G550" s="7">
        <f>IF(Tabla1[[#This Row],[Fecha]]="","",G549+Tabla1[[#This Row],[ingreso]]-Tabla1[[#This Row],[egreso]])</f>
        <v>5725150.8412999995</v>
      </c>
      <c r="H550" s="7"/>
      <c r="I550" s="7" t="s">
        <v>16</v>
      </c>
      <c r="J550" s="4"/>
    </row>
    <row r="551" spans="1:10" x14ac:dyDescent="0.2">
      <c r="A551">
        <f>COUNTIF($I$2:I551,'[1]Detalle Pilotos'!$G$3)</f>
        <v>0</v>
      </c>
      <c r="B551">
        <f t="shared" si="8"/>
        <v>550</v>
      </c>
      <c r="C551" s="9">
        <v>44457</v>
      </c>
      <c r="D551" s="4" t="s">
        <v>79</v>
      </c>
      <c r="E551" s="8"/>
      <c r="F551" s="3">
        <v>120000</v>
      </c>
      <c r="G551" s="7">
        <f>IF(Tabla1[[#This Row],[Fecha]]="","",G550+Tabla1[[#This Row],[ingreso]]-Tabla1[[#This Row],[egreso]])</f>
        <v>5845150.8412999995</v>
      </c>
      <c r="H551" s="7"/>
      <c r="I551" s="7" t="s">
        <v>80</v>
      </c>
      <c r="J551" s="4"/>
    </row>
    <row r="552" spans="1:10" x14ac:dyDescent="0.2">
      <c r="A552">
        <f>COUNTIF($I$2:I552,'[1]Detalle Pilotos'!$G$3)</f>
        <v>0</v>
      </c>
      <c r="B552">
        <f t="shared" si="8"/>
        <v>551</v>
      </c>
      <c r="C552" s="9">
        <v>44457</v>
      </c>
      <c r="D552" s="4" t="s">
        <v>223</v>
      </c>
      <c r="E552" s="8">
        <v>24000</v>
      </c>
      <c r="F552" s="3"/>
      <c r="G552" s="7">
        <f>IF(Tabla1[[#This Row],[Fecha]]="","",G551+Tabla1[[#This Row],[ingreso]]-Tabla1[[#This Row],[egreso]])</f>
        <v>5821150.8412999995</v>
      </c>
      <c r="H552" s="7"/>
      <c r="I552" s="7"/>
      <c r="J552" s="4"/>
    </row>
    <row r="553" spans="1:10" x14ac:dyDescent="0.2">
      <c r="A553">
        <f>COUNTIF($I$2:I553,'[1]Detalle Pilotos'!$G$3)</f>
        <v>0</v>
      </c>
      <c r="B553">
        <f t="shared" si="8"/>
        <v>552</v>
      </c>
      <c r="C553" s="9">
        <v>44457</v>
      </c>
      <c r="D553" s="4" t="s">
        <v>15</v>
      </c>
      <c r="E553" s="8"/>
      <c r="F553" s="3">
        <v>24000</v>
      </c>
      <c r="G553" s="7">
        <f>IF(Tabla1[[#This Row],[Fecha]]="","",G552+Tabla1[[#This Row],[ingreso]]-Tabla1[[#This Row],[egreso]])</f>
        <v>5845150.8412999995</v>
      </c>
      <c r="H553" s="7"/>
      <c r="I553" s="7" t="s">
        <v>16</v>
      </c>
      <c r="J553" s="4"/>
    </row>
    <row r="554" spans="1:10" x14ac:dyDescent="0.2">
      <c r="A554">
        <f>COUNTIF($I$2:I554,'[1]Detalle Pilotos'!$G$3)</f>
        <v>0</v>
      </c>
      <c r="B554">
        <f t="shared" si="8"/>
        <v>553</v>
      </c>
      <c r="C554" s="9">
        <v>44462</v>
      </c>
      <c r="D554" s="4" t="s">
        <v>63</v>
      </c>
      <c r="E554" s="8"/>
      <c r="F554" s="3">
        <v>96000</v>
      </c>
      <c r="G554" s="7">
        <f>IF(Tabla1[[#This Row],[Fecha]]="","",G553+Tabla1[[#This Row],[ingreso]]-Tabla1[[#This Row],[egreso]])</f>
        <v>5941150.8412999995</v>
      </c>
      <c r="H554" s="7"/>
      <c r="I554" s="7" t="s">
        <v>64</v>
      </c>
      <c r="J554" s="4"/>
    </row>
    <row r="555" spans="1:10" x14ac:dyDescent="0.2">
      <c r="A555">
        <f>COUNTIF($I$2:I555,'[1]Detalle Pilotos'!$G$3)</f>
        <v>0</v>
      </c>
      <c r="B555">
        <f t="shared" si="8"/>
        <v>554</v>
      </c>
      <c r="C555" s="9">
        <v>44463</v>
      </c>
      <c r="D555" s="4" t="s">
        <v>166</v>
      </c>
      <c r="E555" s="8"/>
      <c r="F555" s="3">
        <v>96000</v>
      </c>
      <c r="G555" s="7">
        <f>IF(Tabla1[[#This Row],[Fecha]]="","",G554+Tabla1[[#This Row],[ingreso]]-Tabla1[[#This Row],[egreso]])</f>
        <v>6037150.8412999995</v>
      </c>
      <c r="H555" s="7"/>
      <c r="I555" s="7" t="s">
        <v>167</v>
      </c>
      <c r="J555" s="4"/>
    </row>
    <row r="556" spans="1:10" x14ac:dyDescent="0.2">
      <c r="A556">
        <f>COUNTIF($I$2:I556,'[1]Detalle Pilotos'!$G$3)</f>
        <v>0</v>
      </c>
      <c r="B556">
        <f t="shared" si="8"/>
        <v>555</v>
      </c>
      <c r="C556" s="9">
        <v>44467</v>
      </c>
      <c r="D556" s="4" t="s">
        <v>47</v>
      </c>
      <c r="E556" s="8"/>
      <c r="F556" s="3">
        <v>300000</v>
      </c>
      <c r="G556" s="7">
        <f>IF(Tabla1[[#This Row],[Fecha]]="","",G555+Tabla1[[#This Row],[ingreso]]-Tabla1[[#This Row],[egreso]])</f>
        <v>6337150.8412999995</v>
      </c>
      <c r="H556" s="7"/>
      <c r="I556" s="7" t="s">
        <v>48</v>
      </c>
      <c r="J556" s="4"/>
    </row>
    <row r="557" spans="1:10" x14ac:dyDescent="0.2">
      <c r="A557">
        <f>COUNTIF($I$2:I557,'[1]Detalle Pilotos'!$G$3)</f>
        <v>0</v>
      </c>
      <c r="B557">
        <f t="shared" si="8"/>
        <v>556</v>
      </c>
      <c r="C557" s="9">
        <v>44469</v>
      </c>
      <c r="D557" s="4" t="s">
        <v>53</v>
      </c>
      <c r="E557" s="8"/>
      <c r="F557" s="3">
        <f>204000-73472</f>
        <v>130528</v>
      </c>
      <c r="G557" s="7">
        <f>IF(Tabla1[[#This Row],[Fecha]]="","",G556+Tabla1[[#This Row],[ingreso]]-Tabla1[[#This Row],[egreso]])</f>
        <v>6467678.8412999995</v>
      </c>
      <c r="H557" s="7"/>
      <c r="I557" s="7" t="s">
        <v>54</v>
      </c>
      <c r="J557" s="4" t="s">
        <v>224</v>
      </c>
    </row>
    <row r="558" spans="1:10" x14ac:dyDescent="0.2">
      <c r="A558">
        <f>COUNTIF($I$2:I558,'[1]Detalle Pilotos'!$G$3)</f>
        <v>0</v>
      </c>
      <c r="B558">
        <f t="shared" si="8"/>
        <v>557</v>
      </c>
      <c r="C558" s="9">
        <v>44470</v>
      </c>
      <c r="D558" s="4" t="s">
        <v>12</v>
      </c>
      <c r="E558" s="8"/>
      <c r="F558" s="3">
        <v>107864</v>
      </c>
      <c r="G558" s="7">
        <f>IF(Tabla1[[#This Row],[Fecha]]="","",G557+Tabla1[[#This Row],[ingreso]]-Tabla1[[#This Row],[egreso]])</f>
        <v>6575542.8412999995</v>
      </c>
      <c r="H558" s="7"/>
      <c r="I558" s="7" t="s">
        <v>13</v>
      </c>
      <c r="J558" s="4"/>
    </row>
    <row r="559" spans="1:10" x14ac:dyDescent="0.2">
      <c r="A559">
        <f>COUNTIF($I$2:I559,'[1]Detalle Pilotos'!$G$3)</f>
        <v>0</v>
      </c>
      <c r="B559">
        <f t="shared" si="8"/>
        <v>558</v>
      </c>
      <c r="C559" s="9">
        <v>44470</v>
      </c>
      <c r="D559" s="4" t="s">
        <v>200</v>
      </c>
      <c r="E559" s="8"/>
      <c r="F559" s="3">
        <v>276000</v>
      </c>
      <c r="G559" s="7">
        <f>IF(Tabla1[[#This Row],[Fecha]]="","",G558+Tabla1[[#This Row],[ingreso]]-Tabla1[[#This Row],[egreso]])</f>
        <v>6851542.8412999995</v>
      </c>
      <c r="H559" s="7"/>
      <c r="I559" s="7" t="s">
        <v>201</v>
      </c>
      <c r="J559" s="4"/>
    </row>
    <row r="560" spans="1:10" x14ac:dyDescent="0.2">
      <c r="A560">
        <f>COUNTIF($I$2:I560,'[1]Detalle Pilotos'!$G$3)</f>
        <v>0</v>
      </c>
      <c r="B560">
        <f t="shared" si="8"/>
        <v>559</v>
      </c>
      <c r="C560" s="9">
        <v>44470</v>
      </c>
      <c r="D560" s="4" t="s">
        <v>63</v>
      </c>
      <c r="E560" s="8"/>
      <c r="F560" s="3">
        <v>41669</v>
      </c>
      <c r="G560" s="7">
        <f>IF(Tabla1[[#This Row],[Fecha]]="","",G559+Tabla1[[#This Row],[ingreso]]-Tabla1[[#This Row],[egreso]])</f>
        <v>6893211.8412999995</v>
      </c>
      <c r="H560" s="7"/>
      <c r="I560" s="7" t="s">
        <v>64</v>
      </c>
      <c r="J560" s="4"/>
    </row>
    <row r="561" spans="1:10" x14ac:dyDescent="0.2">
      <c r="A561">
        <f>COUNTIF($I$2:I561,'[1]Detalle Pilotos'!$G$3)</f>
        <v>0</v>
      </c>
      <c r="B561">
        <f t="shared" si="8"/>
        <v>560</v>
      </c>
      <c r="C561" s="9">
        <v>44470</v>
      </c>
      <c r="D561" s="4" t="s">
        <v>166</v>
      </c>
      <c r="E561" s="8"/>
      <c r="F561" s="3">
        <v>40864</v>
      </c>
      <c r="G561" s="7">
        <f>IF(Tabla1[[#This Row],[Fecha]]="","",G560+Tabla1[[#This Row],[ingreso]]-Tabla1[[#This Row],[egreso]])</f>
        <v>6934075.8412999995</v>
      </c>
      <c r="H561" s="7"/>
      <c r="I561" s="7" t="s">
        <v>167</v>
      </c>
      <c r="J561" s="4"/>
    </row>
    <row r="562" spans="1:10" x14ac:dyDescent="0.2">
      <c r="A562">
        <f>COUNTIF($I$2:I562,'[1]Detalle Pilotos'!$G$3)</f>
        <v>0</v>
      </c>
      <c r="B562">
        <f t="shared" si="8"/>
        <v>561</v>
      </c>
      <c r="C562" s="9">
        <v>44470</v>
      </c>
      <c r="D562" s="4" t="s">
        <v>160</v>
      </c>
      <c r="E562" s="8">
        <v>185790</v>
      </c>
      <c r="F562" s="3"/>
      <c r="G562" s="7">
        <f>IF(Tabla1[[#This Row],[Fecha]]="","",G561+Tabla1[[#This Row],[ingreso]]-Tabla1[[#This Row],[egreso]])</f>
        <v>6748285.8412999995</v>
      </c>
      <c r="H562" s="7" t="s">
        <v>43</v>
      </c>
      <c r="I562" s="7"/>
      <c r="J562" s="4"/>
    </row>
    <row r="563" spans="1:10" x14ac:dyDescent="0.2">
      <c r="A563">
        <f>COUNTIF($I$2:I563,'[1]Detalle Pilotos'!$G$3)</f>
        <v>0</v>
      </c>
      <c r="B563">
        <f t="shared" si="8"/>
        <v>562</v>
      </c>
      <c r="C563" s="9">
        <v>44473</v>
      </c>
      <c r="D563" s="4" t="s">
        <v>102</v>
      </c>
      <c r="E563" s="8"/>
      <c r="F563" s="3">
        <v>5000000</v>
      </c>
      <c r="G563" s="7">
        <f>IF(Tabla1[[#This Row],[Fecha]]="","",G562+Tabla1[[#This Row],[ingreso]]-Tabla1[[#This Row],[egreso]])</f>
        <v>11748285.8413</v>
      </c>
      <c r="H563" s="7"/>
      <c r="I563" s="7"/>
      <c r="J563" s="4"/>
    </row>
    <row r="564" spans="1:10" x14ac:dyDescent="0.2">
      <c r="A564">
        <f>COUNTIF($I$2:I564,'[1]Detalle Pilotos'!$G$3)</f>
        <v>0</v>
      </c>
      <c r="B564">
        <f t="shared" si="8"/>
        <v>563</v>
      </c>
      <c r="C564" s="9">
        <v>44475</v>
      </c>
      <c r="D564" s="4" t="s">
        <v>53</v>
      </c>
      <c r="E564" s="8"/>
      <c r="F564" s="3">
        <v>175520</v>
      </c>
      <c r="G564" s="7">
        <f>IF(Tabla1[[#This Row],[Fecha]]="","",G563+Tabla1[[#This Row],[ingreso]]-Tabla1[[#This Row],[egreso]])</f>
        <v>11923805.8413</v>
      </c>
      <c r="H564" s="7"/>
      <c r="I564" s="7" t="s">
        <v>54</v>
      </c>
      <c r="J564" s="4"/>
    </row>
    <row r="565" spans="1:10" x14ac:dyDescent="0.2">
      <c r="A565">
        <f>COUNTIF($I$2:I565,'[1]Detalle Pilotos'!$G$3)</f>
        <v>0</v>
      </c>
      <c r="B565">
        <f t="shared" si="8"/>
        <v>564</v>
      </c>
      <c r="C565" s="9">
        <v>44481</v>
      </c>
      <c r="D565" s="4" t="s">
        <v>12</v>
      </c>
      <c r="E565" s="8"/>
      <c r="F565" s="3">
        <v>176914</v>
      </c>
      <c r="G565" s="7">
        <f>IF(Tabla1[[#This Row],[Fecha]]="","",G564+Tabla1[[#This Row],[ingreso]]-Tabla1[[#This Row],[egreso]])</f>
        <v>12100719.8413</v>
      </c>
      <c r="H565" s="7"/>
      <c r="I565" s="7" t="s">
        <v>13</v>
      </c>
      <c r="J565" s="4"/>
    </row>
    <row r="566" spans="1:10" x14ac:dyDescent="0.2">
      <c r="A566">
        <f>COUNTIF($I$2:I566,'[1]Detalle Pilotos'!$G$3)</f>
        <v>0</v>
      </c>
      <c r="B566">
        <f t="shared" si="8"/>
        <v>565</v>
      </c>
      <c r="C566" s="9">
        <v>44486</v>
      </c>
      <c r="D566" s="4" t="s">
        <v>178</v>
      </c>
      <c r="E566" s="8"/>
      <c r="F566" s="3">
        <v>251560</v>
      </c>
      <c r="G566" s="7">
        <f>IF(Tabla1[[#This Row],[Fecha]]="","",G565+Tabla1[[#This Row],[ingreso]]-Tabla1[[#This Row],[egreso]])</f>
        <v>12352279.8413</v>
      </c>
      <c r="H566" s="7"/>
      <c r="I566" s="7" t="s">
        <v>179</v>
      </c>
      <c r="J566" s="4"/>
    </row>
    <row r="567" spans="1:10" x14ac:dyDescent="0.2">
      <c r="A567">
        <f>COUNTIF($I$2:I567,'[1]Detalle Pilotos'!$G$3)</f>
        <v>0</v>
      </c>
      <c r="B567">
        <f t="shared" si="8"/>
        <v>566</v>
      </c>
      <c r="C567" s="9">
        <v>44486</v>
      </c>
      <c r="D567" s="4" t="s">
        <v>15</v>
      </c>
      <c r="E567" s="8"/>
      <c r="F567" s="3">
        <v>31200</v>
      </c>
      <c r="G567" s="7">
        <f>IF(Tabla1[[#This Row],[Fecha]]="","",G566+Tabla1[[#This Row],[ingreso]]-Tabla1[[#This Row],[egreso]])</f>
        <v>12383479.8413</v>
      </c>
      <c r="H567" s="7"/>
      <c r="I567" s="7" t="s">
        <v>16</v>
      </c>
      <c r="J567" s="4"/>
    </row>
    <row r="568" spans="1:10" x14ac:dyDescent="0.2">
      <c r="A568">
        <f>COUNTIF($I$2:I568,'[1]Detalle Pilotos'!$G$3)</f>
        <v>0</v>
      </c>
      <c r="B568">
        <f t="shared" si="8"/>
        <v>567</v>
      </c>
      <c r="C568" s="9">
        <v>44496</v>
      </c>
      <c r="D568" s="4" t="s">
        <v>63</v>
      </c>
      <c r="E568" s="8"/>
      <c r="F568" s="3">
        <v>203643</v>
      </c>
      <c r="G568" s="7">
        <f>IF(Tabla1[[#This Row],[Fecha]]="","",G567+Tabla1[[#This Row],[ingreso]]-Tabla1[[#This Row],[egreso]])</f>
        <v>12587122.8413</v>
      </c>
      <c r="H568" s="7"/>
      <c r="I568" s="7" t="s">
        <v>64</v>
      </c>
      <c r="J568" s="4"/>
    </row>
    <row r="569" spans="1:10" x14ac:dyDescent="0.2">
      <c r="A569">
        <f>COUNTIF($I$2:I569,'[1]Detalle Pilotos'!$G$3)</f>
        <v>0</v>
      </c>
      <c r="B569">
        <f t="shared" si="8"/>
        <v>568</v>
      </c>
      <c r="C569" s="9">
        <v>44496</v>
      </c>
      <c r="D569" s="4" t="s">
        <v>225</v>
      </c>
      <c r="E569" s="8">
        <v>10000</v>
      </c>
      <c r="F569" s="3"/>
      <c r="G569" s="7">
        <f>IF(Tabla1[[#This Row],[Fecha]]="","",G568+Tabla1[[#This Row],[ingreso]]-Tabla1[[#This Row],[egreso]])</f>
        <v>12577122.8413</v>
      </c>
      <c r="H569" s="7"/>
      <c r="I569" s="7"/>
      <c r="J569" s="4"/>
    </row>
    <row r="570" spans="1:10" x14ac:dyDescent="0.2">
      <c r="A570">
        <f>COUNTIF($I$2:I570,'[1]Detalle Pilotos'!$G$3)</f>
        <v>0</v>
      </c>
      <c r="B570">
        <f t="shared" si="8"/>
        <v>569</v>
      </c>
      <c r="C570" s="9">
        <v>44496</v>
      </c>
      <c r="D570" s="4" t="s">
        <v>15</v>
      </c>
      <c r="E570" s="8"/>
      <c r="F570" s="3">
        <v>10000</v>
      </c>
      <c r="G570" s="7">
        <f>IF(Tabla1[[#This Row],[Fecha]]="","",G569+Tabla1[[#This Row],[ingreso]]-Tabla1[[#This Row],[egreso]])</f>
        <v>12587122.8413</v>
      </c>
      <c r="H570" s="7"/>
      <c r="I570" s="7" t="s">
        <v>16</v>
      </c>
      <c r="J570" s="4"/>
    </row>
    <row r="571" spans="1:10" x14ac:dyDescent="0.2">
      <c r="A571">
        <f>COUNTIF($I$2:I571,'[1]Detalle Pilotos'!$G$3)</f>
        <v>0</v>
      </c>
      <c r="B571">
        <f t="shared" si="8"/>
        <v>570</v>
      </c>
      <c r="C571" s="9">
        <v>44498</v>
      </c>
      <c r="D571" s="4" t="s">
        <v>226</v>
      </c>
      <c r="E571" s="8">
        <v>238004</v>
      </c>
      <c r="F571" s="3"/>
      <c r="G571" s="7">
        <f>IF(Tabla1[[#This Row],[Fecha]]="","",G570+Tabla1[[#This Row],[ingreso]]-Tabla1[[#This Row],[egreso]])</f>
        <v>12349118.8413</v>
      </c>
      <c r="H571" s="7" t="s">
        <v>34</v>
      </c>
      <c r="I571" s="7"/>
      <c r="J571" s="4"/>
    </row>
    <row r="572" spans="1:10" x14ac:dyDescent="0.2">
      <c r="A572">
        <f>COUNTIF($I$2:I572,'[1]Detalle Pilotos'!$G$3)</f>
        <v>0</v>
      </c>
      <c r="B572">
        <f t="shared" si="8"/>
        <v>571</v>
      </c>
      <c r="C572" s="9">
        <v>44502</v>
      </c>
      <c r="D572" s="4" t="s">
        <v>227</v>
      </c>
      <c r="E572" s="8"/>
      <c r="F572" s="3">
        <v>250000</v>
      </c>
      <c r="G572" s="7">
        <f>IF(Tabla1[[#This Row],[Fecha]]="","",G571+Tabla1[[#This Row],[ingreso]]-Tabla1[[#This Row],[egreso]])</f>
        <v>12599118.8413</v>
      </c>
      <c r="H572" s="7"/>
      <c r="I572" s="7" t="s">
        <v>228</v>
      </c>
      <c r="J572" s="4"/>
    </row>
    <row r="573" spans="1:10" x14ac:dyDescent="0.2">
      <c r="A573">
        <f>COUNTIF($I$2:I573,'[1]Detalle Pilotos'!$G$3)</f>
        <v>0</v>
      </c>
      <c r="B573">
        <f t="shared" si="8"/>
        <v>572</v>
      </c>
      <c r="C573" s="9">
        <v>44502</v>
      </c>
      <c r="D573" s="4" t="s">
        <v>229</v>
      </c>
      <c r="E573" s="8">
        <v>69000</v>
      </c>
      <c r="F573" s="3"/>
      <c r="G573" s="7">
        <f>IF(Tabla1[[#This Row],[Fecha]]="","",G572+Tabla1[[#This Row],[ingreso]]-Tabla1[[#This Row],[egreso]])</f>
        <v>12530118.8413</v>
      </c>
      <c r="H573" s="7"/>
      <c r="I573" s="7"/>
      <c r="J573" s="4"/>
    </row>
    <row r="574" spans="1:10" x14ac:dyDescent="0.2">
      <c r="A574">
        <f>COUNTIF($I$2:I574,'[1]Detalle Pilotos'!$G$3)</f>
        <v>0</v>
      </c>
      <c r="B574">
        <f t="shared" si="8"/>
        <v>573</v>
      </c>
      <c r="C574" s="9">
        <v>44502</v>
      </c>
      <c r="D574" s="4" t="s">
        <v>15</v>
      </c>
      <c r="E574" s="8"/>
      <c r="F574" s="3">
        <v>69000</v>
      </c>
      <c r="G574" s="7">
        <f>IF(Tabla1[[#This Row],[Fecha]]="","",G573+Tabla1[[#This Row],[ingreso]]-Tabla1[[#This Row],[egreso]])</f>
        <v>12599118.8413</v>
      </c>
      <c r="H574" s="7"/>
      <c r="I574" s="7" t="s">
        <v>16</v>
      </c>
      <c r="J574" s="4"/>
    </row>
    <row r="575" spans="1:10" x14ac:dyDescent="0.2">
      <c r="A575">
        <f>COUNTIF($I$2:I575,'[1]Detalle Pilotos'!$G$3)</f>
        <v>0</v>
      </c>
      <c r="B575">
        <f t="shared" si="8"/>
        <v>574</v>
      </c>
      <c r="C575" s="9">
        <v>44503</v>
      </c>
      <c r="D575" s="4" t="s">
        <v>72</v>
      </c>
      <c r="E575" s="8">
        <v>187714</v>
      </c>
      <c r="F575" s="3"/>
      <c r="G575" s="7">
        <f>IF(Tabla1[[#This Row],[Fecha]]="","",G574+Tabla1[[#This Row],[ingreso]]-Tabla1[[#This Row],[egreso]])</f>
        <v>12411404.8413</v>
      </c>
      <c r="H575" s="7" t="s">
        <v>43</v>
      </c>
      <c r="I575" s="7"/>
      <c r="J575" s="4"/>
    </row>
    <row r="576" spans="1:10" x14ac:dyDescent="0.2">
      <c r="A576">
        <f>COUNTIF($I$2:I576,'[1]Detalle Pilotos'!$G$3)</f>
        <v>0</v>
      </c>
      <c r="B576">
        <f t="shared" si="8"/>
        <v>575</v>
      </c>
      <c r="C576" s="9">
        <v>44503</v>
      </c>
      <c r="D576" s="4" t="s">
        <v>53</v>
      </c>
      <c r="E576" s="8"/>
      <c r="F576" s="3">
        <v>303204</v>
      </c>
      <c r="G576" s="7">
        <f>IF(Tabla1[[#This Row],[Fecha]]="","",G575+Tabla1[[#This Row],[ingreso]]-Tabla1[[#This Row],[egreso]])</f>
        <v>12714608.8413</v>
      </c>
      <c r="H576" s="7"/>
      <c r="I576" s="7" t="s">
        <v>230</v>
      </c>
      <c r="J576" s="4"/>
    </row>
    <row r="577" spans="1:10" x14ac:dyDescent="0.2">
      <c r="A577">
        <f>COUNTIF($I$2:I577,'[1]Detalle Pilotos'!$G$3)</f>
        <v>0</v>
      </c>
      <c r="B577">
        <f t="shared" si="8"/>
        <v>576</v>
      </c>
      <c r="C577" s="9">
        <v>44506</v>
      </c>
      <c r="D577" s="4" t="s">
        <v>53</v>
      </c>
      <c r="E577" s="8"/>
      <c r="F577" s="3">
        <v>126768</v>
      </c>
      <c r="G577" s="7">
        <f>IF(Tabla1[[#This Row],[Fecha]]="","",G576+Tabla1[[#This Row],[ingreso]]-Tabla1[[#This Row],[egreso]])</f>
        <v>12841376.8413</v>
      </c>
      <c r="H577" s="7"/>
      <c r="I577" s="7" t="s">
        <v>230</v>
      </c>
      <c r="J577" s="4"/>
    </row>
    <row r="578" spans="1:10" x14ac:dyDescent="0.2">
      <c r="A578">
        <f>COUNTIF($I$2:I578,'[1]Detalle Pilotos'!$G$3)</f>
        <v>0</v>
      </c>
      <c r="B578">
        <f t="shared" si="8"/>
        <v>577</v>
      </c>
      <c r="C578" s="9">
        <v>44506</v>
      </c>
      <c r="D578" s="4" t="s">
        <v>231</v>
      </c>
      <c r="E578" s="8">
        <v>31502</v>
      </c>
      <c r="F578" s="3"/>
      <c r="G578" s="7">
        <f>IF(Tabla1[[#This Row],[Fecha]]="","",G577+Tabla1[[#This Row],[ingreso]]-Tabla1[[#This Row],[egreso]])</f>
        <v>12809874.8413</v>
      </c>
      <c r="H578" s="7"/>
      <c r="I578" s="7" t="s">
        <v>232</v>
      </c>
      <c r="J578" s="4"/>
    </row>
    <row r="579" spans="1:10" x14ac:dyDescent="0.2">
      <c r="A579">
        <f>COUNTIF($I$2:I579,'[1]Detalle Pilotos'!$G$3)</f>
        <v>0</v>
      </c>
      <c r="B579">
        <f t="shared" si="8"/>
        <v>578</v>
      </c>
      <c r="C579" s="9">
        <v>44506</v>
      </c>
      <c r="D579" s="4" t="s">
        <v>233</v>
      </c>
      <c r="E579" s="8">
        <v>31502</v>
      </c>
      <c r="F579" s="3"/>
      <c r="G579" s="7">
        <f>IF(Tabla1[[#This Row],[Fecha]]="","",G578+Tabla1[[#This Row],[ingreso]]-Tabla1[[#This Row],[egreso]])</f>
        <v>12778372.8413</v>
      </c>
      <c r="H579" s="7"/>
      <c r="I579" s="7" t="s">
        <v>232</v>
      </c>
      <c r="J579" s="4"/>
    </row>
    <row r="580" spans="1:10" x14ac:dyDescent="0.2">
      <c r="A580">
        <f>COUNTIF($I$2:I580,'[1]Detalle Pilotos'!$G$3)</f>
        <v>0</v>
      </c>
      <c r="B580">
        <f t="shared" ref="B580:B643" si="9">IF(C580="","",1+B579)</f>
        <v>579</v>
      </c>
      <c r="C580" s="9">
        <v>44506</v>
      </c>
      <c r="D580" s="4" t="s">
        <v>234</v>
      </c>
      <c r="E580" s="8">
        <v>31502</v>
      </c>
      <c r="F580" s="3"/>
      <c r="G580" s="7">
        <f>IF(Tabla1[[#This Row],[Fecha]]="","",G579+Tabla1[[#This Row],[ingreso]]-Tabla1[[#This Row],[egreso]])</f>
        <v>12746870.8413</v>
      </c>
      <c r="H580" s="7"/>
      <c r="I580" s="7" t="s">
        <v>232</v>
      </c>
      <c r="J580" s="4"/>
    </row>
    <row r="581" spans="1:10" x14ac:dyDescent="0.2">
      <c r="A581">
        <f>COUNTIF($I$2:I581,'[1]Detalle Pilotos'!$G$3)</f>
        <v>0</v>
      </c>
      <c r="B581">
        <f t="shared" si="9"/>
        <v>580</v>
      </c>
      <c r="C581" s="9">
        <v>44506</v>
      </c>
      <c r="D581" s="4" t="s">
        <v>235</v>
      </c>
      <c r="E581" s="8"/>
      <c r="F581" s="3">
        <v>31502</v>
      </c>
      <c r="G581" s="7">
        <f>IF(Tabla1[[#This Row],[Fecha]]="","",G580+Tabla1[[#This Row],[ingreso]]-Tabla1[[#This Row],[egreso]])</f>
        <v>12778372.8413</v>
      </c>
      <c r="H581" s="7"/>
      <c r="I581" s="7" t="s">
        <v>16</v>
      </c>
      <c r="J581" s="4"/>
    </row>
    <row r="582" spans="1:10" x14ac:dyDescent="0.2">
      <c r="A582">
        <f>COUNTIF($I$2:I582,'[1]Detalle Pilotos'!$G$3)</f>
        <v>0</v>
      </c>
      <c r="B582">
        <f t="shared" si="9"/>
        <v>581</v>
      </c>
      <c r="C582" s="9">
        <v>44507</v>
      </c>
      <c r="D582" s="4" t="s">
        <v>236</v>
      </c>
      <c r="E582" s="8">
        <v>45512</v>
      </c>
      <c r="F582" s="3"/>
      <c r="G582" s="7">
        <f>IF(Tabla1[[#This Row],[Fecha]]="","",G581+Tabla1[[#This Row],[ingreso]]-Tabla1[[#This Row],[egreso]])</f>
        <v>12732860.8413</v>
      </c>
      <c r="H582" s="7" t="s">
        <v>237</v>
      </c>
      <c r="I582" s="7" t="s">
        <v>238</v>
      </c>
      <c r="J582" s="4"/>
    </row>
    <row r="583" spans="1:10" x14ac:dyDescent="0.2">
      <c r="A583">
        <f>COUNTIF($I$2:I583,'[1]Detalle Pilotos'!$G$3)</f>
        <v>0</v>
      </c>
      <c r="B583">
        <f t="shared" si="9"/>
        <v>582</v>
      </c>
      <c r="C583" s="9">
        <v>44507</v>
      </c>
      <c r="D583" s="4" t="s">
        <v>239</v>
      </c>
      <c r="E583" s="8">
        <v>97480</v>
      </c>
      <c r="F583" s="3"/>
      <c r="G583" s="7">
        <f>IF(Tabla1[[#This Row],[Fecha]]="","",G582+Tabla1[[#This Row],[ingreso]]-Tabla1[[#This Row],[egreso]])</f>
        <v>12635380.8413</v>
      </c>
      <c r="H583" s="7" t="s">
        <v>237</v>
      </c>
      <c r="I583" s="7" t="s">
        <v>232</v>
      </c>
      <c r="J583" s="4"/>
    </row>
    <row r="584" spans="1:10" x14ac:dyDescent="0.2">
      <c r="A584">
        <f>COUNTIF($I$2:I584,'[1]Detalle Pilotos'!$G$3)</f>
        <v>0</v>
      </c>
      <c r="B584">
        <f t="shared" si="9"/>
        <v>583</v>
      </c>
      <c r="C584" s="9">
        <v>44507</v>
      </c>
      <c r="D584" s="4" t="s">
        <v>240</v>
      </c>
      <c r="E584" s="8">
        <v>253333</v>
      </c>
      <c r="F584" s="3"/>
      <c r="G584" s="7">
        <f>IF(Tabla1[[#This Row],[Fecha]]="","",G583+Tabla1[[#This Row],[ingreso]]-Tabla1[[#This Row],[egreso]])</f>
        <v>12382047.8413</v>
      </c>
      <c r="H584" s="7" t="s">
        <v>237</v>
      </c>
      <c r="I584" s="7" t="s">
        <v>232</v>
      </c>
      <c r="J584" s="4"/>
    </row>
    <row r="585" spans="1:10" x14ac:dyDescent="0.2">
      <c r="A585">
        <f>COUNTIF($I$2:I585,'[1]Detalle Pilotos'!$G$3)</f>
        <v>0</v>
      </c>
      <c r="B585">
        <f t="shared" si="9"/>
        <v>584</v>
      </c>
      <c r="C585" s="9">
        <v>44508</v>
      </c>
      <c r="D585" s="4" t="s">
        <v>241</v>
      </c>
      <c r="E585" s="8">
        <v>97480</v>
      </c>
      <c r="F585" s="3"/>
      <c r="G585" s="7">
        <f>IF(Tabla1[[#This Row],[Fecha]]="","",G584+Tabla1[[#This Row],[ingreso]]-Tabla1[[#This Row],[egreso]])</f>
        <v>12284567.8413</v>
      </c>
      <c r="H585" s="7" t="s">
        <v>237</v>
      </c>
      <c r="I585" s="7" t="s">
        <v>232</v>
      </c>
      <c r="J585" s="4"/>
    </row>
    <row r="586" spans="1:10" x14ac:dyDescent="0.2">
      <c r="A586">
        <f>COUNTIF($I$2:I586,'[1]Detalle Pilotos'!$G$3)</f>
        <v>0</v>
      </c>
      <c r="B586">
        <f t="shared" si="9"/>
        <v>585</v>
      </c>
      <c r="C586" s="9">
        <v>44508</v>
      </c>
      <c r="D586" s="4" t="s">
        <v>242</v>
      </c>
      <c r="E586" s="8">
        <v>150900</v>
      </c>
      <c r="F586" s="3"/>
      <c r="G586" s="7">
        <f>IF(Tabla1[[#This Row],[Fecha]]="","",G585+Tabla1[[#This Row],[ingreso]]-Tabla1[[#This Row],[egreso]])</f>
        <v>12133667.8413</v>
      </c>
      <c r="H586" s="7" t="s">
        <v>34</v>
      </c>
      <c r="I586" s="7"/>
      <c r="J586" s="4"/>
    </row>
    <row r="587" spans="1:10" x14ac:dyDescent="0.2">
      <c r="A587">
        <f>COUNTIF($I$2:I587,'[1]Detalle Pilotos'!$G$3)</f>
        <v>0</v>
      </c>
      <c r="B587">
        <f t="shared" si="9"/>
        <v>586</v>
      </c>
      <c r="C587" s="9">
        <v>44508</v>
      </c>
      <c r="D587" s="4" t="s">
        <v>15</v>
      </c>
      <c r="E587" s="8"/>
      <c r="F587" s="3">
        <v>10012400</v>
      </c>
      <c r="G587" s="7">
        <f>IF(Tabla1[[#This Row],[Fecha]]="","",G586+Tabla1[[#This Row],[ingreso]]-Tabla1[[#This Row],[egreso]])</f>
        <v>22146067.8413</v>
      </c>
      <c r="H587" s="7"/>
      <c r="I587" s="7" t="s">
        <v>16</v>
      </c>
      <c r="J587" s="4"/>
    </row>
    <row r="588" spans="1:10" x14ac:dyDescent="0.2">
      <c r="A588">
        <f>COUNTIF($I$2:I588,'[1]Detalle Pilotos'!$G$3)</f>
        <v>0</v>
      </c>
      <c r="B588">
        <f t="shared" si="9"/>
        <v>587</v>
      </c>
      <c r="C588" s="9">
        <v>44508</v>
      </c>
      <c r="D588" s="4" t="s">
        <v>243</v>
      </c>
      <c r="E588" s="8">
        <v>25000</v>
      </c>
      <c r="F588" s="3"/>
      <c r="G588" s="7">
        <f>IF(Tabla1[[#This Row],[Fecha]]="","",G587+Tabla1[[#This Row],[ingreso]]-Tabla1[[#This Row],[egreso]])</f>
        <v>22121067.8413</v>
      </c>
      <c r="H588" s="7" t="s">
        <v>34</v>
      </c>
      <c r="I588" s="7"/>
      <c r="J588" s="4"/>
    </row>
    <row r="589" spans="1:10" x14ac:dyDescent="0.2">
      <c r="A589">
        <f>COUNTIF($I$2:I589,'[1]Detalle Pilotos'!$G$3)</f>
        <v>0</v>
      </c>
      <c r="B589">
        <f t="shared" si="9"/>
        <v>588</v>
      </c>
      <c r="C589" s="9">
        <v>44509</v>
      </c>
      <c r="D589" s="4" t="s">
        <v>53</v>
      </c>
      <c r="E589" s="8"/>
      <c r="F589" s="3">
        <v>180000</v>
      </c>
      <c r="G589" s="7">
        <f>IF(Tabla1[[#This Row],[Fecha]]="","",G588+Tabla1[[#This Row],[ingreso]]-Tabla1[[#This Row],[egreso]])</f>
        <v>22301067.8413</v>
      </c>
      <c r="H589" s="7"/>
      <c r="I589" s="7" t="s">
        <v>54</v>
      </c>
      <c r="J589" s="4"/>
    </row>
    <row r="590" spans="1:10" x14ac:dyDescent="0.2">
      <c r="A590">
        <f>COUNTIF($I$2:I590,'[1]Detalle Pilotos'!$G$3)</f>
        <v>0</v>
      </c>
      <c r="B590">
        <f t="shared" si="9"/>
        <v>589</v>
      </c>
      <c r="C590" s="9">
        <v>44510</v>
      </c>
      <c r="D590" s="4" t="s">
        <v>244</v>
      </c>
      <c r="E590" s="8">
        <v>233252</v>
      </c>
      <c r="F590" s="3"/>
      <c r="G590" s="7">
        <f>IF(Tabla1[[#This Row],[Fecha]]="","",G589+Tabla1[[#This Row],[ingreso]]-Tabla1[[#This Row],[egreso]])</f>
        <v>22067815.8413</v>
      </c>
      <c r="H590" s="7" t="s">
        <v>237</v>
      </c>
      <c r="I590" s="7" t="s">
        <v>232</v>
      </c>
      <c r="J590" s="4"/>
    </row>
    <row r="591" spans="1:10" x14ac:dyDescent="0.2">
      <c r="A591">
        <f>COUNTIF($I$2:I591,'[1]Detalle Pilotos'!$G$3)</f>
        <v>0</v>
      </c>
      <c r="B591">
        <f t="shared" si="9"/>
        <v>590</v>
      </c>
      <c r="C591" s="9">
        <v>44510</v>
      </c>
      <c r="D591" s="4" t="s">
        <v>245</v>
      </c>
      <c r="E591" s="8">
        <f>232555-97597</f>
        <v>134958</v>
      </c>
      <c r="F591" s="3"/>
      <c r="G591" s="7">
        <f>IF(Tabla1[[#This Row],[Fecha]]="","",G590+Tabla1[[#This Row],[ingreso]]-Tabla1[[#This Row],[egreso]])</f>
        <v>21932857.8413</v>
      </c>
      <c r="H591" s="7" t="s">
        <v>237</v>
      </c>
      <c r="I591" s="7" t="s">
        <v>232</v>
      </c>
      <c r="J591" s="4" t="s">
        <v>246</v>
      </c>
    </row>
    <row r="592" spans="1:10" x14ac:dyDescent="0.2">
      <c r="A592">
        <f>COUNTIF($I$2:I592,'[1]Detalle Pilotos'!$G$3)</f>
        <v>0</v>
      </c>
      <c r="B592">
        <f t="shared" si="9"/>
        <v>591</v>
      </c>
      <c r="C592" s="9">
        <v>44511</v>
      </c>
      <c r="D592" s="4" t="s">
        <v>227</v>
      </c>
      <c r="E592" s="8"/>
      <c r="F592" s="3">
        <v>10078</v>
      </c>
      <c r="G592" s="7">
        <f>IF(Tabla1[[#This Row],[Fecha]]="","",G591+Tabla1[[#This Row],[ingreso]]-Tabla1[[#This Row],[egreso]])</f>
        <v>21942935.8413</v>
      </c>
      <c r="H592" s="7"/>
      <c r="I592" s="7" t="s">
        <v>228</v>
      </c>
      <c r="J592" s="4"/>
    </row>
    <row r="593" spans="1:11" x14ac:dyDescent="0.2">
      <c r="A593">
        <f>COUNTIF($I$2:I593,'[1]Detalle Pilotos'!$G$3)</f>
        <v>0</v>
      </c>
      <c r="B593">
        <f t="shared" si="9"/>
        <v>592</v>
      </c>
      <c r="C593" s="9">
        <v>44512</v>
      </c>
      <c r="D593" s="4" t="s">
        <v>247</v>
      </c>
      <c r="E593" s="8">
        <v>103600</v>
      </c>
      <c r="F593" s="3"/>
      <c r="G593" s="7">
        <f>IF(Tabla1[[#This Row],[Fecha]]="","",G592+Tabla1[[#This Row],[ingreso]]-Tabla1[[#This Row],[egreso]])</f>
        <v>21839335.8413</v>
      </c>
      <c r="H593" s="7" t="s">
        <v>237</v>
      </c>
      <c r="I593" s="7" t="s">
        <v>232</v>
      </c>
      <c r="J593" s="4"/>
    </row>
    <row r="594" spans="1:11" x14ac:dyDescent="0.2">
      <c r="A594">
        <f>COUNTIF($I$2:I594,'[1]Detalle Pilotos'!$G$3)</f>
        <v>0</v>
      </c>
      <c r="B594">
        <f t="shared" si="9"/>
        <v>593</v>
      </c>
      <c r="C594" s="9">
        <v>44512</v>
      </c>
      <c r="D594" s="4" t="s">
        <v>248</v>
      </c>
      <c r="E594" s="8">
        <v>116388</v>
      </c>
      <c r="F594" s="3"/>
      <c r="G594" s="7">
        <f>IF(Tabla1[[#This Row],[Fecha]]="","",G593+Tabla1[[#This Row],[ingreso]]-Tabla1[[#This Row],[egreso]])</f>
        <v>21722947.8413</v>
      </c>
      <c r="H594" s="7" t="s">
        <v>237</v>
      </c>
      <c r="I594" s="7" t="s">
        <v>232</v>
      </c>
      <c r="J594" s="4"/>
    </row>
    <row r="595" spans="1:11" x14ac:dyDescent="0.2">
      <c r="A595">
        <f>COUNTIF($I$2:I595,'[1]Detalle Pilotos'!$G$3)</f>
        <v>0</v>
      </c>
      <c r="B595">
        <f t="shared" si="9"/>
        <v>594</v>
      </c>
      <c r="C595" s="9">
        <v>44512</v>
      </c>
      <c r="D595" s="4" t="s">
        <v>249</v>
      </c>
      <c r="E595" s="8">
        <v>85500</v>
      </c>
      <c r="F595" s="3"/>
      <c r="G595" s="7">
        <f>IF(Tabla1[[#This Row],[Fecha]]="","",G594+Tabla1[[#This Row],[ingreso]]-Tabla1[[#This Row],[egreso]])</f>
        <v>21637447.8413</v>
      </c>
      <c r="H595" s="7"/>
      <c r="I595" s="7"/>
      <c r="J595" s="4"/>
    </row>
    <row r="596" spans="1:11" x14ac:dyDescent="0.2">
      <c r="A596">
        <f>COUNTIF($I$2:I596,'[1]Detalle Pilotos'!$G$3)</f>
        <v>0</v>
      </c>
      <c r="B596">
        <f t="shared" si="9"/>
        <v>595</v>
      </c>
      <c r="C596" s="9">
        <v>44513</v>
      </c>
      <c r="D596" s="4" t="s">
        <v>250</v>
      </c>
      <c r="E596" s="8">
        <v>45061</v>
      </c>
      <c r="F596" s="3"/>
      <c r="G596" s="7">
        <f>IF(Tabla1[[#This Row],[Fecha]]="","",G595+Tabla1[[#This Row],[ingreso]]-Tabla1[[#This Row],[egreso]])</f>
        <v>21592386.8413</v>
      </c>
      <c r="H596" s="7" t="s">
        <v>237</v>
      </c>
      <c r="I596" s="7" t="s">
        <v>238</v>
      </c>
      <c r="J596" s="4"/>
      <c r="K596">
        <f>7050+10400+7400+10450+9761</f>
        <v>45061</v>
      </c>
    </row>
    <row r="597" spans="1:11" x14ac:dyDescent="0.2">
      <c r="A597">
        <f>COUNTIF($I$2:I597,'[1]Detalle Pilotos'!$G$3)</f>
        <v>0</v>
      </c>
      <c r="B597">
        <f t="shared" si="9"/>
        <v>596</v>
      </c>
      <c r="C597" s="9">
        <v>44513</v>
      </c>
      <c r="D597" s="4" t="s">
        <v>251</v>
      </c>
      <c r="E597" s="8">
        <v>171015</v>
      </c>
      <c r="F597" s="3"/>
      <c r="G597" s="7">
        <f>IF(Tabla1[[#This Row],[Fecha]]="","",G596+Tabla1[[#This Row],[ingreso]]-Tabla1[[#This Row],[egreso]])</f>
        <v>21421371.8413</v>
      </c>
      <c r="H597" s="7" t="s">
        <v>237</v>
      </c>
      <c r="I597" s="7" t="s">
        <v>232</v>
      </c>
      <c r="J597" s="4"/>
    </row>
    <row r="598" spans="1:11" x14ac:dyDescent="0.2">
      <c r="A598">
        <f>COUNTIF($I$2:I598,'[1]Detalle Pilotos'!$G$3)</f>
        <v>0</v>
      </c>
      <c r="B598">
        <f t="shared" si="9"/>
        <v>597</v>
      </c>
      <c r="C598" s="9">
        <v>44513</v>
      </c>
      <c r="D598" s="4" t="s">
        <v>47</v>
      </c>
      <c r="E598" s="8"/>
      <c r="F598" s="3">
        <v>600000</v>
      </c>
      <c r="G598" s="7">
        <f>IF(Tabla1[[#This Row],[Fecha]]="","",G597+Tabla1[[#This Row],[ingreso]]-Tabla1[[#This Row],[egreso]])</f>
        <v>22021371.8413</v>
      </c>
      <c r="H598" s="7"/>
      <c r="I598" s="7" t="s">
        <v>48</v>
      </c>
      <c r="J598" s="4"/>
    </row>
    <row r="599" spans="1:11" x14ac:dyDescent="0.2">
      <c r="A599">
        <f>COUNTIF($I$2:I599,'[1]Detalle Pilotos'!$G$3)</f>
        <v>0</v>
      </c>
      <c r="B599">
        <f t="shared" si="9"/>
        <v>598</v>
      </c>
      <c r="C599" s="9">
        <v>44514</v>
      </c>
      <c r="D599" s="4" t="s">
        <v>47</v>
      </c>
      <c r="E599" s="8"/>
      <c r="F599" s="3">
        <v>245256</v>
      </c>
      <c r="G599" s="7">
        <f>IF(Tabla1[[#This Row],[Fecha]]="","",G598+Tabla1[[#This Row],[ingreso]]-Tabla1[[#This Row],[egreso]])</f>
        <v>22266627.8413</v>
      </c>
      <c r="H599" s="7"/>
      <c r="I599" s="7" t="s">
        <v>48</v>
      </c>
      <c r="J599" s="4"/>
    </row>
    <row r="600" spans="1:11" x14ac:dyDescent="0.2">
      <c r="A600">
        <f>COUNTIF($I$2:I600,'[1]Detalle Pilotos'!$G$3)</f>
        <v>0</v>
      </c>
      <c r="B600">
        <f t="shared" si="9"/>
        <v>599</v>
      </c>
      <c r="C600" s="13">
        <v>44515</v>
      </c>
      <c r="D600" s="14" t="s">
        <v>47</v>
      </c>
      <c r="E600" s="15"/>
      <c r="F600" s="16">
        <v>100000</v>
      </c>
      <c r="G600" s="7">
        <f>IF(Tabla1[[#This Row],[Fecha]]="","",G599+Tabla1[[#This Row],[ingreso]]-Tabla1[[#This Row],[egreso]])</f>
        <v>22366627.8413</v>
      </c>
      <c r="H600" s="7"/>
      <c r="I600" s="7" t="s">
        <v>48</v>
      </c>
      <c r="J600" s="4"/>
    </row>
    <row r="601" spans="1:11" x14ac:dyDescent="0.2">
      <c r="A601">
        <f>COUNTIF($I$2:I601,'[1]Detalle Pilotos'!$G$3)</f>
        <v>0</v>
      </c>
      <c r="B601">
        <f t="shared" si="9"/>
        <v>600</v>
      </c>
      <c r="C601" s="9">
        <v>44515</v>
      </c>
      <c r="D601" s="4" t="s">
        <v>53</v>
      </c>
      <c r="E601" s="8"/>
      <c r="F601" s="3">
        <v>240193</v>
      </c>
      <c r="G601" s="7">
        <f>IF(Tabla1[[#This Row],[Fecha]]="","",G600+Tabla1[[#This Row],[ingreso]]-Tabla1[[#This Row],[egreso]])</f>
        <v>22606820.8413</v>
      </c>
      <c r="H601" s="7"/>
      <c r="I601" s="7" t="s">
        <v>230</v>
      </c>
      <c r="J601" s="4"/>
    </row>
    <row r="602" spans="1:11" x14ac:dyDescent="0.2">
      <c r="A602">
        <f>COUNTIF($I$2:I602,'[1]Detalle Pilotos'!$G$3)</f>
        <v>0</v>
      </c>
      <c r="B602">
        <f t="shared" si="9"/>
        <v>601</v>
      </c>
      <c r="C602" s="13">
        <v>44516</v>
      </c>
      <c r="D602" s="14" t="s">
        <v>252</v>
      </c>
      <c r="E602" s="15">
        <v>149832</v>
      </c>
      <c r="F602" s="16"/>
      <c r="G602" s="7">
        <f>IF(Tabla1[[#This Row],[Fecha]]="","",G601+Tabla1[[#This Row],[ingreso]]-Tabla1[[#This Row],[egreso]])</f>
        <v>22456988.8413</v>
      </c>
      <c r="H602" s="7" t="s">
        <v>237</v>
      </c>
      <c r="I602" s="7" t="s">
        <v>232</v>
      </c>
      <c r="J602" s="4"/>
    </row>
    <row r="603" spans="1:11" x14ac:dyDescent="0.2">
      <c r="A603">
        <f>COUNTIF($I$2:I603,'[1]Detalle Pilotos'!$G$3)</f>
        <v>0</v>
      </c>
      <c r="B603">
        <f t="shared" si="9"/>
        <v>602</v>
      </c>
      <c r="C603" s="9">
        <v>44516</v>
      </c>
      <c r="D603" s="4" t="s">
        <v>253</v>
      </c>
      <c r="E603" s="8">
        <v>49280</v>
      </c>
      <c r="F603" s="3"/>
      <c r="G603" s="7">
        <f>IF(Tabla1[[#This Row],[Fecha]]="","",G602+Tabla1[[#This Row],[ingreso]]-Tabla1[[#This Row],[egreso]])</f>
        <v>22407708.8413</v>
      </c>
      <c r="H603" s="7" t="s">
        <v>237</v>
      </c>
      <c r="I603" s="7" t="s">
        <v>238</v>
      </c>
      <c r="J603" s="4"/>
    </row>
    <row r="604" spans="1:11" x14ac:dyDescent="0.2">
      <c r="A604">
        <f>COUNTIF($I$2:I604,'[1]Detalle Pilotos'!$G$3)</f>
        <v>0</v>
      </c>
      <c r="B604">
        <f t="shared" si="9"/>
        <v>603</v>
      </c>
      <c r="C604" s="13">
        <v>44516</v>
      </c>
      <c r="D604" s="14" t="s">
        <v>254</v>
      </c>
      <c r="E604" s="15">
        <v>250000</v>
      </c>
      <c r="F604" s="16"/>
      <c r="G604" s="7">
        <f>IF(Tabla1[[#This Row],[Fecha]]="","",G603+Tabla1[[#This Row],[ingreso]]-Tabla1[[#This Row],[egreso]])</f>
        <v>22157708.8413</v>
      </c>
      <c r="H604" s="7" t="s">
        <v>34</v>
      </c>
      <c r="I604" s="7" t="s">
        <v>232</v>
      </c>
      <c r="J604" s="4"/>
    </row>
    <row r="605" spans="1:11" x14ac:dyDescent="0.2">
      <c r="A605">
        <f>COUNTIF($I$2:I605,'[1]Detalle Pilotos'!$G$3)</f>
        <v>0</v>
      </c>
      <c r="B605">
        <f t="shared" si="9"/>
        <v>604</v>
      </c>
      <c r="C605" s="9">
        <v>44517</v>
      </c>
      <c r="D605" s="4" t="s">
        <v>255</v>
      </c>
      <c r="E605" s="8">
        <v>5000000</v>
      </c>
      <c r="F605" s="3"/>
      <c r="G605" s="7">
        <f>IF(Tabla1[[#This Row],[Fecha]]="","",G604+Tabla1[[#This Row],[ingreso]]-Tabla1[[#This Row],[egreso]])</f>
        <v>17157708.8413</v>
      </c>
      <c r="H605" s="7" t="s">
        <v>34</v>
      </c>
      <c r="I605" s="7"/>
      <c r="J605" s="4"/>
    </row>
    <row r="606" spans="1:11" x14ac:dyDescent="0.2">
      <c r="A606">
        <f>COUNTIF($I$2:I606,'[1]Detalle Pilotos'!$G$3)</f>
        <v>0</v>
      </c>
      <c r="B606">
        <f t="shared" si="9"/>
        <v>605</v>
      </c>
      <c r="C606" s="9">
        <v>44516</v>
      </c>
      <c r="D606" s="4" t="s">
        <v>256</v>
      </c>
      <c r="E606" s="8">
        <v>97485</v>
      </c>
      <c r="F606" s="3"/>
      <c r="G606" s="7">
        <f>IF(Tabla1[[#This Row],[Fecha]]="","",G605+Tabla1[[#This Row],[ingreso]]-Tabla1[[#This Row],[egreso]])</f>
        <v>17060223.8413</v>
      </c>
      <c r="H606" s="7" t="s">
        <v>237</v>
      </c>
      <c r="I606" s="7" t="s">
        <v>232</v>
      </c>
      <c r="J606" s="4"/>
    </row>
    <row r="607" spans="1:11" x14ac:dyDescent="0.2">
      <c r="A607">
        <f>COUNTIF($I$2:I607,'[1]Detalle Pilotos'!$G$3)</f>
        <v>0</v>
      </c>
      <c r="B607">
        <f t="shared" si="9"/>
        <v>606</v>
      </c>
      <c r="C607" s="9">
        <v>44517</v>
      </c>
      <c r="D607" s="4" t="s">
        <v>53</v>
      </c>
      <c r="E607" s="8"/>
      <c r="F607" s="3">
        <v>360000</v>
      </c>
      <c r="G607" s="7">
        <f>IF(Tabla1[[#This Row],[Fecha]]="","",G606+Tabla1[[#This Row],[ingreso]]-Tabla1[[#This Row],[egreso]])</f>
        <v>17420223.8413</v>
      </c>
      <c r="H607" s="7"/>
      <c r="I607" s="7" t="s">
        <v>230</v>
      </c>
      <c r="J607" s="4"/>
    </row>
    <row r="608" spans="1:11" x14ac:dyDescent="0.2">
      <c r="A608">
        <f>COUNTIF($I$2:I608,'[1]Detalle Pilotos'!$G$3)</f>
        <v>0</v>
      </c>
      <c r="B608">
        <f t="shared" si="9"/>
        <v>607</v>
      </c>
      <c r="C608" s="9">
        <v>44518</v>
      </c>
      <c r="D608" s="4" t="s">
        <v>217</v>
      </c>
      <c r="E608" s="8"/>
      <c r="F608" s="3">
        <v>60000</v>
      </c>
      <c r="G608" s="7">
        <f>IF(Tabla1[[#This Row],[Fecha]]="","",G607+Tabla1[[#This Row],[ingreso]]-Tabla1[[#This Row],[egreso]])</f>
        <v>17480223.8413</v>
      </c>
      <c r="H608" s="7"/>
      <c r="I608" s="7" t="s">
        <v>218</v>
      </c>
      <c r="J608" s="4"/>
    </row>
    <row r="609" spans="1:11" x14ac:dyDescent="0.2">
      <c r="A609">
        <f>COUNTIF($I$2:I609,'[1]Detalle Pilotos'!$G$3)</f>
        <v>0</v>
      </c>
      <c r="B609">
        <f t="shared" si="9"/>
        <v>608</v>
      </c>
      <c r="C609" s="9">
        <v>44518</v>
      </c>
      <c r="D609" s="4" t="s">
        <v>257</v>
      </c>
      <c r="E609" s="8">
        <v>197934</v>
      </c>
      <c r="F609" s="3"/>
      <c r="G609" s="7">
        <f>IF(Tabla1[[#This Row],[Fecha]]="","",G608+Tabla1[[#This Row],[ingreso]]-Tabla1[[#This Row],[egreso]])</f>
        <v>17282289.8413</v>
      </c>
      <c r="H609" s="7" t="s">
        <v>237</v>
      </c>
      <c r="I609" s="7" t="s">
        <v>232</v>
      </c>
      <c r="J609" s="4"/>
    </row>
    <row r="610" spans="1:11" x14ac:dyDescent="0.2">
      <c r="A610">
        <f>COUNTIF($I$2:I610,'[1]Detalle Pilotos'!$G$3)</f>
        <v>0</v>
      </c>
      <c r="B610">
        <f t="shared" si="9"/>
        <v>609</v>
      </c>
      <c r="C610" s="9">
        <v>44519</v>
      </c>
      <c r="D610" s="4" t="s">
        <v>53</v>
      </c>
      <c r="E610" s="8"/>
      <c r="F610" s="3">
        <v>377055</v>
      </c>
      <c r="G610" s="7">
        <f>IF(Tabla1[[#This Row],[Fecha]]="","",G609+Tabla1[[#This Row],[ingreso]]-Tabla1[[#This Row],[egreso]])</f>
        <v>17659344.8413</v>
      </c>
      <c r="H610" s="7"/>
      <c r="I610" s="7" t="s">
        <v>230</v>
      </c>
      <c r="J610" s="4"/>
    </row>
    <row r="611" spans="1:11" x14ac:dyDescent="0.2">
      <c r="A611">
        <f>COUNTIF($I$2:I611,'[1]Detalle Pilotos'!$G$3)</f>
        <v>0</v>
      </c>
      <c r="B611">
        <f t="shared" si="9"/>
        <v>610</v>
      </c>
      <c r="C611" s="9">
        <v>44519</v>
      </c>
      <c r="D611" s="4" t="s">
        <v>256</v>
      </c>
      <c r="E611" s="8">
        <v>151320</v>
      </c>
      <c r="F611" s="3"/>
      <c r="G611" s="7">
        <f>IF(Tabla1[[#This Row],[Fecha]]="","",G610+Tabla1[[#This Row],[ingreso]]-Tabla1[[#This Row],[egreso]])</f>
        <v>17508024.8413</v>
      </c>
      <c r="H611" s="7" t="s">
        <v>237</v>
      </c>
      <c r="I611" s="7" t="s">
        <v>232</v>
      </c>
      <c r="J611" s="4"/>
    </row>
    <row r="612" spans="1:11" x14ac:dyDescent="0.2">
      <c r="A612">
        <f>COUNTIF($I$2:I612,'[1]Detalle Pilotos'!$G$3)</f>
        <v>0</v>
      </c>
      <c r="B612">
        <f t="shared" si="9"/>
        <v>611</v>
      </c>
      <c r="C612" s="9">
        <v>44520</v>
      </c>
      <c r="D612" s="4" t="s">
        <v>258</v>
      </c>
      <c r="E612" s="8"/>
      <c r="F612" s="3">
        <v>48000</v>
      </c>
      <c r="G612" s="7">
        <f>IF(Tabla1[[#This Row],[Fecha]]="","",G611+Tabla1[[#This Row],[ingreso]]-Tabla1[[#This Row],[egreso]])</f>
        <v>17556024.8413</v>
      </c>
      <c r="H612" s="7"/>
      <c r="I612" s="7" t="s">
        <v>259</v>
      </c>
      <c r="J612" s="4"/>
    </row>
    <row r="613" spans="1:11" x14ac:dyDescent="0.2">
      <c r="A613">
        <f>COUNTIF($I$2:I613,'[1]Detalle Pilotos'!$G$3)</f>
        <v>0</v>
      </c>
      <c r="B613">
        <f t="shared" si="9"/>
        <v>612</v>
      </c>
      <c r="C613" s="9">
        <v>44520</v>
      </c>
      <c r="D613" s="4" t="s">
        <v>260</v>
      </c>
      <c r="E613" s="8">
        <v>165405</v>
      </c>
      <c r="F613" s="3"/>
      <c r="G613" s="7">
        <f>IF(Tabla1[[#This Row],[Fecha]]="","",G612+Tabla1[[#This Row],[ingreso]]-Tabla1[[#This Row],[egreso]])</f>
        <v>17390619.8413</v>
      </c>
      <c r="H613" s="7" t="s">
        <v>237</v>
      </c>
      <c r="I613" s="7" t="s">
        <v>232</v>
      </c>
      <c r="J613" s="4"/>
    </row>
    <row r="614" spans="1:11" x14ac:dyDescent="0.2">
      <c r="A614">
        <f>COUNTIF($I$2:I614,'[1]Detalle Pilotos'!$G$3)</f>
        <v>0</v>
      </c>
      <c r="B614">
        <f t="shared" si="9"/>
        <v>613</v>
      </c>
      <c r="C614" s="9">
        <v>44520</v>
      </c>
      <c r="D614" s="4" t="s">
        <v>261</v>
      </c>
      <c r="E614" s="8">
        <v>38570</v>
      </c>
      <c r="F614" s="3"/>
      <c r="G614" s="7">
        <f>IF(Tabla1[[#This Row],[Fecha]]="","",G613+Tabla1[[#This Row],[ingreso]]-Tabla1[[#This Row],[egreso]])</f>
        <v>17352049.8413</v>
      </c>
      <c r="H614" s="7" t="s">
        <v>237</v>
      </c>
      <c r="I614" s="7" t="s">
        <v>232</v>
      </c>
      <c r="J614" s="4"/>
    </row>
    <row r="615" spans="1:11" x14ac:dyDescent="0.2">
      <c r="A615">
        <f>COUNTIF($I$2:I615,'[1]Detalle Pilotos'!$G$3)</f>
        <v>0</v>
      </c>
      <c r="B615">
        <f t="shared" si="9"/>
        <v>614</v>
      </c>
      <c r="C615" s="9">
        <v>44520</v>
      </c>
      <c r="D615" s="4" t="s">
        <v>262</v>
      </c>
      <c r="E615" s="8">
        <v>18000</v>
      </c>
      <c r="F615" s="3"/>
      <c r="G615" s="7">
        <f>IF(Tabla1[[#This Row],[Fecha]]="","",G614+Tabla1[[#This Row],[ingreso]]-Tabla1[[#This Row],[egreso]])</f>
        <v>17334049.8413</v>
      </c>
      <c r="H615" s="7" t="s">
        <v>237</v>
      </c>
      <c r="I615" s="7" t="s">
        <v>238</v>
      </c>
      <c r="J615" s="4"/>
    </row>
    <row r="616" spans="1:11" x14ac:dyDescent="0.2">
      <c r="A616">
        <f>COUNTIF($I$2:I616,'[1]Detalle Pilotos'!$G$3)</f>
        <v>0</v>
      </c>
      <c r="B616">
        <f t="shared" si="9"/>
        <v>615</v>
      </c>
      <c r="C616" s="9">
        <v>44520</v>
      </c>
      <c r="D616" s="4" t="s">
        <v>263</v>
      </c>
      <c r="E616" s="8"/>
      <c r="F616" s="3">
        <v>149351</v>
      </c>
      <c r="G616" s="7">
        <f>IF(Tabla1[[#This Row],[Fecha]]="","",G615+Tabla1[[#This Row],[ingreso]]-Tabla1[[#This Row],[egreso]])</f>
        <v>17483400.8413</v>
      </c>
      <c r="H616" s="7"/>
      <c r="I616" s="7" t="s">
        <v>16</v>
      </c>
      <c r="J616" s="4"/>
    </row>
    <row r="617" spans="1:11" x14ac:dyDescent="0.2">
      <c r="A617">
        <f>COUNTIF($I$2:I617,'[1]Detalle Pilotos'!$G$3)</f>
        <v>0</v>
      </c>
      <c r="B617">
        <f t="shared" si="9"/>
        <v>616</v>
      </c>
      <c r="C617" s="9">
        <v>44521</v>
      </c>
      <c r="D617" s="4" t="s">
        <v>264</v>
      </c>
      <c r="E617" s="8"/>
      <c r="F617" s="3">
        <v>10000</v>
      </c>
      <c r="G617" s="7">
        <f>IF(Tabla1[[#This Row],[Fecha]]="","",G616+Tabla1[[#This Row],[ingreso]]-Tabla1[[#This Row],[egreso]])</f>
        <v>17493400.8413</v>
      </c>
      <c r="H617" s="7"/>
      <c r="I617" s="7"/>
      <c r="J617" s="4"/>
    </row>
    <row r="618" spans="1:11" x14ac:dyDescent="0.2">
      <c r="A618">
        <f>COUNTIF($I$2:I618,'[1]Detalle Pilotos'!$G$3)</f>
        <v>0</v>
      </c>
      <c r="B618">
        <f t="shared" si="9"/>
        <v>617</v>
      </c>
      <c r="C618" s="9">
        <v>44521</v>
      </c>
      <c r="D618" s="4" t="s">
        <v>258</v>
      </c>
      <c r="E618" s="8"/>
      <c r="F618" s="3">
        <v>48000</v>
      </c>
      <c r="G618" s="7">
        <f>IF(Tabla1[[#This Row],[Fecha]]="","",G617+Tabla1[[#This Row],[ingreso]]-Tabla1[[#This Row],[egreso]])</f>
        <v>17541400.8413</v>
      </c>
      <c r="H618" s="7"/>
      <c r="I618" s="7" t="s">
        <v>259</v>
      </c>
      <c r="J618" s="4"/>
    </row>
    <row r="619" spans="1:11" x14ac:dyDescent="0.2">
      <c r="A619">
        <f>COUNTIF($I$2:I619,'[1]Detalle Pilotos'!$G$3)</f>
        <v>0</v>
      </c>
      <c r="B619">
        <f t="shared" si="9"/>
        <v>618</v>
      </c>
      <c r="C619" s="9">
        <v>44522</v>
      </c>
      <c r="D619" s="4" t="s">
        <v>178</v>
      </c>
      <c r="E619" s="8"/>
      <c r="F619" s="3">
        <v>189000</v>
      </c>
      <c r="G619" s="7">
        <f>IF(Tabla1[[#This Row],[Fecha]]="","",G618+Tabla1[[#This Row],[ingreso]]-Tabla1[[#This Row],[egreso]])</f>
        <v>17730400.8413</v>
      </c>
      <c r="H619" s="7"/>
      <c r="I619" s="7" t="s">
        <v>179</v>
      </c>
      <c r="J619" s="4"/>
    </row>
    <row r="620" spans="1:11" x14ac:dyDescent="0.2">
      <c r="A620">
        <f>COUNTIF($I$2:I620,'[1]Detalle Pilotos'!$G$3)</f>
        <v>0</v>
      </c>
      <c r="B620">
        <f t="shared" si="9"/>
        <v>619</v>
      </c>
      <c r="C620" s="9">
        <v>44523</v>
      </c>
      <c r="D620" s="4" t="s">
        <v>36</v>
      </c>
      <c r="E620" s="8"/>
      <c r="F620" s="3">
        <v>98000</v>
      </c>
      <c r="G620" s="7">
        <f>IF(Tabla1[[#This Row],[Fecha]]="","",G619+Tabla1[[#This Row],[ingreso]]-Tabla1[[#This Row],[egreso]])</f>
        <v>17828400.8413</v>
      </c>
      <c r="H620" s="7"/>
      <c r="I620" s="7" t="s">
        <v>37</v>
      </c>
      <c r="J620" s="4"/>
    </row>
    <row r="621" spans="1:11" x14ac:dyDescent="0.2">
      <c r="A621">
        <f>COUNTIF($I$2:I621,'[1]Detalle Pilotos'!$G$3)</f>
        <v>0</v>
      </c>
      <c r="B621">
        <f t="shared" si="9"/>
        <v>620</v>
      </c>
      <c r="C621" s="9">
        <v>44523</v>
      </c>
      <c r="D621" s="4" t="s">
        <v>265</v>
      </c>
      <c r="E621" s="8"/>
      <c r="F621" s="3">
        <v>156000</v>
      </c>
      <c r="G621" s="7">
        <f>IF(Tabla1[[#This Row],[Fecha]]="","",G620+Tabla1[[#This Row],[ingreso]]-Tabla1[[#This Row],[egreso]])</f>
        <v>17984400.8413</v>
      </c>
      <c r="H621" s="7"/>
      <c r="I621" s="7" t="s">
        <v>106</v>
      </c>
      <c r="J621" s="4"/>
    </row>
    <row r="622" spans="1:11" x14ac:dyDescent="0.2">
      <c r="A622">
        <f>COUNTIF($I$2:I622,'[1]Detalle Pilotos'!$G$3)</f>
        <v>0</v>
      </c>
      <c r="B622">
        <f t="shared" si="9"/>
        <v>621</v>
      </c>
      <c r="C622" s="9">
        <v>44526</v>
      </c>
      <c r="D622" s="4" t="s">
        <v>157</v>
      </c>
      <c r="E622" s="8"/>
      <c r="F622" s="3">
        <f>144000-87737</f>
        <v>56263</v>
      </c>
      <c r="G622" s="7">
        <f>IF(Tabla1[[#This Row],[Fecha]]="","",G621+Tabla1[[#This Row],[ingreso]]-Tabla1[[#This Row],[egreso]])</f>
        <v>18040663.8413</v>
      </c>
      <c r="H622" s="7"/>
      <c r="I622" s="7" t="s">
        <v>158</v>
      </c>
      <c r="J622" s="4"/>
    </row>
    <row r="623" spans="1:11" x14ac:dyDescent="0.2">
      <c r="A623">
        <f>COUNTIF($I$2:I623,'[1]Detalle Pilotos'!$G$3)</f>
        <v>0</v>
      </c>
      <c r="B623">
        <f t="shared" si="9"/>
        <v>622</v>
      </c>
      <c r="C623" s="9">
        <v>44528</v>
      </c>
      <c r="D623" s="4" t="s">
        <v>266</v>
      </c>
      <c r="E623" s="8">
        <v>135606</v>
      </c>
      <c r="F623" s="3"/>
      <c r="G623" s="7">
        <f>IF(Tabla1[[#This Row],[Fecha]]="","",G622+Tabla1[[#This Row],[ingreso]]-Tabla1[[#This Row],[egreso]])</f>
        <v>17905057.8413</v>
      </c>
      <c r="H623" s="7"/>
      <c r="I623" s="7" t="s">
        <v>232</v>
      </c>
      <c r="J623" s="4"/>
      <c r="K623" s="17"/>
    </row>
    <row r="624" spans="1:11" x14ac:dyDescent="0.2">
      <c r="A624">
        <f>COUNTIF($I$2:I624,'[1]Detalle Pilotos'!$G$3)</f>
        <v>0</v>
      </c>
      <c r="B624">
        <f t="shared" si="9"/>
        <v>623</v>
      </c>
      <c r="C624" s="9">
        <v>44528</v>
      </c>
      <c r="D624" s="4" t="s">
        <v>267</v>
      </c>
      <c r="E624" s="8"/>
      <c r="F624" s="3">
        <v>80000</v>
      </c>
      <c r="G624" s="7">
        <f>IF(Tabla1[[#This Row],[Fecha]]="","",G623+Tabla1[[#This Row],[ingreso]]-Tabla1[[#This Row],[egreso]])</f>
        <v>17985057.8413</v>
      </c>
      <c r="H624" s="7"/>
      <c r="I624" s="7" t="s">
        <v>268</v>
      </c>
      <c r="J624" s="4"/>
    </row>
    <row r="625" spans="1:12" x14ac:dyDescent="0.2">
      <c r="A625">
        <f>COUNTIF($I$2:I625,'[1]Detalle Pilotos'!$G$3)</f>
        <v>0</v>
      </c>
      <c r="B625">
        <f t="shared" si="9"/>
        <v>624</v>
      </c>
      <c r="C625" s="9">
        <v>44529</v>
      </c>
      <c r="D625" s="4" t="s">
        <v>258</v>
      </c>
      <c r="E625" s="8"/>
      <c r="F625" s="3">
        <v>48000</v>
      </c>
      <c r="G625" s="7">
        <f>IF(Tabla1[[#This Row],[Fecha]]="","",G624+Tabla1[[#This Row],[ingreso]]-Tabla1[[#This Row],[egreso]])</f>
        <v>18033057.8413</v>
      </c>
      <c r="H625" s="7"/>
      <c r="I625" s="7" t="s">
        <v>259</v>
      </c>
      <c r="J625" s="4"/>
    </row>
    <row r="626" spans="1:12" x14ac:dyDescent="0.2">
      <c r="A626">
        <f>COUNTIF($I$2:I626,'[1]Detalle Pilotos'!$G$3)</f>
        <v>0</v>
      </c>
      <c r="B626">
        <f t="shared" si="9"/>
        <v>625</v>
      </c>
      <c r="C626" s="9">
        <v>44529</v>
      </c>
      <c r="D626" s="4" t="s">
        <v>178</v>
      </c>
      <c r="E626" s="8"/>
      <c r="F626" s="3">
        <v>189000</v>
      </c>
      <c r="G626" s="7">
        <f>IF(Tabla1[[#This Row],[Fecha]]="","",G625+Tabla1[[#This Row],[ingreso]]-Tabla1[[#This Row],[egreso]])</f>
        <v>18222057.8413</v>
      </c>
      <c r="H626" s="7"/>
      <c r="I626" s="7" t="s">
        <v>179</v>
      </c>
      <c r="J626" s="4"/>
    </row>
    <row r="627" spans="1:12" x14ac:dyDescent="0.2">
      <c r="A627">
        <f>COUNTIF($I$2:I627,'[1]Detalle Pilotos'!$G$3)</f>
        <v>0</v>
      </c>
      <c r="B627">
        <f t="shared" si="9"/>
        <v>626</v>
      </c>
      <c r="C627" s="9">
        <v>44530</v>
      </c>
      <c r="D627" s="4" t="s">
        <v>269</v>
      </c>
      <c r="E627" s="8">
        <v>200000</v>
      </c>
      <c r="F627" s="3"/>
      <c r="G627" s="7">
        <f>IF(Tabla1[[#This Row],[Fecha]]="","",G626+Tabla1[[#This Row],[ingreso]]-Tabla1[[#This Row],[egreso]])</f>
        <v>18022057.8413</v>
      </c>
      <c r="H627" s="7"/>
      <c r="I627" s="7"/>
      <c r="J627" s="4"/>
    </row>
    <row r="628" spans="1:12" x14ac:dyDescent="0.2">
      <c r="A628">
        <f>COUNTIF($I$2:I628,'[1]Detalle Pilotos'!$G$3)</f>
        <v>0</v>
      </c>
      <c r="B628">
        <f t="shared" si="9"/>
        <v>627</v>
      </c>
      <c r="C628" s="9">
        <v>44533</v>
      </c>
      <c r="D628" s="4" t="s">
        <v>270</v>
      </c>
      <c r="E628" s="8">
        <v>935626</v>
      </c>
      <c r="F628" s="3"/>
      <c r="G628" s="7">
        <f>IF(Tabla1[[#This Row],[Fecha]]="","",G627+Tabla1[[#This Row],[ingreso]]-Tabla1[[#This Row],[egreso]])</f>
        <v>17086431.8413</v>
      </c>
      <c r="H628" s="7"/>
      <c r="I628" s="7"/>
      <c r="J628" s="4"/>
    </row>
    <row r="629" spans="1:12" x14ac:dyDescent="0.2">
      <c r="A629">
        <f>COUNTIF($I$2:I629,'[1]Detalle Pilotos'!$G$3)</f>
        <v>0</v>
      </c>
      <c r="B629">
        <f t="shared" si="9"/>
        <v>628</v>
      </c>
      <c r="C629" s="9">
        <v>44533</v>
      </c>
      <c r="D629" s="4" t="s">
        <v>271</v>
      </c>
      <c r="E629" s="8"/>
      <c r="F629" s="3">
        <v>228000</v>
      </c>
      <c r="G629" s="7">
        <f>IF(Tabla1[[#This Row],[Fecha]]="","",G628+Tabla1[[#This Row],[ingreso]]-Tabla1[[#This Row],[egreso]])</f>
        <v>17314431.8413</v>
      </c>
      <c r="H629" s="7"/>
      <c r="I629" s="7" t="s">
        <v>184</v>
      </c>
      <c r="J629" s="4"/>
    </row>
    <row r="630" spans="1:12" x14ac:dyDescent="0.2">
      <c r="A630">
        <f>COUNTIF($I$2:I630,'[1]Detalle Pilotos'!$G$3)</f>
        <v>0</v>
      </c>
      <c r="B630">
        <f t="shared" si="9"/>
        <v>629</v>
      </c>
      <c r="C630" s="9">
        <v>44533</v>
      </c>
      <c r="D630" s="4" t="s">
        <v>272</v>
      </c>
      <c r="E630" s="8">
        <v>2000000</v>
      </c>
      <c r="F630" s="3"/>
      <c r="G630" s="7">
        <f>IF(Tabla1[[#This Row],[Fecha]]="","",G629+Tabla1[[#This Row],[ingreso]]-Tabla1[[#This Row],[egreso]])</f>
        <v>15314431.8413</v>
      </c>
      <c r="H630" s="7"/>
      <c r="I630" s="7"/>
      <c r="J630" s="4"/>
    </row>
    <row r="631" spans="1:12" x14ac:dyDescent="0.2">
      <c r="A631">
        <f>COUNTIF($I$2:I631,'[1]Detalle Pilotos'!$G$3)</f>
        <v>0</v>
      </c>
      <c r="B631">
        <f t="shared" si="9"/>
        <v>630</v>
      </c>
      <c r="C631" s="9">
        <v>44533</v>
      </c>
      <c r="D631" s="4" t="s">
        <v>53</v>
      </c>
      <c r="E631" s="8"/>
      <c r="F631" s="3">
        <v>158120</v>
      </c>
      <c r="G631" s="7">
        <f>IF(Tabla1[[#This Row],[Fecha]]="","",G630+Tabla1[[#This Row],[ingreso]]-Tabla1[[#This Row],[egreso]])</f>
        <v>15472551.8413</v>
      </c>
      <c r="H631" s="7"/>
      <c r="I631" s="7" t="s">
        <v>230</v>
      </c>
      <c r="J631" s="4"/>
    </row>
    <row r="632" spans="1:12" x14ac:dyDescent="0.2">
      <c r="A632">
        <f>COUNTIF($I$2:I632,'[1]Detalle Pilotos'!$G$3)</f>
        <v>0</v>
      </c>
      <c r="B632">
        <f t="shared" si="9"/>
        <v>631</v>
      </c>
      <c r="C632" s="9">
        <v>44535</v>
      </c>
      <c r="D632" s="4" t="s">
        <v>267</v>
      </c>
      <c r="E632" s="8"/>
      <c r="F632" s="3">
        <v>109000</v>
      </c>
      <c r="G632" s="7">
        <f>IF(Tabla1[[#This Row],[Fecha]]="","",G631+Tabla1[[#This Row],[ingreso]]-Tabla1[[#This Row],[egreso]])</f>
        <v>15581551.8413</v>
      </c>
      <c r="H632" s="7"/>
      <c r="I632" s="7" t="s">
        <v>268</v>
      </c>
      <c r="J632" s="4"/>
    </row>
    <row r="633" spans="1:12" x14ac:dyDescent="0.2">
      <c r="A633">
        <f>COUNTIF($I$2:I633,'[1]Detalle Pilotos'!$G$3)</f>
        <v>0</v>
      </c>
      <c r="B633">
        <f t="shared" si="9"/>
        <v>632</v>
      </c>
      <c r="C633" s="9">
        <v>44539</v>
      </c>
      <c r="D633" s="4" t="s">
        <v>273</v>
      </c>
      <c r="E633" s="8">
        <v>5000000</v>
      </c>
      <c r="F633" s="3"/>
      <c r="G633" s="7">
        <f>IF(Tabla1[[#This Row],[Fecha]]="","",G632+Tabla1[[#This Row],[ingreso]]-Tabla1[[#This Row],[egreso]])</f>
        <v>10581551.8413</v>
      </c>
      <c r="H633" s="7" t="s">
        <v>34</v>
      </c>
      <c r="I633" s="7"/>
      <c r="J633" s="4"/>
    </row>
    <row r="634" spans="1:12" x14ac:dyDescent="0.2">
      <c r="A634">
        <f>COUNTIF($I$2:I634,'[1]Detalle Pilotos'!$G$3)</f>
        <v>0</v>
      </c>
      <c r="B634">
        <f t="shared" si="9"/>
        <v>633</v>
      </c>
      <c r="C634" s="9">
        <v>44540</v>
      </c>
      <c r="D634" s="4" t="s">
        <v>274</v>
      </c>
      <c r="E634" s="8">
        <v>3000000</v>
      </c>
      <c r="F634" s="3"/>
      <c r="G634" s="7">
        <f>IF(Tabla1[[#This Row],[Fecha]]="","",G633+Tabla1[[#This Row],[ingreso]]-Tabla1[[#This Row],[egreso]])</f>
        <v>7581551.8412999995</v>
      </c>
      <c r="H634" s="7" t="s">
        <v>34</v>
      </c>
      <c r="I634" s="7"/>
      <c r="J634" s="4"/>
    </row>
    <row r="635" spans="1:12" x14ac:dyDescent="0.2">
      <c r="A635">
        <f>COUNTIF($I$2:I635,'[1]Detalle Pilotos'!$G$3)</f>
        <v>0</v>
      </c>
      <c r="B635">
        <f t="shared" si="9"/>
        <v>634</v>
      </c>
      <c r="C635" s="9">
        <v>44542</v>
      </c>
      <c r="D635" s="4" t="s">
        <v>275</v>
      </c>
      <c r="E635" s="8">
        <v>190759</v>
      </c>
      <c r="F635" s="3"/>
      <c r="G635" s="7">
        <f>IF(Tabla1[[#This Row],[Fecha]]="","",G634+Tabla1[[#This Row],[ingreso]]-Tabla1[[#This Row],[egreso]])</f>
        <v>7390792.8412999995</v>
      </c>
      <c r="H635" s="7"/>
      <c r="I635" s="7"/>
      <c r="J635" s="4"/>
    </row>
    <row r="636" spans="1:12" x14ac:dyDescent="0.2">
      <c r="A636">
        <f>COUNTIF($I$2:I636,'[1]Detalle Pilotos'!$G$3)</f>
        <v>0</v>
      </c>
      <c r="B636">
        <f t="shared" si="9"/>
        <v>635</v>
      </c>
      <c r="C636" s="9">
        <v>44542</v>
      </c>
      <c r="D636" s="4" t="s">
        <v>276</v>
      </c>
      <c r="E636" s="8">
        <v>166667</v>
      </c>
      <c r="F636" s="3"/>
      <c r="G636" s="7">
        <f>IF(Tabla1[[#This Row],[Fecha]]="","",G635+Tabla1[[#This Row],[ingreso]]-Tabla1[[#This Row],[egreso]])</f>
        <v>7224125.8412999995</v>
      </c>
      <c r="H636" s="7"/>
      <c r="I636" s="7"/>
      <c r="J636" s="4"/>
    </row>
    <row r="637" spans="1:12" x14ac:dyDescent="0.2">
      <c r="A637">
        <f>COUNTIF($I$2:I637,'[1]Detalle Pilotos'!$G$3)</f>
        <v>0</v>
      </c>
      <c r="B637">
        <f t="shared" si="9"/>
        <v>636</v>
      </c>
      <c r="C637" s="9">
        <v>44543</v>
      </c>
      <c r="D637" s="4" t="s">
        <v>277</v>
      </c>
      <c r="E637" s="8">
        <v>147869</v>
      </c>
      <c r="F637" s="3"/>
      <c r="G637" s="7">
        <f>IF(Tabla1[[#This Row],[Fecha]]="","",G636+Tabla1[[#This Row],[ingreso]]-Tabla1[[#This Row],[egreso]])</f>
        <v>7076256.8412999995</v>
      </c>
      <c r="H637" s="7"/>
      <c r="I637" s="7"/>
      <c r="J637" s="4"/>
    </row>
    <row r="638" spans="1:12" x14ac:dyDescent="0.2">
      <c r="A638">
        <f>COUNTIF($I$2:I638,'[1]Detalle Pilotos'!$G$3)</f>
        <v>0</v>
      </c>
      <c r="B638">
        <f t="shared" si="9"/>
        <v>637</v>
      </c>
      <c r="C638" s="9">
        <v>44545</v>
      </c>
      <c r="D638" s="4" t="s">
        <v>53</v>
      </c>
      <c r="E638" s="8"/>
      <c r="F638" s="3">
        <v>120000</v>
      </c>
      <c r="G638" s="7">
        <f>IF(Tabla1[[#This Row],[Fecha]]="","",G637+Tabla1[[#This Row],[ingreso]]-Tabla1[[#This Row],[egreso]])</f>
        <v>7196256.8412999995</v>
      </c>
      <c r="H638" s="7"/>
      <c r="I638" s="7" t="s">
        <v>54</v>
      </c>
      <c r="J638" s="4"/>
    </row>
    <row r="639" spans="1:12" x14ac:dyDescent="0.2">
      <c r="A639">
        <f>COUNTIF($I$2:I639,'[1]Detalle Pilotos'!$G$3)</f>
        <v>0</v>
      </c>
      <c r="B639">
        <f t="shared" si="9"/>
        <v>638</v>
      </c>
      <c r="C639" s="9">
        <v>44546</v>
      </c>
      <c r="D639" s="4" t="s">
        <v>278</v>
      </c>
      <c r="E639" s="8">
        <v>48498</v>
      </c>
      <c r="F639" s="3"/>
      <c r="G639" s="7">
        <f>IF(Tabla1[[#This Row],[Fecha]]="","",G638+Tabla1[[#This Row],[ingreso]]-Tabla1[[#This Row],[egreso]])</f>
        <v>7147758.8412999995</v>
      </c>
      <c r="H639" s="7" t="s">
        <v>237</v>
      </c>
      <c r="I639" s="7" t="s">
        <v>238</v>
      </c>
      <c r="J639" s="4"/>
    </row>
    <row r="640" spans="1:12" x14ac:dyDescent="0.2">
      <c r="A640">
        <f>COUNTIF($I$2:I640,'[1]Detalle Pilotos'!$G$3)</f>
        <v>0</v>
      </c>
      <c r="B640">
        <f t="shared" si="9"/>
        <v>639</v>
      </c>
      <c r="C640" s="9">
        <v>44547</v>
      </c>
      <c r="D640" s="4" t="s">
        <v>279</v>
      </c>
      <c r="E640" s="8">
        <v>2000000</v>
      </c>
      <c r="F640" s="3"/>
      <c r="G640" s="7">
        <f>IF(Tabla1[[#This Row],[Fecha]]="","",G639+Tabla1[[#This Row],[ingreso]]-Tabla1[[#This Row],[egreso]])</f>
        <v>5147758.8412999995</v>
      </c>
      <c r="H640" s="7"/>
      <c r="I640" s="7"/>
      <c r="J640" s="4"/>
      <c r="L640">
        <v>155685</v>
      </c>
    </row>
    <row r="641" spans="1:10" x14ac:dyDescent="0.2">
      <c r="A641">
        <f>COUNTIF($I$2:I641,'[1]Detalle Pilotos'!$G$3)</f>
        <v>0</v>
      </c>
      <c r="B641">
        <f t="shared" si="9"/>
        <v>640</v>
      </c>
      <c r="C641" s="9">
        <v>44548</v>
      </c>
      <c r="D641" s="4" t="s">
        <v>280</v>
      </c>
      <c r="E641" s="8">
        <v>137250</v>
      </c>
      <c r="F641" s="3"/>
      <c r="G641" s="7">
        <f>IF(Tabla1[[#This Row],[Fecha]]="","",G640+Tabla1[[#This Row],[ingreso]]-Tabla1[[#This Row],[egreso]])</f>
        <v>5010508.8412999995</v>
      </c>
      <c r="H641" s="7"/>
      <c r="I641" s="7" t="s">
        <v>232</v>
      </c>
      <c r="J641" s="4"/>
    </row>
    <row r="642" spans="1:10" x14ac:dyDescent="0.2">
      <c r="A642">
        <f>COUNTIF($I$2:I642,'[1]Detalle Pilotos'!$G$3)</f>
        <v>0</v>
      </c>
      <c r="B642">
        <f t="shared" si="9"/>
        <v>641</v>
      </c>
      <c r="C642" s="9">
        <v>44548</v>
      </c>
      <c r="D642" s="4" t="s">
        <v>14</v>
      </c>
      <c r="E642" s="8">
        <v>126650</v>
      </c>
      <c r="F642" s="3"/>
      <c r="G642" s="7">
        <f>IF(Tabla1[[#This Row],[Fecha]]="","",G641+Tabla1[[#This Row],[ingreso]]-Tabla1[[#This Row],[egreso]])</f>
        <v>4883858.8412999995</v>
      </c>
      <c r="H642" s="7"/>
      <c r="I642" s="7" t="s">
        <v>232</v>
      </c>
      <c r="J642" s="4"/>
    </row>
    <row r="643" spans="1:10" x14ac:dyDescent="0.2">
      <c r="A643">
        <f>COUNTIF($I$2:I643,'[1]Detalle Pilotos'!$G$3)</f>
        <v>0</v>
      </c>
      <c r="B643">
        <f t="shared" si="9"/>
        <v>642</v>
      </c>
      <c r="C643" s="9">
        <v>44548</v>
      </c>
      <c r="D643" s="4" t="s">
        <v>14</v>
      </c>
      <c r="E643" s="8">
        <v>112500</v>
      </c>
      <c r="F643" s="3"/>
      <c r="G643" s="7">
        <f>IF(Tabla1[[#This Row],[Fecha]]="","",G642+Tabla1[[#This Row],[ingreso]]-Tabla1[[#This Row],[egreso]])</f>
        <v>4771358.8412999995</v>
      </c>
      <c r="H643" s="7"/>
      <c r="I643" s="7" t="s">
        <v>232</v>
      </c>
      <c r="J643" s="4"/>
    </row>
    <row r="644" spans="1:10" x14ac:dyDescent="0.2">
      <c r="A644">
        <f>COUNTIF($I$2:I644,'[1]Detalle Pilotos'!$G$3)</f>
        <v>0</v>
      </c>
      <c r="B644">
        <f t="shared" ref="B644:B707" si="10">IF(C644="","",1+B643)</f>
        <v>643</v>
      </c>
      <c r="C644" s="9">
        <v>44548</v>
      </c>
      <c r="D644" s="4" t="s">
        <v>281</v>
      </c>
      <c r="E644" s="8">
        <v>40000</v>
      </c>
      <c r="F644" s="3"/>
      <c r="G644" s="7">
        <f>IF(Tabla1[[#This Row],[Fecha]]="","",G643+Tabla1[[#This Row],[ingreso]]-Tabla1[[#This Row],[egreso]])</f>
        <v>4731358.8412999995</v>
      </c>
      <c r="H644" s="7" t="s">
        <v>237</v>
      </c>
      <c r="I644" s="7" t="s">
        <v>238</v>
      </c>
      <c r="J644" s="4"/>
    </row>
    <row r="645" spans="1:10" x14ac:dyDescent="0.2">
      <c r="A645">
        <f>COUNTIF($I$2:I645,'[1]Detalle Pilotos'!$G$3)</f>
        <v>0</v>
      </c>
      <c r="B645">
        <f t="shared" si="10"/>
        <v>644</v>
      </c>
      <c r="C645" s="9">
        <v>44549</v>
      </c>
      <c r="D645" s="4" t="s">
        <v>282</v>
      </c>
      <c r="E645" s="8">
        <v>60000</v>
      </c>
      <c r="F645" s="3"/>
      <c r="G645" s="7">
        <f>IF(Tabla1[[#This Row],[Fecha]]="","",G644+Tabla1[[#This Row],[ingreso]]-Tabla1[[#This Row],[egreso]])</f>
        <v>4671358.8412999995</v>
      </c>
      <c r="H645" s="7" t="s">
        <v>237</v>
      </c>
      <c r="I645" s="7" t="s">
        <v>238</v>
      </c>
      <c r="J645" s="4"/>
    </row>
    <row r="646" spans="1:10" x14ac:dyDescent="0.2">
      <c r="A646">
        <f>COUNTIF($I$2:I646,'[1]Detalle Pilotos'!$G$3)</f>
        <v>0</v>
      </c>
      <c r="B646">
        <f t="shared" si="10"/>
        <v>645</v>
      </c>
      <c r="C646" s="9">
        <v>44549</v>
      </c>
      <c r="D646" s="4" t="s">
        <v>283</v>
      </c>
      <c r="E646" s="8">
        <v>131120</v>
      </c>
      <c r="F646" s="3"/>
      <c r="G646" s="7">
        <f>IF(Tabla1[[#This Row],[Fecha]]="","",G645+Tabla1[[#This Row],[ingreso]]-Tabla1[[#This Row],[egreso]])</f>
        <v>4540238.8412999995</v>
      </c>
      <c r="H646" s="7"/>
      <c r="I646" s="7" t="s">
        <v>232</v>
      </c>
      <c r="J646" s="4"/>
    </row>
    <row r="647" spans="1:10" x14ac:dyDescent="0.2">
      <c r="A647">
        <f>COUNTIF($I$2:I647,'[1]Detalle Pilotos'!$G$3)</f>
        <v>0</v>
      </c>
      <c r="B647">
        <f t="shared" si="10"/>
        <v>646</v>
      </c>
      <c r="C647" s="9">
        <v>44550</v>
      </c>
      <c r="D647" s="4" t="s">
        <v>284</v>
      </c>
      <c r="E647" s="8">
        <v>358869</v>
      </c>
      <c r="F647" s="3"/>
      <c r="G647" s="7">
        <f>IF(Tabla1[[#This Row],[Fecha]]="","",G646+Tabla1[[#This Row],[ingreso]]-Tabla1[[#This Row],[egreso]])</f>
        <v>4181369.8412999995</v>
      </c>
      <c r="H647" s="7"/>
      <c r="I647" s="7"/>
      <c r="J647" s="4"/>
    </row>
    <row r="648" spans="1:10" x14ac:dyDescent="0.2">
      <c r="A648">
        <f>COUNTIF($I$2:I648,'[1]Detalle Pilotos'!$G$3)</f>
        <v>0</v>
      </c>
      <c r="B648">
        <f t="shared" si="10"/>
        <v>647</v>
      </c>
      <c r="C648" s="9">
        <v>44550</v>
      </c>
      <c r="D648" s="4" t="s">
        <v>285</v>
      </c>
      <c r="E648" s="8">
        <v>35000</v>
      </c>
      <c r="F648" s="3"/>
      <c r="G648" s="7">
        <f>IF(Tabla1[[#This Row],[Fecha]]="","",G647+Tabla1[[#This Row],[ingreso]]-Tabla1[[#This Row],[egreso]])</f>
        <v>4146369.8412999995</v>
      </c>
      <c r="H648" s="7" t="s">
        <v>237</v>
      </c>
      <c r="I648" s="7" t="s">
        <v>238</v>
      </c>
      <c r="J648" s="4"/>
    </row>
    <row r="649" spans="1:10" x14ac:dyDescent="0.2">
      <c r="A649">
        <f>COUNTIF($I$2:I649,'[1]Detalle Pilotos'!$G$3)</f>
        <v>0</v>
      </c>
      <c r="B649">
        <f t="shared" si="10"/>
        <v>648</v>
      </c>
      <c r="C649" s="9">
        <v>44551</v>
      </c>
      <c r="D649" s="4" t="s">
        <v>63</v>
      </c>
      <c r="E649" s="8"/>
      <c r="F649" s="3">
        <v>73793</v>
      </c>
      <c r="G649" s="7">
        <f>IF(Tabla1[[#This Row],[Fecha]]="","",G648+Tabla1[[#This Row],[ingreso]]-Tabla1[[#This Row],[egreso]])</f>
        <v>4220162.8412999995</v>
      </c>
      <c r="H649" s="7"/>
      <c r="I649" s="7" t="s">
        <v>64</v>
      </c>
      <c r="J649" s="4"/>
    </row>
    <row r="650" spans="1:10" x14ac:dyDescent="0.2">
      <c r="A650">
        <f>COUNTIF($I$2:I650,'[1]Detalle Pilotos'!$G$3)</f>
        <v>0</v>
      </c>
      <c r="B650">
        <f t="shared" si="10"/>
        <v>649</v>
      </c>
      <c r="C650" s="9">
        <v>44554</v>
      </c>
      <c r="D650" s="4" t="s">
        <v>286</v>
      </c>
      <c r="E650" s="8">
        <v>2073000</v>
      </c>
      <c r="F650" s="3"/>
      <c r="G650" s="7">
        <f>IF(Tabla1[[#This Row],[Fecha]]="","",G649+Tabla1[[#This Row],[ingreso]]-Tabla1[[#This Row],[egreso]])</f>
        <v>2147162.8412999995</v>
      </c>
      <c r="H650" s="7"/>
      <c r="I650" s="7"/>
      <c r="J650" s="4"/>
    </row>
    <row r="651" spans="1:10" x14ac:dyDescent="0.2">
      <c r="A651">
        <f>COUNTIF($I$2:I651,'[1]Detalle Pilotos'!$G$3)</f>
        <v>0</v>
      </c>
      <c r="B651">
        <f t="shared" si="10"/>
        <v>650</v>
      </c>
      <c r="C651" s="9">
        <v>44558</v>
      </c>
      <c r="D651" s="4" t="s">
        <v>265</v>
      </c>
      <c r="E651" s="8"/>
      <c r="F651" s="3">
        <v>156000</v>
      </c>
      <c r="G651" s="7">
        <f>IF(Tabla1[[#This Row],[Fecha]]="","",G650+Tabla1[[#This Row],[ingreso]]-Tabla1[[#This Row],[egreso]])</f>
        <v>2303162.8412999995</v>
      </c>
      <c r="H651" s="7"/>
      <c r="I651" s="7" t="s">
        <v>106</v>
      </c>
      <c r="J651" s="4"/>
    </row>
    <row r="652" spans="1:10" x14ac:dyDescent="0.2">
      <c r="A652">
        <f>COUNTIF($I$2:I652,'[1]Detalle Pilotos'!$G$3)</f>
        <v>0</v>
      </c>
      <c r="B652">
        <f t="shared" si="10"/>
        <v>651</v>
      </c>
      <c r="C652" s="9">
        <v>44560</v>
      </c>
      <c r="D652" s="4" t="s">
        <v>157</v>
      </c>
      <c r="E652" s="8"/>
      <c r="F652" s="3">
        <v>348000</v>
      </c>
      <c r="G652" s="7">
        <f>IF(Tabla1[[#This Row],[Fecha]]="","",G651+Tabla1[[#This Row],[ingreso]]-Tabla1[[#This Row],[egreso]])</f>
        <v>2651162.8412999995</v>
      </c>
      <c r="H652" s="7"/>
      <c r="I652" s="7" t="s">
        <v>158</v>
      </c>
      <c r="J652" s="4"/>
    </row>
    <row r="653" spans="1:10" x14ac:dyDescent="0.2">
      <c r="A653">
        <f>COUNTIF($I$2:I653,'[1]Detalle Pilotos'!$G$3)</f>
        <v>0</v>
      </c>
      <c r="B653">
        <f t="shared" si="10"/>
        <v>652</v>
      </c>
      <c r="C653" s="9">
        <v>44560</v>
      </c>
      <c r="D653" s="4" t="s">
        <v>287</v>
      </c>
      <c r="E653" s="8"/>
      <c r="F653" s="3">
        <v>83237</v>
      </c>
      <c r="G653" s="7">
        <f>IF(Tabla1[[#This Row],[Fecha]]="","",G652+Tabla1[[#This Row],[ingreso]]-Tabla1[[#This Row],[egreso]])</f>
        <v>2734399.8412999995</v>
      </c>
      <c r="H653" s="7"/>
      <c r="I653" s="7" t="s">
        <v>288</v>
      </c>
      <c r="J653" s="4"/>
    </row>
    <row r="654" spans="1:10" x14ac:dyDescent="0.2">
      <c r="A654">
        <f>COUNTIF($I$2:I654,'[1]Detalle Pilotos'!$G$3)</f>
        <v>0</v>
      </c>
      <c r="B654">
        <f t="shared" si="10"/>
        <v>653</v>
      </c>
      <c r="C654" s="9">
        <v>44560</v>
      </c>
      <c r="D654" s="4" t="s">
        <v>289</v>
      </c>
      <c r="E654" s="8"/>
      <c r="F654" s="3">
        <v>166473</v>
      </c>
      <c r="G654" s="7">
        <f>IF(Tabla1[[#This Row],[Fecha]]="","",G653+Tabla1[[#This Row],[ingreso]]-Tabla1[[#This Row],[egreso]])</f>
        <v>2900872.8412999995</v>
      </c>
      <c r="H654" s="7"/>
      <c r="I654" s="7" t="s">
        <v>290</v>
      </c>
      <c r="J654" s="4"/>
    </row>
    <row r="655" spans="1:10" x14ac:dyDescent="0.2">
      <c r="A655">
        <f>COUNTIF($I$2:I655,'[1]Detalle Pilotos'!$G$3)</f>
        <v>0</v>
      </c>
      <c r="B655">
        <f t="shared" si="10"/>
        <v>654</v>
      </c>
      <c r="C655" s="9">
        <v>44560</v>
      </c>
      <c r="D655" s="4" t="s">
        <v>291</v>
      </c>
      <c r="E655" s="8">
        <v>115200</v>
      </c>
      <c r="F655" s="3"/>
      <c r="G655" s="7">
        <f>IF(Tabla1[[#This Row],[Fecha]]="","",G654+Tabla1[[#This Row],[ingreso]]-Tabla1[[#This Row],[egreso]])</f>
        <v>2785672.8412999995</v>
      </c>
      <c r="H655" s="7"/>
      <c r="I655" s="7" t="s">
        <v>232</v>
      </c>
      <c r="J655" s="4"/>
    </row>
    <row r="656" spans="1:10" x14ac:dyDescent="0.2">
      <c r="A656">
        <f>COUNTIF($I$2:I656,'[1]Detalle Pilotos'!$G$3)</f>
        <v>0</v>
      </c>
      <c r="B656">
        <f t="shared" si="10"/>
        <v>655</v>
      </c>
      <c r="C656" s="9">
        <v>44560</v>
      </c>
      <c r="D656" s="4" t="s">
        <v>256</v>
      </c>
      <c r="E656" s="8">
        <v>69404</v>
      </c>
      <c r="F656" s="3"/>
      <c r="G656" s="7">
        <f>IF(Tabla1[[#This Row],[Fecha]]="","",G655+Tabla1[[#This Row],[ingreso]]-Tabla1[[#This Row],[egreso]])</f>
        <v>2716268.8412999995</v>
      </c>
      <c r="H656" s="7"/>
      <c r="I656" s="7" t="s">
        <v>232</v>
      </c>
      <c r="J656" s="4"/>
    </row>
    <row r="657" spans="1:13" x14ac:dyDescent="0.2">
      <c r="A657">
        <f>COUNTIF($I$2:I657,'[1]Detalle Pilotos'!$G$3)</f>
        <v>0</v>
      </c>
      <c r="B657">
        <f t="shared" si="10"/>
        <v>656</v>
      </c>
      <c r="C657" s="9">
        <v>44560</v>
      </c>
      <c r="D657" s="4" t="s">
        <v>292</v>
      </c>
      <c r="E657" s="8">
        <v>176625</v>
      </c>
      <c r="F657" s="3"/>
      <c r="G657" s="7">
        <f>IF(Tabla1[[#This Row],[Fecha]]="","",G656+Tabla1[[#This Row],[ingreso]]-Tabla1[[#This Row],[egreso]])</f>
        <v>2539643.8412999995</v>
      </c>
      <c r="H657" s="7"/>
      <c r="I657" s="7"/>
      <c r="J657" s="4"/>
    </row>
    <row r="658" spans="1:13" x14ac:dyDescent="0.2">
      <c r="A658">
        <f>COUNTIF($I$2:I658,'[1]Detalle Pilotos'!$G$3)</f>
        <v>0</v>
      </c>
      <c r="B658">
        <f t="shared" si="10"/>
        <v>657</v>
      </c>
      <c r="C658" s="9">
        <v>44560</v>
      </c>
      <c r="D658" s="4" t="s">
        <v>293</v>
      </c>
      <c r="E658" s="8">
        <v>10000</v>
      </c>
      <c r="F658" s="3"/>
      <c r="G658" s="7">
        <f>IF(Tabla1[[#This Row],[Fecha]]="","",G657+Tabla1[[#This Row],[ingreso]]-Tabla1[[#This Row],[egreso]])</f>
        <v>2529643.8412999995</v>
      </c>
      <c r="H658" s="7"/>
      <c r="I658" s="7"/>
      <c r="J658" s="4"/>
    </row>
    <row r="659" spans="1:13" x14ac:dyDescent="0.2">
      <c r="A659">
        <f>COUNTIF($I$2:I659,'[1]Detalle Pilotos'!$G$3)</f>
        <v>0</v>
      </c>
      <c r="B659">
        <f t="shared" si="10"/>
        <v>658</v>
      </c>
      <c r="C659" s="9">
        <v>44560</v>
      </c>
      <c r="D659" s="4" t="s">
        <v>256</v>
      </c>
      <c r="E659" s="8">
        <v>155685</v>
      </c>
      <c r="F659" s="3"/>
      <c r="G659" s="7">
        <f>IF(Tabla1[[#This Row],[Fecha]]="","",G658+Tabla1[[#This Row],[ingreso]]-Tabla1[[#This Row],[egreso]])</f>
        <v>2373958.8412999995</v>
      </c>
      <c r="H659" s="7"/>
      <c r="I659" s="7" t="s">
        <v>232</v>
      </c>
      <c r="J659" s="4"/>
    </row>
    <row r="660" spans="1:13" x14ac:dyDescent="0.2">
      <c r="A660">
        <f>COUNTIF($I$2:I660,'[1]Detalle Pilotos'!$G$3)</f>
        <v>0</v>
      </c>
      <c r="B660">
        <f t="shared" si="10"/>
        <v>659</v>
      </c>
      <c r="C660" s="9">
        <f>[1]Combustible!G351</f>
        <v>44561</v>
      </c>
      <c r="D660" s="4" t="s">
        <v>294</v>
      </c>
      <c r="E660" s="8">
        <v>106215</v>
      </c>
      <c r="F660" s="3"/>
      <c r="G660" s="7">
        <f>IF(Tabla1[[#This Row],[Fecha]]="","",G659+Tabla1[[#This Row],[ingreso]]-Tabla1[[#This Row],[egreso]])</f>
        <v>2267743.8412999995</v>
      </c>
      <c r="H660" s="7"/>
      <c r="I660" s="7"/>
      <c r="J660" s="4"/>
    </row>
    <row r="661" spans="1:13" x14ac:dyDescent="0.2">
      <c r="A661">
        <f>COUNTIF($I$2:I661,'[1]Detalle Pilotos'!$G$3)</f>
        <v>0</v>
      </c>
      <c r="B661">
        <f t="shared" si="10"/>
        <v>660</v>
      </c>
      <c r="C661" s="9">
        <f>[1]Combustible!G352</f>
        <v>44563</v>
      </c>
      <c r="D661" s="4" t="s">
        <v>294</v>
      </c>
      <c r="E661" s="8">
        <f>[1]Combustible!L352</f>
        <v>116388</v>
      </c>
      <c r="F661" s="3"/>
      <c r="G661" s="7">
        <f>IF(Tabla1[[#This Row],[Fecha]]="","",G660+Tabla1[[#This Row],[ingreso]]-Tabla1[[#This Row],[egreso]])</f>
        <v>2151355.8412999995</v>
      </c>
      <c r="H661" s="7"/>
      <c r="I661" s="7"/>
      <c r="J661" s="4"/>
    </row>
    <row r="662" spans="1:13" x14ac:dyDescent="0.2">
      <c r="A662">
        <f>COUNTIF($I$2:I662,'[1]Detalle Pilotos'!$G$3)</f>
        <v>0</v>
      </c>
      <c r="B662">
        <f t="shared" si="10"/>
        <v>661</v>
      </c>
      <c r="C662" s="9">
        <f>[1]Combustible!G353</f>
        <v>44563</v>
      </c>
      <c r="D662" s="4" t="s">
        <v>294</v>
      </c>
      <c r="E662" s="8">
        <f>[1]Combustible!L353</f>
        <v>91500</v>
      </c>
      <c r="F662" s="3"/>
      <c r="G662" s="7">
        <f>IF(Tabla1[[#This Row],[Fecha]]="","",G661+Tabla1[[#This Row],[ingreso]]-Tabla1[[#This Row],[egreso]])</f>
        <v>2059855.8412999995</v>
      </c>
      <c r="H662" s="7"/>
      <c r="I662" s="7"/>
      <c r="J662" s="4"/>
      <c r="M662" s="18">
        <v>585373</v>
      </c>
    </row>
    <row r="663" spans="1:13" x14ac:dyDescent="0.2">
      <c r="A663">
        <f>COUNTIF($I$2:I663,'[1]Detalle Pilotos'!$G$3)</f>
        <v>0</v>
      </c>
      <c r="B663">
        <f t="shared" si="10"/>
        <v>662</v>
      </c>
      <c r="C663" s="9">
        <f>[1]Combustible!G354</f>
        <v>44563</v>
      </c>
      <c r="D663" s="4" t="s">
        <v>294</v>
      </c>
      <c r="E663" s="8">
        <f>[1]Combustible!L354</f>
        <v>129630</v>
      </c>
      <c r="F663" s="3"/>
      <c r="G663" s="7">
        <f>IF(Tabla1[[#This Row],[Fecha]]="","",G662+Tabla1[[#This Row],[ingreso]]-Tabla1[[#This Row],[egreso]])</f>
        <v>1930225.8412999995</v>
      </c>
      <c r="H663" s="7"/>
      <c r="I663" s="7"/>
      <c r="J663" s="4"/>
      <c r="M663" s="18">
        <v>344285</v>
      </c>
    </row>
    <row r="664" spans="1:13" x14ac:dyDescent="0.2">
      <c r="A664">
        <f>COUNTIF($I$2:I664,'[1]Detalle Pilotos'!$G$3)</f>
        <v>0</v>
      </c>
      <c r="B664">
        <f t="shared" si="10"/>
        <v>663</v>
      </c>
      <c r="C664" s="9">
        <f>[1]Combustible!G355</f>
        <v>44564</v>
      </c>
      <c r="D664" s="4" t="s">
        <v>294</v>
      </c>
      <c r="E664" s="8">
        <f>[1]Combustible!L355</f>
        <v>79443</v>
      </c>
      <c r="F664" s="3"/>
      <c r="G664" s="7">
        <f>IF(Tabla1[[#This Row],[Fecha]]="","",G663+Tabla1[[#This Row],[ingreso]]-Tabla1[[#This Row],[egreso]])</f>
        <v>1850782.8412999995</v>
      </c>
      <c r="H664" s="7"/>
      <c r="I664" s="7"/>
      <c r="J664" s="4"/>
      <c r="M664" s="18">
        <v>107980</v>
      </c>
    </row>
    <row r="665" spans="1:13" x14ac:dyDescent="0.2">
      <c r="A665">
        <f>COUNTIF($I$2:I665,'[1]Detalle Pilotos'!$G$3)</f>
        <v>0</v>
      </c>
      <c r="B665">
        <f t="shared" si="10"/>
        <v>664</v>
      </c>
      <c r="C665" s="9">
        <f>[1]Combustible!G356</f>
        <v>44564</v>
      </c>
      <c r="D665" s="4" t="s">
        <v>294</v>
      </c>
      <c r="E665" s="8">
        <f>[1]Combustible!L356</f>
        <v>129630</v>
      </c>
      <c r="F665" s="3"/>
      <c r="G665" s="7">
        <f>IF(Tabla1[[#This Row],[Fecha]]="","",G664+Tabla1[[#This Row],[ingreso]]-Tabla1[[#This Row],[egreso]])</f>
        <v>1721152.8412999995</v>
      </c>
      <c r="H665" s="7"/>
      <c r="I665" s="7"/>
      <c r="J665" s="4"/>
    </row>
    <row r="666" spans="1:13" x14ac:dyDescent="0.2">
      <c r="A666">
        <f>COUNTIF($I$2:I666,'[1]Detalle Pilotos'!$G$3)</f>
        <v>0</v>
      </c>
      <c r="B666">
        <f t="shared" si="10"/>
        <v>665</v>
      </c>
      <c r="C666" s="9">
        <f>[1]Combustible!G357</f>
        <v>44564</v>
      </c>
      <c r="D666" s="4" t="s">
        <v>294</v>
      </c>
      <c r="E666" s="8">
        <f>[1]Combustible!L357</f>
        <v>123000</v>
      </c>
      <c r="F666" s="3"/>
      <c r="G666" s="7">
        <f>IF(Tabla1[[#This Row],[Fecha]]="","",G665+Tabla1[[#This Row],[ingreso]]-Tabla1[[#This Row],[egreso]])</f>
        <v>1598152.8412999995</v>
      </c>
      <c r="H666" s="7"/>
      <c r="I666" s="7"/>
      <c r="J666" s="4"/>
    </row>
    <row r="667" spans="1:13" x14ac:dyDescent="0.2">
      <c r="A667">
        <f>COUNTIF($I$2:I667,'[1]Detalle Pilotos'!$G$3)</f>
        <v>0</v>
      </c>
      <c r="B667">
        <f t="shared" si="10"/>
        <v>666</v>
      </c>
      <c r="C667" s="9">
        <f>[1]Combustible!G358</f>
        <v>44565</v>
      </c>
      <c r="D667" s="4" t="s">
        <v>294</v>
      </c>
      <c r="E667" s="8">
        <f>[1]Combustible!L358</f>
        <v>123670</v>
      </c>
      <c r="F667" s="3"/>
      <c r="G667" s="7">
        <f>IF(Tabla1[[#This Row],[Fecha]]="","",G666+Tabla1[[#This Row],[ingreso]]-Tabla1[[#This Row],[egreso]])</f>
        <v>1474482.8412999995</v>
      </c>
      <c r="H667" s="7"/>
      <c r="I667" s="7"/>
      <c r="J667" s="4"/>
    </row>
    <row r="668" spans="1:13" x14ac:dyDescent="0.2">
      <c r="A668">
        <f>COUNTIF($I$2:I668,'[1]Detalle Pilotos'!$G$3)</f>
        <v>0</v>
      </c>
      <c r="B668">
        <f t="shared" si="10"/>
        <v>667</v>
      </c>
      <c r="C668" s="9">
        <v>44564</v>
      </c>
      <c r="D668" s="4" t="s">
        <v>295</v>
      </c>
      <c r="E668" s="8">
        <v>84000</v>
      </c>
      <c r="F668" s="3"/>
      <c r="G668" s="7">
        <f>IF(Tabla1[[#This Row],[Fecha]]="","",G667+Tabla1[[#This Row],[ingreso]]-Tabla1[[#This Row],[egreso]])</f>
        <v>1390482.8412999995</v>
      </c>
      <c r="H668" s="7"/>
      <c r="I668" s="7" t="s">
        <v>238</v>
      </c>
      <c r="J668" s="4"/>
    </row>
    <row r="669" spans="1:13" x14ac:dyDescent="0.2">
      <c r="A669">
        <f>COUNTIF($I$2:I669,'[1]Detalle Pilotos'!$G$3)</f>
        <v>0</v>
      </c>
      <c r="B669">
        <f t="shared" si="10"/>
        <v>668</v>
      </c>
      <c r="C669" s="9">
        <v>44565</v>
      </c>
      <c r="D669" s="4" t="s">
        <v>296</v>
      </c>
      <c r="E669" s="8">
        <v>13980</v>
      </c>
      <c r="F669" s="3"/>
      <c r="G669" s="7">
        <f>IF(Tabla1[[#This Row],[Fecha]]="","",G668+Tabla1[[#This Row],[ingreso]]-Tabla1[[#This Row],[egreso]])</f>
        <v>1376502.8412999995</v>
      </c>
      <c r="H669" s="7"/>
      <c r="I669" s="7" t="s">
        <v>238</v>
      </c>
      <c r="J669" s="4"/>
    </row>
    <row r="670" spans="1:13" x14ac:dyDescent="0.2">
      <c r="A670">
        <f>COUNTIF($I$2:I670,'[1]Detalle Pilotos'!$G$3)</f>
        <v>0</v>
      </c>
      <c r="B670">
        <f t="shared" si="10"/>
        <v>669</v>
      </c>
      <c r="C670" s="9">
        <v>44565</v>
      </c>
      <c r="D670" s="4" t="s">
        <v>297</v>
      </c>
      <c r="E670" s="8">
        <v>10000</v>
      </c>
      <c r="F670" s="3"/>
      <c r="G670" s="7">
        <f>IF(Tabla1[[#This Row],[Fecha]]="","",G669+Tabla1[[#This Row],[ingreso]]-Tabla1[[#This Row],[egreso]])</f>
        <v>1366502.8412999995</v>
      </c>
      <c r="H670" s="7"/>
      <c r="I670" s="7" t="s">
        <v>238</v>
      </c>
      <c r="J670" s="4"/>
    </row>
    <row r="671" spans="1:13" x14ac:dyDescent="0.2">
      <c r="A671">
        <f>COUNTIF($I$2:I671,'[1]Detalle Pilotos'!$G$3)</f>
        <v>0</v>
      </c>
      <c r="B671">
        <f t="shared" si="10"/>
        <v>670</v>
      </c>
      <c r="C671" s="9">
        <v>44563</v>
      </c>
      <c r="D671" s="4" t="s">
        <v>298</v>
      </c>
      <c r="E671" s="8">
        <f>9.9*31001.72</f>
        <v>306917.02800000005</v>
      </c>
      <c r="F671" s="3"/>
      <c r="G671" s="7">
        <f>IF(Tabla1[[#This Row],[Fecha]]="","",G670+Tabla1[[#This Row],[ingreso]]-Tabla1[[#This Row],[egreso]])</f>
        <v>1059585.8132999996</v>
      </c>
      <c r="H671" s="7"/>
      <c r="I671" s="7"/>
      <c r="J671" s="4"/>
    </row>
    <row r="672" spans="1:13" x14ac:dyDescent="0.2">
      <c r="A672">
        <f>COUNTIF($I$2:I672,'[1]Detalle Pilotos'!$G$3)</f>
        <v>0</v>
      </c>
      <c r="B672">
        <f t="shared" si="10"/>
        <v>671</v>
      </c>
      <c r="C672" s="9">
        <v>44566</v>
      </c>
      <c r="D672" s="4" t="s">
        <v>299</v>
      </c>
      <c r="E672" s="8">
        <f>11.1*31016.68</f>
        <v>344285.14799999999</v>
      </c>
      <c r="F672" s="3"/>
      <c r="G672" s="7">
        <f>IF(Tabla1[[#This Row],[Fecha]]="","",G671+Tabla1[[#This Row],[ingreso]]-Tabla1[[#This Row],[egreso]])</f>
        <v>715300.66529999953</v>
      </c>
      <c r="H672" s="7"/>
      <c r="I672" s="7"/>
      <c r="J672" s="4"/>
    </row>
    <row r="673" spans="1:10" x14ac:dyDescent="0.2">
      <c r="A673">
        <f>COUNTIF($I$2:I673,'[1]Detalle Pilotos'!$G$3)</f>
        <v>0</v>
      </c>
      <c r="B673">
        <f t="shared" si="10"/>
        <v>672</v>
      </c>
      <c r="C673" s="9">
        <v>44566</v>
      </c>
      <c r="D673" s="4" t="s">
        <v>300</v>
      </c>
      <c r="E673" s="8">
        <f>E674*2</f>
        <v>46474</v>
      </c>
      <c r="F673" s="3"/>
      <c r="G673" s="7">
        <f>IF(Tabla1[[#This Row],[Fecha]]="","",G672+Tabla1[[#This Row],[ingreso]]-Tabla1[[#This Row],[egreso]])</f>
        <v>668826.66529999953</v>
      </c>
      <c r="H673" s="7"/>
      <c r="I673" s="7"/>
      <c r="J673" s="4"/>
    </row>
    <row r="674" spans="1:10" x14ac:dyDescent="0.2">
      <c r="A674">
        <f>COUNTIF($I$2:I674,'[1]Detalle Pilotos'!$G$3)</f>
        <v>0</v>
      </c>
      <c r="B674">
        <f t="shared" si="10"/>
        <v>673</v>
      </c>
      <c r="C674" s="9">
        <v>44566</v>
      </c>
      <c r="D674" s="4" t="s">
        <v>301</v>
      </c>
      <c r="E674" s="8">
        <v>23237</v>
      </c>
      <c r="F674" s="3"/>
      <c r="G674" s="7">
        <f>IF(Tabla1[[#This Row],[Fecha]]="","",G673+Tabla1[[#This Row],[ingreso]]-Tabla1[[#This Row],[egreso]])</f>
        <v>645589.66529999953</v>
      </c>
      <c r="H674" s="7"/>
      <c r="I674" s="7"/>
      <c r="J674" s="4"/>
    </row>
    <row r="675" spans="1:10" x14ac:dyDescent="0.2">
      <c r="A675">
        <f>COUNTIF($I$2:I675,'[1]Detalle Pilotos'!$G$3)</f>
        <v>0</v>
      </c>
      <c r="B675">
        <f t="shared" si="10"/>
        <v>674</v>
      </c>
      <c r="C675" s="9">
        <v>44566</v>
      </c>
      <c r="D675" s="4" t="s">
        <v>15</v>
      </c>
      <c r="E675" s="8"/>
      <c r="F675" s="3">
        <v>46474</v>
      </c>
      <c r="G675" s="7">
        <f>IF(Tabla1[[#This Row],[Fecha]]="","",G674+Tabla1[[#This Row],[ingreso]]-Tabla1[[#This Row],[egreso]])</f>
        <v>692063.66529999953</v>
      </c>
      <c r="H675" s="7"/>
      <c r="I675" s="7" t="s">
        <v>16</v>
      </c>
      <c r="J675" s="4"/>
    </row>
    <row r="676" spans="1:10" x14ac:dyDescent="0.2">
      <c r="A676">
        <f>COUNTIF($I$2:I676,'[1]Detalle Pilotos'!$G$3)</f>
        <v>0</v>
      </c>
      <c r="B676">
        <f t="shared" si="10"/>
        <v>675</v>
      </c>
      <c r="C676" s="9">
        <v>44566</v>
      </c>
      <c r="D676" s="4" t="s">
        <v>15</v>
      </c>
      <c r="E676" s="8"/>
      <c r="F676" s="3">
        <v>23237</v>
      </c>
      <c r="G676" s="7">
        <f>IF(Tabla1[[#This Row],[Fecha]]="","",G675+Tabla1[[#This Row],[ingreso]]-Tabla1[[#This Row],[egreso]])</f>
        <v>715300.66529999953</v>
      </c>
      <c r="H676" s="7"/>
      <c r="I676" s="7" t="s">
        <v>16</v>
      </c>
      <c r="J676" s="4"/>
    </row>
    <row r="677" spans="1:10" x14ac:dyDescent="0.2">
      <c r="A677">
        <f>COUNTIF($I$2:I677,'[1]Detalle Pilotos'!$G$3)</f>
        <v>0</v>
      </c>
      <c r="B677">
        <f t="shared" si="10"/>
        <v>676</v>
      </c>
      <c r="C677" s="9">
        <v>44568</v>
      </c>
      <c r="D677" s="4" t="s">
        <v>36</v>
      </c>
      <c r="E677" s="8"/>
      <c r="F677" s="3">
        <v>180000</v>
      </c>
      <c r="G677" s="7">
        <f>IF(Tabla1[[#This Row],[Fecha]]="","",G676+Tabla1[[#This Row],[ingreso]]-Tabla1[[#This Row],[egreso]])</f>
        <v>895300.66529999953</v>
      </c>
      <c r="H677" s="7"/>
      <c r="I677" s="7" t="s">
        <v>37</v>
      </c>
      <c r="J677" s="4"/>
    </row>
    <row r="678" spans="1:10" x14ac:dyDescent="0.2">
      <c r="A678">
        <f>COUNTIF($I$2:I678,'[1]Detalle Pilotos'!$G$3)</f>
        <v>0</v>
      </c>
      <c r="B678">
        <f t="shared" si="10"/>
        <v>677</v>
      </c>
      <c r="C678" s="9">
        <v>44568</v>
      </c>
      <c r="D678" s="4" t="s">
        <v>294</v>
      </c>
      <c r="E678" s="8">
        <f>[1]Combustible!L359</f>
        <v>143040</v>
      </c>
      <c r="F678" s="3"/>
      <c r="G678" s="7">
        <f>IF(Tabla1[[#This Row],[Fecha]]="","",G677+Tabla1[[#This Row],[ingreso]]-Tabla1[[#This Row],[egreso]])</f>
        <v>752260.66529999953</v>
      </c>
      <c r="H678" s="7"/>
      <c r="I678" s="7"/>
      <c r="J678" s="4"/>
    </row>
    <row r="679" spans="1:10" x14ac:dyDescent="0.2">
      <c r="A679">
        <f>COUNTIF($I$2:I679,'[1]Detalle Pilotos'!$G$3)</f>
        <v>0</v>
      </c>
      <c r="B679">
        <f t="shared" si="10"/>
        <v>678</v>
      </c>
      <c r="C679" s="9">
        <v>44568</v>
      </c>
      <c r="D679" s="4" t="s">
        <v>294</v>
      </c>
      <c r="E679" s="8">
        <f>[1]Combustible!L360</f>
        <v>130513</v>
      </c>
      <c r="F679" s="3"/>
      <c r="G679" s="7">
        <f>IF(Tabla1[[#This Row],[Fecha]]="","",G678+Tabla1[[#This Row],[ingreso]]-Tabla1[[#This Row],[egreso]])</f>
        <v>621747.66529999953</v>
      </c>
      <c r="H679" s="7"/>
      <c r="I679" s="7"/>
      <c r="J679" s="4"/>
    </row>
    <row r="680" spans="1:10" x14ac:dyDescent="0.2">
      <c r="A680">
        <f>COUNTIF($I$2:I680,'[1]Detalle Pilotos'!$G$3)</f>
        <v>0</v>
      </c>
      <c r="B680">
        <f t="shared" si="10"/>
        <v>679</v>
      </c>
      <c r="C680" s="9">
        <v>44568</v>
      </c>
      <c r="D680" s="4" t="s">
        <v>302</v>
      </c>
      <c r="E680" s="8">
        <f>7.3*31026.67</f>
        <v>226494.69099999999</v>
      </c>
      <c r="F680" s="3"/>
      <c r="G680" s="7">
        <f>IF(Tabla1[[#This Row],[Fecha]]="","",G679+Tabla1[[#This Row],[ingreso]]-Tabla1[[#This Row],[egreso]])</f>
        <v>395252.97429999954</v>
      </c>
      <c r="H680" s="7" t="s">
        <v>237</v>
      </c>
      <c r="I680" s="7"/>
      <c r="J680" s="20"/>
    </row>
    <row r="681" spans="1:10" x14ac:dyDescent="0.2">
      <c r="A681">
        <f>COUNTIF($I$2:I681,'[1]Detalle Pilotos'!$G$3)</f>
        <v>0</v>
      </c>
      <c r="B681">
        <f t="shared" si="10"/>
        <v>680</v>
      </c>
      <c r="C681" s="9">
        <v>44568</v>
      </c>
      <c r="D681" s="4" t="s">
        <v>303</v>
      </c>
      <c r="E681" s="8">
        <v>10000</v>
      </c>
      <c r="F681" s="3"/>
      <c r="G681" s="7">
        <f>IF(Tabla1[[#This Row],[Fecha]]="","",G680+Tabla1[[#This Row],[ingreso]]-Tabla1[[#This Row],[egreso]])</f>
        <v>385252.97429999954</v>
      </c>
      <c r="H681" s="7" t="s">
        <v>237</v>
      </c>
      <c r="I681" s="7" t="s">
        <v>238</v>
      </c>
      <c r="J681" s="4"/>
    </row>
    <row r="682" spans="1:10" x14ac:dyDescent="0.2">
      <c r="A682">
        <f>COUNTIF($I$2:I682,'[1]Detalle Pilotos'!$G$3)</f>
        <v>0</v>
      </c>
      <c r="B682">
        <f t="shared" si="10"/>
        <v>681</v>
      </c>
      <c r="C682" s="9">
        <v>44571</v>
      </c>
      <c r="D682" s="4" t="s">
        <v>185</v>
      </c>
      <c r="E682" s="8">
        <v>273814</v>
      </c>
      <c r="F682" s="3"/>
      <c r="G682" s="7">
        <f>IF(Tabla1[[#This Row],[Fecha]]="","",G681+Tabla1[[#This Row],[ingreso]]-Tabla1[[#This Row],[egreso]])</f>
        <v>111438.97429999954</v>
      </c>
      <c r="H682" s="7"/>
      <c r="I682" s="7"/>
      <c r="J682" s="4"/>
    </row>
    <row r="683" spans="1:10" x14ac:dyDescent="0.2">
      <c r="A683">
        <f>COUNTIF($I$2:I683,'[1]Detalle Pilotos'!$G$3)</f>
        <v>0</v>
      </c>
      <c r="B683">
        <f t="shared" si="10"/>
        <v>682</v>
      </c>
      <c r="C683" s="9">
        <v>44571</v>
      </c>
      <c r="D683" s="4" t="s">
        <v>287</v>
      </c>
      <c r="E683" s="8"/>
      <c r="F683" s="3">
        <v>125000</v>
      </c>
      <c r="G683" s="7">
        <f>IF(Tabla1[[#This Row],[Fecha]]="","",G682+Tabla1[[#This Row],[ingreso]]-Tabla1[[#This Row],[egreso]])</f>
        <v>236438.97429999954</v>
      </c>
      <c r="H683" s="7"/>
      <c r="I683" s="7" t="s">
        <v>288</v>
      </c>
      <c r="J683" s="4"/>
    </row>
    <row r="684" spans="1:10" x14ac:dyDescent="0.2">
      <c r="A684">
        <f>COUNTIF($I$2:I684,'[1]Detalle Pilotos'!$G$3)</f>
        <v>0</v>
      </c>
      <c r="B684">
        <f t="shared" si="10"/>
        <v>683</v>
      </c>
      <c r="C684" s="9">
        <v>44571</v>
      </c>
      <c r="D684" s="4" t="s">
        <v>53</v>
      </c>
      <c r="E684" s="8"/>
      <c r="F684" s="3">
        <v>21995</v>
      </c>
      <c r="G684" s="7">
        <f>IF(Tabla1[[#This Row],[Fecha]]="","",G683+Tabla1[[#This Row],[ingreso]]-Tabla1[[#This Row],[egreso]])</f>
        <v>258433.97429999954</v>
      </c>
      <c r="H684" s="7"/>
      <c r="I684" s="7" t="s">
        <v>230</v>
      </c>
      <c r="J684" s="4"/>
    </row>
    <row r="685" spans="1:10" x14ac:dyDescent="0.2">
      <c r="A685">
        <f>COUNTIF($I$2:I685,'[1]Detalle Pilotos'!$G$3)</f>
        <v>0</v>
      </c>
      <c r="B685">
        <f t="shared" si="10"/>
        <v>684</v>
      </c>
      <c r="C685" s="9">
        <v>44572</v>
      </c>
      <c r="D685" s="4" t="s">
        <v>304</v>
      </c>
      <c r="E685" s="8">
        <v>147869</v>
      </c>
      <c r="F685" s="3"/>
      <c r="G685" s="7">
        <f>IF(Tabla1[[#This Row],[Fecha]]="","",G684+Tabla1[[#This Row],[ingreso]]-Tabla1[[#This Row],[egreso]])</f>
        <v>110564.97429999954</v>
      </c>
      <c r="H685" s="7"/>
      <c r="I685" s="7"/>
      <c r="J685" s="4"/>
    </row>
    <row r="686" spans="1:10" x14ac:dyDescent="0.2">
      <c r="A686">
        <f>COUNTIF($I$2:I686,'[1]Detalle Pilotos'!$G$3)</f>
        <v>0</v>
      </c>
      <c r="B686">
        <f t="shared" si="10"/>
        <v>685</v>
      </c>
      <c r="C686" s="9">
        <v>44578</v>
      </c>
      <c r="D686" s="4" t="s">
        <v>235</v>
      </c>
      <c r="E686" s="8"/>
      <c r="F686" s="3">
        <v>3000000</v>
      </c>
      <c r="G686" s="7">
        <f>IF(Tabla1[[#This Row],[Fecha]]="","",G685+Tabla1[[#This Row],[ingreso]]-Tabla1[[#This Row],[egreso]])</f>
        <v>3110564.9742999994</v>
      </c>
      <c r="H686" s="7"/>
      <c r="I686" s="7" t="s">
        <v>16</v>
      </c>
      <c r="J686" s="4"/>
    </row>
    <row r="687" spans="1:10" x14ac:dyDescent="0.2">
      <c r="A687">
        <f>COUNTIF($I$2:I687,'[1]Detalle Pilotos'!$G$3)</f>
        <v>0</v>
      </c>
      <c r="B687">
        <f t="shared" si="10"/>
        <v>686</v>
      </c>
      <c r="C687" s="9">
        <v>44578</v>
      </c>
      <c r="D687" s="4" t="s">
        <v>305</v>
      </c>
      <c r="E687" s="8">
        <v>1044335</v>
      </c>
      <c r="F687" s="3"/>
      <c r="G687" s="7">
        <f>IF(Tabla1[[#This Row],[Fecha]]="","",G686+Tabla1[[#This Row],[ingreso]]-Tabla1[[#This Row],[egreso]])</f>
        <v>2066229.9742999994</v>
      </c>
      <c r="H687" s="7" t="s">
        <v>306</v>
      </c>
      <c r="I687" s="7"/>
      <c r="J687" s="4"/>
    </row>
    <row r="688" spans="1:10" x14ac:dyDescent="0.2">
      <c r="A688">
        <f>COUNTIF($I$2:I688,'[1]Detalle Pilotos'!$G$3)</f>
        <v>0</v>
      </c>
      <c r="B688">
        <f t="shared" si="10"/>
        <v>687</v>
      </c>
      <c r="C688" s="9">
        <v>44578</v>
      </c>
      <c r="D688" s="4" t="s">
        <v>307</v>
      </c>
      <c r="E688" s="8">
        <v>1500000</v>
      </c>
      <c r="F688" s="3"/>
      <c r="G688" s="7">
        <f>IF(Tabla1[[#This Row],[Fecha]]="","",G687+Tabla1[[#This Row],[ingreso]]-Tabla1[[#This Row],[egreso]])</f>
        <v>566229.97429999942</v>
      </c>
      <c r="H688" s="7"/>
      <c r="I688" s="7"/>
      <c r="J688" s="4"/>
    </row>
    <row r="689" spans="1:11" x14ac:dyDescent="0.2">
      <c r="A689">
        <f>COUNTIF($I$2:I689,'[1]Detalle Pilotos'!$G$3)</f>
        <v>0</v>
      </c>
      <c r="B689">
        <f t="shared" si="10"/>
        <v>688</v>
      </c>
      <c r="C689" s="9">
        <v>44580</v>
      </c>
      <c r="D689" s="4" t="s">
        <v>308</v>
      </c>
      <c r="E689" s="8">
        <v>98600</v>
      </c>
      <c r="F689" s="3"/>
      <c r="G689" s="7">
        <f>IF(Tabla1[[#This Row],[Fecha]]="","",G688+Tabla1[[#This Row],[ingreso]]-Tabla1[[#This Row],[egreso]])</f>
        <v>467629.97429999942</v>
      </c>
      <c r="H689" s="7" t="s">
        <v>237</v>
      </c>
      <c r="I689" s="7"/>
      <c r="J689" s="4"/>
    </row>
    <row r="690" spans="1:11" x14ac:dyDescent="0.2">
      <c r="A690">
        <f>COUNTIF($I$2:I690,'[1]Detalle Pilotos'!$G$3)</f>
        <v>0</v>
      </c>
      <c r="B690">
        <f t="shared" si="10"/>
        <v>689</v>
      </c>
      <c r="C690" s="9">
        <v>44581</v>
      </c>
      <c r="D690" s="4" t="s">
        <v>47</v>
      </c>
      <c r="E690" s="8"/>
      <c r="F690" s="3">
        <v>340350</v>
      </c>
      <c r="G690" s="7">
        <f>IF(Tabla1[[#This Row],[Fecha]]="","",G689+Tabla1[[#This Row],[ingreso]]-Tabla1[[#This Row],[egreso]])</f>
        <v>807979.97429999942</v>
      </c>
      <c r="H690" s="7"/>
      <c r="I690" s="7" t="s">
        <v>48</v>
      </c>
      <c r="J690" s="4"/>
    </row>
    <row r="691" spans="1:11" x14ac:dyDescent="0.2">
      <c r="A691">
        <f>COUNTIF($I$2:I691,'[1]Detalle Pilotos'!$G$3)</f>
        <v>0</v>
      </c>
      <c r="B691">
        <f t="shared" si="10"/>
        <v>690</v>
      </c>
      <c r="C691" s="9">
        <v>44581</v>
      </c>
      <c r="D691" s="4" t="s">
        <v>309</v>
      </c>
      <c r="E691" s="8">
        <v>47000</v>
      </c>
      <c r="F691" s="3"/>
      <c r="G691" s="7">
        <f>IF(Tabla1[[#This Row],[Fecha]]="","",G690+Tabla1[[#This Row],[ingreso]]-Tabla1[[#This Row],[egreso]])</f>
        <v>760979.97429999942</v>
      </c>
      <c r="H691" s="7"/>
      <c r="I691" s="7"/>
      <c r="J691" s="4"/>
    </row>
    <row r="692" spans="1:11" x14ac:dyDescent="0.2">
      <c r="A692">
        <f>COUNTIF($I$2:I692,'[1]Detalle Pilotos'!$G$3)</f>
        <v>0</v>
      </c>
      <c r="B692">
        <f t="shared" si="10"/>
        <v>691</v>
      </c>
      <c r="C692" s="9">
        <v>44581</v>
      </c>
      <c r="D692" s="4" t="s">
        <v>310</v>
      </c>
      <c r="E692" s="8">
        <v>10000</v>
      </c>
      <c r="F692" s="3"/>
      <c r="G692" s="7">
        <f>IF(Tabla1[[#This Row],[Fecha]]="","",G691+Tabla1[[#This Row],[ingreso]]-Tabla1[[#This Row],[egreso]])</f>
        <v>750979.97429999942</v>
      </c>
      <c r="H692" s="7"/>
      <c r="I692" s="7"/>
      <c r="J692" s="4"/>
    </row>
    <row r="693" spans="1:11" x14ac:dyDescent="0.2">
      <c r="A693">
        <f>COUNTIF($I$2:I693,'[1]Detalle Pilotos'!$G$3)</f>
        <v>0</v>
      </c>
      <c r="B693">
        <f t="shared" si="10"/>
        <v>692</v>
      </c>
      <c r="C693" s="9">
        <v>44581</v>
      </c>
      <c r="D693" s="4" t="s">
        <v>311</v>
      </c>
      <c r="E693" s="8">
        <v>35000</v>
      </c>
      <c r="F693" s="3"/>
      <c r="G693" s="7">
        <f>IF(Tabla1[[#This Row],[Fecha]]="","",G692+Tabla1[[#This Row],[ingreso]]-Tabla1[[#This Row],[egreso]])</f>
        <v>715979.97429999942</v>
      </c>
      <c r="H693" s="7"/>
      <c r="I693" s="7"/>
      <c r="J693" s="4"/>
    </row>
    <row r="694" spans="1:11" x14ac:dyDescent="0.2">
      <c r="A694">
        <f>COUNTIF($I$2:I694,'[1]Detalle Pilotos'!$G$3)</f>
        <v>0</v>
      </c>
      <c r="B694">
        <f t="shared" si="10"/>
        <v>693</v>
      </c>
      <c r="C694" s="9">
        <v>44581</v>
      </c>
      <c r="D694" s="4" t="s">
        <v>312</v>
      </c>
      <c r="E694" s="8">
        <v>110515</v>
      </c>
      <c r="F694" s="3"/>
      <c r="G694" s="7">
        <f>IF(Tabla1[[#This Row],[Fecha]]="","",G693+Tabla1[[#This Row],[ingreso]]-Tabla1[[#This Row],[egreso]])</f>
        <v>605464.97429999942</v>
      </c>
      <c r="H694" s="7"/>
      <c r="I694" s="7"/>
      <c r="J694" s="4"/>
    </row>
    <row r="695" spans="1:11" x14ac:dyDescent="0.2">
      <c r="A695">
        <f>COUNTIF($I$2:I695,'[1]Detalle Pilotos'!$G$3)</f>
        <v>0</v>
      </c>
      <c r="B695">
        <f t="shared" si="10"/>
        <v>694</v>
      </c>
      <c r="C695" s="9">
        <v>44575</v>
      </c>
      <c r="D695" s="4" t="s">
        <v>313</v>
      </c>
      <c r="E695" s="8">
        <v>250000</v>
      </c>
      <c r="F695" s="3"/>
      <c r="G695" s="7">
        <f>IF(Tabla1[[#This Row],[Fecha]]="","",G694+Tabla1[[#This Row],[ingreso]]-Tabla1[[#This Row],[egreso]])</f>
        <v>355464.97429999942</v>
      </c>
      <c r="H695" s="7" t="s">
        <v>306</v>
      </c>
      <c r="I695" s="7"/>
      <c r="J695" s="4"/>
    </row>
    <row r="696" spans="1:11" x14ac:dyDescent="0.2">
      <c r="A696">
        <f>COUNTIF($I$2:I696,'[1]Detalle Pilotos'!$G$3)</f>
        <v>0</v>
      </c>
      <c r="B696">
        <f t="shared" si="10"/>
        <v>695</v>
      </c>
      <c r="C696" s="9">
        <v>44587</v>
      </c>
      <c r="D696" s="4" t="s">
        <v>15</v>
      </c>
      <c r="E696" s="8"/>
      <c r="F696" s="3">
        <v>4000000</v>
      </c>
      <c r="G696" s="7">
        <f>IF(Tabla1[[#This Row],[Fecha]]="","",G695+Tabla1[[#This Row],[ingreso]]-Tabla1[[#This Row],[egreso]])</f>
        <v>4355464.974299999</v>
      </c>
      <c r="H696" s="7"/>
      <c r="I696" s="7" t="s">
        <v>16</v>
      </c>
      <c r="J696" s="4"/>
    </row>
    <row r="697" spans="1:11" x14ac:dyDescent="0.2">
      <c r="A697">
        <f>COUNTIF($I$2:I697,'[1]Detalle Pilotos'!$G$3)</f>
        <v>0</v>
      </c>
      <c r="B697">
        <f t="shared" si="10"/>
        <v>696</v>
      </c>
      <c r="C697" s="9">
        <v>44587</v>
      </c>
      <c r="D697" s="4" t="s">
        <v>314</v>
      </c>
      <c r="E697" s="8">
        <f>2798916-1500000</f>
        <v>1298916</v>
      </c>
      <c r="F697" s="3"/>
      <c r="G697" s="7">
        <f>IF(Tabla1[[#This Row],[Fecha]]="","",G696+Tabla1[[#This Row],[ingreso]]-Tabla1[[#This Row],[egreso]])</f>
        <v>3056548.974299999</v>
      </c>
      <c r="H697" s="7"/>
      <c r="I697" s="7"/>
      <c r="J697" s="4"/>
    </row>
    <row r="698" spans="1:11" x14ac:dyDescent="0.2">
      <c r="A698">
        <f>COUNTIF($I$2:I698,'[1]Detalle Pilotos'!$G$3)</f>
        <v>0</v>
      </c>
      <c r="B698">
        <f t="shared" si="10"/>
        <v>697</v>
      </c>
      <c r="C698" s="9">
        <v>44587</v>
      </c>
      <c r="D698" s="4" t="s">
        <v>315</v>
      </c>
      <c r="E698" s="8">
        <v>2000000</v>
      </c>
      <c r="F698" s="3"/>
      <c r="G698" s="7">
        <f>IF(Tabla1[[#This Row],[Fecha]]="","",G697+Tabla1[[#This Row],[ingreso]]-Tabla1[[#This Row],[egreso]])</f>
        <v>1056548.974299999</v>
      </c>
      <c r="H698" s="7" t="s">
        <v>306</v>
      </c>
      <c r="I698" s="7"/>
      <c r="J698" s="4"/>
    </row>
    <row r="699" spans="1:11" x14ac:dyDescent="0.2">
      <c r="A699">
        <f>COUNTIF($I$2:I699,'[1]Detalle Pilotos'!$G$3)</f>
        <v>0</v>
      </c>
      <c r="B699">
        <f t="shared" si="10"/>
        <v>698</v>
      </c>
      <c r="C699" s="9">
        <v>44588</v>
      </c>
      <c r="D699" s="4" t="s">
        <v>316</v>
      </c>
      <c r="E699" s="8">
        <v>3528632</v>
      </c>
      <c r="F699" s="3"/>
      <c r="G699" s="7">
        <f>IF(Tabla1[[#This Row],[Fecha]]="","",G698+Tabla1[[#This Row],[ingreso]]-Tabla1[[#This Row],[egreso]])</f>
        <v>-2472083.025700001</v>
      </c>
      <c r="H699" s="7" t="s">
        <v>306</v>
      </c>
      <c r="I699" s="7"/>
      <c r="J699" s="4"/>
    </row>
    <row r="700" spans="1:11" x14ac:dyDescent="0.2">
      <c r="A700">
        <f>COUNTIF($I$2:I700,'[1]Detalle Pilotos'!$G$3)</f>
        <v>0</v>
      </c>
      <c r="B700">
        <f t="shared" si="10"/>
        <v>699</v>
      </c>
      <c r="C700" s="9">
        <v>44588</v>
      </c>
      <c r="D700" s="4" t="s">
        <v>237</v>
      </c>
      <c r="E700" s="8"/>
      <c r="F700" s="3">
        <v>2613600</v>
      </c>
      <c r="G700" s="7">
        <f>IF(Tabla1[[#This Row],[Fecha]]="","",G699+Tabla1[[#This Row],[ingreso]]-Tabla1[[#This Row],[egreso]])</f>
        <v>141516.97429999895</v>
      </c>
      <c r="H700" s="7">
        <v>3300</v>
      </c>
      <c r="I700" s="7"/>
      <c r="J700" s="4" t="s">
        <v>317</v>
      </c>
      <c r="K700" s="21">
        <f>Tabla1[[#This Row],[ingreso]]/Tabla1[[#This Row],[Tipo]]</f>
        <v>792</v>
      </c>
    </row>
    <row r="701" spans="1:11" x14ac:dyDescent="0.2">
      <c r="A701">
        <f>COUNTIF($I$2:I701,'[1]Detalle Pilotos'!$G$3)</f>
        <v>0</v>
      </c>
      <c r="B701">
        <f t="shared" si="10"/>
        <v>700</v>
      </c>
      <c r="C701" s="9">
        <v>44588</v>
      </c>
      <c r="D701" s="4" t="s">
        <v>318</v>
      </c>
      <c r="E701" s="8">
        <v>86870</v>
      </c>
      <c r="F701" s="3"/>
      <c r="G701" s="7">
        <f>IF(Tabla1[[#This Row],[Fecha]]="","",G700+Tabla1[[#This Row],[ingreso]]-Tabla1[[#This Row],[egreso]])</f>
        <v>54646.974299998954</v>
      </c>
      <c r="H701" s="7"/>
      <c r="I701" s="7"/>
      <c r="J701" s="4"/>
      <c r="K701" s="21"/>
    </row>
    <row r="702" spans="1:11" x14ac:dyDescent="0.2">
      <c r="A702">
        <f>COUNTIF($I$2:I702,'[1]Detalle Pilotos'!$G$3)</f>
        <v>0</v>
      </c>
      <c r="B702">
        <f t="shared" si="10"/>
        <v>701</v>
      </c>
      <c r="C702" s="9">
        <v>44572</v>
      </c>
      <c r="D702" s="4" t="s">
        <v>15</v>
      </c>
      <c r="E702" s="8"/>
      <c r="F702" s="3">
        <v>3973379</v>
      </c>
      <c r="G702" s="7">
        <f>IF(Tabla1[[#This Row],[Fecha]]="","",G701+Tabla1[[#This Row],[ingreso]]-Tabla1[[#This Row],[egreso]])</f>
        <v>4028025.974299999</v>
      </c>
      <c r="H702" s="7"/>
      <c r="I702" s="7" t="s">
        <v>16</v>
      </c>
      <c r="J702" s="4"/>
      <c r="K702" s="21"/>
    </row>
    <row r="703" spans="1:11" x14ac:dyDescent="0.2">
      <c r="A703">
        <f>COUNTIF($I$2:I703,'[1]Detalle Pilotos'!$G$3)</f>
        <v>0</v>
      </c>
      <c r="B703">
        <f t="shared" si="10"/>
        <v>702</v>
      </c>
      <c r="C703" s="9">
        <v>44572</v>
      </c>
      <c r="D703" s="4" t="s">
        <v>319</v>
      </c>
      <c r="E703" s="8">
        <v>3973379</v>
      </c>
      <c r="F703" s="3"/>
      <c r="G703" s="7">
        <f>IF(Tabla1[[#This Row],[Fecha]]="","",G702+Tabla1[[#This Row],[ingreso]]-Tabla1[[#This Row],[egreso]])</f>
        <v>54646.974299998954</v>
      </c>
      <c r="H703" s="7"/>
      <c r="I703" s="7"/>
      <c r="J703" s="4"/>
      <c r="K703" s="21"/>
    </row>
    <row r="704" spans="1:11" x14ac:dyDescent="0.2">
      <c r="A704">
        <f>COUNTIF($I$2:I704,'[1]Detalle Pilotos'!$G$3)</f>
        <v>0</v>
      </c>
      <c r="B704">
        <f t="shared" si="10"/>
        <v>703</v>
      </c>
      <c r="C704" s="9">
        <v>44589</v>
      </c>
      <c r="D704" s="4" t="s">
        <v>320</v>
      </c>
      <c r="E704" s="8">
        <v>31680</v>
      </c>
      <c r="F704" s="3"/>
      <c r="G704" s="7">
        <f>IF(Tabla1[[#This Row],[Fecha]]="","",G703+Tabla1[[#This Row],[ingreso]]-Tabla1[[#This Row],[egreso]])</f>
        <v>22966.974299998954</v>
      </c>
      <c r="H704" s="7" t="s">
        <v>237</v>
      </c>
      <c r="I704" s="7" t="s">
        <v>238</v>
      </c>
      <c r="J704" s="4"/>
      <c r="K704" s="21"/>
    </row>
    <row r="705" spans="1:12" x14ac:dyDescent="0.2">
      <c r="A705">
        <f>COUNTIF($I$2:I705,'[1]Detalle Pilotos'!$G$3)</f>
        <v>0</v>
      </c>
      <c r="B705">
        <f t="shared" si="10"/>
        <v>704</v>
      </c>
      <c r="C705" s="9">
        <v>44590</v>
      </c>
      <c r="D705" s="4" t="s">
        <v>321</v>
      </c>
      <c r="E705" s="8">
        <f>9.8*29000</f>
        <v>284200</v>
      </c>
      <c r="F705" s="3"/>
      <c r="G705" s="7">
        <f>IF(Tabla1[[#This Row],[Fecha]]="","",G704+Tabla1[[#This Row],[ingreso]]-Tabla1[[#This Row],[egreso]])</f>
        <v>-261233.02570000105</v>
      </c>
      <c r="H705" s="7" t="s">
        <v>237</v>
      </c>
      <c r="I705" s="7"/>
      <c r="J705" s="4"/>
      <c r="K705" s="21"/>
    </row>
    <row r="706" spans="1:12" x14ac:dyDescent="0.2">
      <c r="A706">
        <f>COUNTIF($I$2:I706,'[1]Detalle Pilotos'!$G$3)</f>
        <v>0</v>
      </c>
      <c r="B706">
        <f t="shared" si="10"/>
        <v>705</v>
      </c>
      <c r="C706" s="9">
        <v>44590</v>
      </c>
      <c r="D706" s="4" t="s">
        <v>269</v>
      </c>
      <c r="E706" s="8">
        <v>200000</v>
      </c>
      <c r="F706" s="3"/>
      <c r="G706" s="7">
        <f>IF(Tabla1[[#This Row],[Fecha]]="","",G705+Tabla1[[#This Row],[ingreso]]-Tabla1[[#This Row],[egreso]])</f>
        <v>-461233.02570000105</v>
      </c>
      <c r="H706" s="7"/>
      <c r="I706" s="7"/>
      <c r="J706" s="4"/>
      <c r="K706" s="21"/>
    </row>
    <row r="707" spans="1:12" x14ac:dyDescent="0.2">
      <c r="A707">
        <f>COUNTIF($I$2:I707,'[1]Detalle Pilotos'!$G$3)</f>
        <v>0</v>
      </c>
      <c r="B707">
        <f t="shared" si="10"/>
        <v>706</v>
      </c>
      <c r="C707" s="9">
        <v>44590</v>
      </c>
      <c r="D707" s="4" t="s">
        <v>322</v>
      </c>
      <c r="E707" s="8"/>
      <c r="F707" s="3">
        <v>608320</v>
      </c>
      <c r="G707" s="7">
        <f>IF(Tabla1[[#This Row],[Fecha]]="","",G706+Tabla1[[#This Row],[ingreso]]-Tabla1[[#This Row],[egreso]])</f>
        <v>147086.97429999895</v>
      </c>
      <c r="H707" s="7"/>
      <c r="I707" s="7" t="s">
        <v>323</v>
      </c>
      <c r="J707" s="4"/>
      <c r="K707" s="21"/>
    </row>
    <row r="708" spans="1:12" x14ac:dyDescent="0.2">
      <c r="A708">
        <f>COUNTIF($I$2:I708,'[1]Detalle Pilotos'!$G$3)</f>
        <v>0</v>
      </c>
      <c r="B708">
        <f t="shared" ref="B708:B771" si="11">IF(C708="","",1+B707)</f>
        <v>707</v>
      </c>
      <c r="C708" s="9">
        <v>44590</v>
      </c>
      <c r="D708" s="4" t="s">
        <v>324</v>
      </c>
      <c r="E708" s="8">
        <v>150000</v>
      </c>
      <c r="F708" s="3"/>
      <c r="G708" s="7">
        <f>IF(Tabla1[[#This Row],[Fecha]]="","",G707+Tabla1[[#This Row],[ingreso]]-Tabla1[[#This Row],[egreso]])</f>
        <v>-2913.0257000010461</v>
      </c>
      <c r="H708" s="7"/>
      <c r="I708" s="7"/>
      <c r="J708" s="4"/>
      <c r="K708" s="21"/>
      <c r="L708">
        <v>86820</v>
      </c>
    </row>
    <row r="709" spans="1:12" x14ac:dyDescent="0.2">
      <c r="A709">
        <f>COUNTIF($I$2:I709,'[1]Detalle Pilotos'!$G$3)</f>
        <v>0</v>
      </c>
      <c r="B709">
        <f t="shared" si="11"/>
        <v>708</v>
      </c>
      <c r="C709" s="9">
        <v>44590</v>
      </c>
      <c r="D709" s="4" t="s">
        <v>235</v>
      </c>
      <c r="E709" s="8"/>
      <c r="F709" s="3">
        <v>150000</v>
      </c>
      <c r="G709" s="7">
        <f>IF(Tabla1[[#This Row],[Fecha]]="","",G708+Tabla1[[#This Row],[ingreso]]-Tabla1[[#This Row],[egreso]])</f>
        <v>147086.97429999895</v>
      </c>
      <c r="H709" s="7"/>
      <c r="I709" s="7" t="s">
        <v>16</v>
      </c>
      <c r="J709" s="4"/>
      <c r="K709" s="21"/>
      <c r="L709">
        <v>77608</v>
      </c>
    </row>
    <row r="710" spans="1:12" x14ac:dyDescent="0.2">
      <c r="A710">
        <f>COUNTIF($I$2:I710,'[1]Detalle Pilotos'!$G$3)</f>
        <v>0</v>
      </c>
      <c r="B710">
        <f t="shared" si="11"/>
        <v>709</v>
      </c>
      <c r="C710" s="9">
        <v>44576</v>
      </c>
      <c r="D710" s="4" t="s">
        <v>325</v>
      </c>
      <c r="E710" s="8">
        <v>132468</v>
      </c>
      <c r="F710" s="3"/>
      <c r="G710" s="7">
        <f>IF(Tabla1[[#This Row],[Fecha]]="","",G709+Tabla1[[#This Row],[ingreso]]-Tabla1[[#This Row],[egreso]])</f>
        <v>14618.974299998954</v>
      </c>
      <c r="H710" s="7"/>
      <c r="I710" s="7"/>
      <c r="J710" s="4"/>
      <c r="K710" s="21"/>
      <c r="L710">
        <f>L708-L709</f>
        <v>9212</v>
      </c>
    </row>
    <row r="711" spans="1:12" x14ac:dyDescent="0.2">
      <c r="A711">
        <f>COUNTIF($I$2:I711,'[1]Detalle Pilotos'!$G$3)</f>
        <v>0</v>
      </c>
      <c r="B711">
        <f t="shared" si="11"/>
        <v>710</v>
      </c>
      <c r="C711" s="9">
        <v>44581</v>
      </c>
      <c r="D711" s="4" t="s">
        <v>283</v>
      </c>
      <c r="E711" s="8">
        <f>[1]Combustible!C365</f>
        <v>128140</v>
      </c>
      <c r="F711" s="3"/>
      <c r="G711" s="7">
        <f>IF(Tabla1[[#This Row],[Fecha]]="","",G710+Tabla1[[#This Row],[ingreso]]-Tabla1[[#This Row],[egreso]])</f>
        <v>-113521.02570000105</v>
      </c>
      <c r="H711" s="7"/>
      <c r="I711" s="7"/>
      <c r="J711" s="4"/>
      <c r="K711" s="21"/>
    </row>
    <row r="712" spans="1:12" x14ac:dyDescent="0.2">
      <c r="A712">
        <f>COUNTIF($I$2:I712,'[1]Detalle Pilotos'!$G$3)</f>
        <v>0</v>
      </c>
      <c r="B712">
        <f t="shared" si="11"/>
        <v>711</v>
      </c>
      <c r="C712" s="9">
        <v>44584</v>
      </c>
      <c r="D712" s="4" t="s">
        <v>326</v>
      </c>
      <c r="E712" s="8">
        <v>117000</v>
      </c>
      <c r="F712" s="3"/>
      <c r="G712" s="7">
        <f>IF(Tabla1[[#This Row],[Fecha]]="","",G711+Tabla1[[#This Row],[ingreso]]-Tabla1[[#This Row],[egreso]])</f>
        <v>-230521.02570000105</v>
      </c>
      <c r="H712" s="7"/>
      <c r="I712" s="7"/>
      <c r="J712" s="4"/>
      <c r="K712" s="21"/>
    </row>
    <row r="713" spans="1:12" x14ac:dyDescent="0.2">
      <c r="A713">
        <f>COUNTIF($I$2:I713,'[1]Detalle Pilotos'!$G$3)</f>
        <v>0</v>
      </c>
      <c r="B713">
        <f t="shared" si="11"/>
        <v>712</v>
      </c>
      <c r="C713" s="9">
        <v>44594</v>
      </c>
      <c r="D713" s="4" t="s">
        <v>327</v>
      </c>
      <c r="E713" s="8">
        <v>1300676</v>
      </c>
      <c r="F713" s="3"/>
      <c r="G713" s="7">
        <f>IF(Tabla1[[#This Row],[Fecha]]="","",G712+Tabla1[[#This Row],[ingreso]]-Tabla1[[#This Row],[egreso]])</f>
        <v>-1531197.025700001</v>
      </c>
      <c r="H713" s="7"/>
      <c r="I713" s="7"/>
      <c r="J713" s="4"/>
      <c r="K713" s="21"/>
    </row>
    <row r="714" spans="1:12" x14ac:dyDescent="0.2">
      <c r="A714">
        <f>COUNTIF($I$2:I714,'[1]Detalle Pilotos'!$G$3)</f>
        <v>0</v>
      </c>
      <c r="B714">
        <f t="shared" si="11"/>
        <v>713</v>
      </c>
      <c r="C714" s="9">
        <v>44597</v>
      </c>
      <c r="D714" s="4" t="s">
        <v>328</v>
      </c>
      <c r="E714" s="8">
        <f>8.9*29000</f>
        <v>258100</v>
      </c>
      <c r="F714" s="3"/>
      <c r="G714" s="7">
        <f>IF(Tabla1[[#This Row],[Fecha]]="","",G713+Tabla1[[#This Row],[ingreso]]-Tabla1[[#This Row],[egreso]])</f>
        <v>-1789297.025700001</v>
      </c>
      <c r="H714" s="7"/>
      <c r="I714" s="7"/>
      <c r="J714" s="4"/>
      <c r="K714" s="21"/>
    </row>
    <row r="715" spans="1:12" x14ac:dyDescent="0.2">
      <c r="A715">
        <f>COUNTIF($I$2:I715,'[1]Detalle Pilotos'!$G$3)</f>
        <v>0</v>
      </c>
      <c r="B715">
        <f t="shared" si="11"/>
        <v>714</v>
      </c>
      <c r="C715" s="9">
        <v>44594</v>
      </c>
      <c r="D715" s="4" t="s">
        <v>237</v>
      </c>
      <c r="E715" s="8"/>
      <c r="F715" s="3">
        <v>1708362</v>
      </c>
      <c r="G715" s="7">
        <f>IF(Tabla1[[#This Row],[Fecha]]="","",G714+Tabla1[[#This Row],[ingreso]]-Tabla1[[#This Row],[egreso]])</f>
        <v>-80935.025700001046</v>
      </c>
      <c r="H715" s="7">
        <v>2140</v>
      </c>
      <c r="I715" s="7" t="s">
        <v>329</v>
      </c>
      <c r="J715" s="4"/>
      <c r="K715" s="21">
        <f>Tabla1[[#This Row],[ingreso]]/Tabla1[[#This Row],[Tipo]]</f>
        <v>798.3</v>
      </c>
    </row>
    <row r="716" spans="1:12" x14ac:dyDescent="0.2">
      <c r="A716">
        <f>COUNTIF($I$2:I716,'[1]Detalle Pilotos'!$G$3)</f>
        <v>0</v>
      </c>
      <c r="B716">
        <f t="shared" si="11"/>
        <v>715</v>
      </c>
      <c r="C716" s="9">
        <v>44597</v>
      </c>
      <c r="D716" s="4" t="s">
        <v>330</v>
      </c>
      <c r="E716" s="8"/>
      <c r="F716" s="3">
        <v>80935</v>
      </c>
      <c r="G716" s="7">
        <f>IF(Tabla1[[#This Row],[Fecha]]="","",G715+Tabla1[[#This Row],[ingreso]]-Tabla1[[#This Row],[egreso]])</f>
        <v>-2.5700001046061516E-2</v>
      </c>
      <c r="H716" s="7"/>
      <c r="I716" s="7" t="s">
        <v>16</v>
      </c>
      <c r="J716" s="4"/>
      <c r="K716" s="21"/>
    </row>
    <row r="717" spans="1:12" x14ac:dyDescent="0.2">
      <c r="A717">
        <f>COUNTIF($I$2:I717,'[1]Detalle Pilotos'!$G$3)</f>
        <v>0</v>
      </c>
      <c r="B717">
        <f t="shared" si="11"/>
        <v>716</v>
      </c>
      <c r="C717" s="9">
        <v>44599</v>
      </c>
      <c r="D717" s="4" t="s">
        <v>237</v>
      </c>
      <c r="E717" s="8"/>
      <c r="F717" s="3">
        <v>3383536</v>
      </c>
      <c r="G717" s="7">
        <f>IF(Tabla1[[#This Row],[Fecha]]="","",G716+Tabla1[[#This Row],[ingreso]]-Tabla1[[#This Row],[egreso]])</f>
        <v>3383535.974299999</v>
      </c>
      <c r="H717" s="7">
        <v>4160</v>
      </c>
      <c r="I717" s="7" t="s">
        <v>329</v>
      </c>
      <c r="J717" s="4"/>
      <c r="K717" s="21">
        <f>Tabla1[[#This Row],[ingreso]]/Tabla1[[#This Row],[Tipo]]</f>
        <v>813.35</v>
      </c>
    </row>
    <row r="718" spans="1:12" x14ac:dyDescent="0.2">
      <c r="A718">
        <f>COUNTIF($I$2:I718,'[1]Detalle Pilotos'!$G$3)</f>
        <v>0</v>
      </c>
      <c r="B718">
        <f t="shared" si="11"/>
        <v>717</v>
      </c>
      <c r="C718" s="9">
        <v>44599</v>
      </c>
      <c r="D718" s="4" t="s">
        <v>331</v>
      </c>
      <c r="E718" s="8">
        <v>2604691</v>
      </c>
      <c r="F718" s="3"/>
      <c r="G718" s="7">
        <f>IF(Tabla1[[#This Row],[Fecha]]="","",G717+Tabla1[[#This Row],[ingreso]]-Tabla1[[#This Row],[egreso]])</f>
        <v>778844.97429999895</v>
      </c>
      <c r="H718" s="7"/>
      <c r="I718" s="7"/>
      <c r="J718" s="4"/>
      <c r="K718" s="21"/>
    </row>
    <row r="719" spans="1:12" x14ac:dyDescent="0.2">
      <c r="A719">
        <f>COUNTIF($I$2:I719,'[1]Detalle Pilotos'!$G$3)</f>
        <v>0</v>
      </c>
      <c r="B719">
        <f t="shared" si="11"/>
        <v>718</v>
      </c>
      <c r="C719" s="9">
        <v>44599</v>
      </c>
      <c r="D719" s="4" t="s">
        <v>332</v>
      </c>
      <c r="E719" s="8">
        <v>275791</v>
      </c>
      <c r="F719" s="3"/>
      <c r="G719" s="7">
        <f>IF(Tabla1[[#This Row],[Fecha]]="","",G718+Tabla1[[#This Row],[ingreso]]-Tabla1[[#This Row],[egreso]])</f>
        <v>503053.97429999895</v>
      </c>
      <c r="H719" s="7"/>
      <c r="I719" s="7"/>
      <c r="J719" s="4"/>
      <c r="K719" s="21"/>
    </row>
    <row r="720" spans="1:12" x14ac:dyDescent="0.2">
      <c r="A720">
        <f>COUNTIF($I$2:I720,'[1]Detalle Pilotos'!$G$3)</f>
        <v>0</v>
      </c>
      <c r="B720">
        <f t="shared" si="11"/>
        <v>719</v>
      </c>
      <c r="C720" s="9">
        <v>44599</v>
      </c>
      <c r="D720" s="4" t="s">
        <v>333</v>
      </c>
      <c r="E720" s="8">
        <v>166794</v>
      </c>
      <c r="F720" s="3"/>
      <c r="G720" s="7">
        <f>IF(Tabla1[[#This Row],[Fecha]]="","",G719+Tabla1[[#This Row],[ingreso]]-Tabla1[[#This Row],[egreso]])</f>
        <v>336259.97429999895</v>
      </c>
      <c r="H720" s="7"/>
      <c r="I720" s="7"/>
      <c r="J720" s="4"/>
      <c r="K720" s="21"/>
    </row>
    <row r="721" spans="1:11" x14ac:dyDescent="0.2">
      <c r="A721">
        <f>COUNTIF($I$2:I721,'[1]Detalle Pilotos'!$G$3)</f>
        <v>0</v>
      </c>
      <c r="B721">
        <f t="shared" si="11"/>
        <v>720</v>
      </c>
      <c r="C721" s="9">
        <v>44599</v>
      </c>
      <c r="D721" s="4" t="s">
        <v>334</v>
      </c>
      <c r="E721" s="8">
        <v>217500</v>
      </c>
      <c r="F721" s="3"/>
      <c r="G721" s="7">
        <f>IF(Tabla1[[#This Row],[Fecha]]="","",G720+Tabla1[[#This Row],[ingreso]]-Tabla1[[#This Row],[egreso]])</f>
        <v>118759.97429999895</v>
      </c>
      <c r="H721" s="7"/>
      <c r="I721" s="7"/>
      <c r="J721" s="4"/>
      <c r="K721" s="21"/>
    </row>
    <row r="722" spans="1:11" x14ac:dyDescent="0.2">
      <c r="A722">
        <f>COUNTIF($I$2:I722,'[1]Detalle Pilotos'!$G$3)</f>
        <v>0</v>
      </c>
      <c r="B722">
        <f t="shared" si="11"/>
        <v>721</v>
      </c>
      <c r="C722" s="9">
        <v>44600</v>
      </c>
      <c r="D722" s="4" t="s">
        <v>237</v>
      </c>
      <c r="E722" s="8"/>
      <c r="F722" s="3">
        <v>1778999</v>
      </c>
      <c r="G722" s="7">
        <f>IF(Tabla1[[#This Row],[Fecha]]="","",G721+Tabla1[[#This Row],[ingreso]]-Tabla1[[#This Row],[egreso]])</f>
        <v>1897758.974299999</v>
      </c>
      <c r="H722" s="7">
        <v>2201.0500000000002</v>
      </c>
      <c r="I722" s="7"/>
      <c r="J722" s="4"/>
      <c r="K722" s="21">
        <f>Tabla1[[#This Row],[ingreso]]/Tabla1[[#This Row],[Tipo]]</f>
        <v>808.25015333590784</v>
      </c>
    </row>
    <row r="723" spans="1:11" x14ac:dyDescent="0.2">
      <c r="A723">
        <f>COUNTIF($I$2:I723,'[1]Detalle Pilotos'!$G$3)</f>
        <v>0</v>
      </c>
      <c r="B723">
        <f t="shared" si="11"/>
        <v>722</v>
      </c>
      <c r="C723" s="9">
        <v>44600</v>
      </c>
      <c r="D723" s="4" t="s">
        <v>335</v>
      </c>
      <c r="E723" s="8">
        <v>89900</v>
      </c>
      <c r="F723" s="3"/>
      <c r="G723" s="7">
        <f>IF(Tabla1[[#This Row],[Fecha]]="","",G722+Tabla1[[#This Row],[ingreso]]-Tabla1[[#This Row],[egreso]])</f>
        <v>1807858.974299999</v>
      </c>
      <c r="H723" s="7"/>
      <c r="I723" s="7"/>
      <c r="J723" s="4"/>
    </row>
    <row r="724" spans="1:11" x14ac:dyDescent="0.2">
      <c r="A724">
        <f>COUNTIF($I$2:I724,'[1]Detalle Pilotos'!$G$3)</f>
        <v>0</v>
      </c>
      <c r="B724">
        <f t="shared" si="11"/>
        <v>723</v>
      </c>
      <c r="C724" s="9">
        <v>44602</v>
      </c>
      <c r="D724" s="4" t="s">
        <v>336</v>
      </c>
      <c r="E724" s="8">
        <v>1339903</v>
      </c>
      <c r="F724" s="3"/>
      <c r="G724" s="7">
        <f>IF(Tabla1[[#This Row],[Fecha]]="","",G723+Tabla1[[#This Row],[ingreso]]-Tabla1[[#This Row],[egreso]])</f>
        <v>467955.97429999895</v>
      </c>
      <c r="H724" s="7"/>
      <c r="I724" s="7"/>
      <c r="J724" s="4"/>
    </row>
    <row r="725" spans="1:11" x14ac:dyDescent="0.2">
      <c r="A725">
        <f>COUNTIF($I$2:I725,'[1]Detalle Pilotos'!$G$3)</f>
        <v>0</v>
      </c>
      <c r="B725">
        <f t="shared" si="11"/>
        <v>724</v>
      </c>
      <c r="C725" s="9">
        <v>44615</v>
      </c>
      <c r="D725" s="4" t="s">
        <v>337</v>
      </c>
      <c r="E725" s="8">
        <v>319000</v>
      </c>
      <c r="F725" s="3"/>
      <c r="G725" s="7">
        <f>IF(Tabla1[[#This Row],[Fecha]]="","",G724+Tabla1[[#This Row],[ingreso]]-Tabla1[[#This Row],[egreso]])</f>
        <v>148955.97429999895</v>
      </c>
      <c r="H725" s="7"/>
      <c r="I725" s="7"/>
      <c r="J725" s="4"/>
    </row>
    <row r="726" spans="1:11" x14ac:dyDescent="0.2">
      <c r="A726">
        <f>COUNTIF($I$2:I726,'[1]Detalle Pilotos'!$G$3)</f>
        <v>0</v>
      </c>
      <c r="B726">
        <f t="shared" si="11"/>
        <v>725</v>
      </c>
      <c r="C726" s="9">
        <v>44615</v>
      </c>
      <c r="D726" s="4" t="s">
        <v>237</v>
      </c>
      <c r="E726" s="8"/>
      <c r="F726" s="3">
        <v>3466350</v>
      </c>
      <c r="G726" s="7">
        <f>IF(Tabla1[[#This Row],[Fecha]]="","",G725+Tabla1[[#This Row],[ingreso]]-Tabla1[[#This Row],[egreso]])</f>
        <v>3615305.974299999</v>
      </c>
      <c r="H726" s="7">
        <v>4500</v>
      </c>
      <c r="I726" s="7" t="s">
        <v>329</v>
      </c>
      <c r="J726" s="4"/>
      <c r="K726">
        <f>Tabla1[[#This Row],[ingreso]]/Tabla1[[#This Row],[Tipo]]</f>
        <v>770.3</v>
      </c>
    </row>
    <row r="727" spans="1:11" x14ac:dyDescent="0.2">
      <c r="A727">
        <f>COUNTIF($I$2:I727,'[1]Detalle Pilotos'!$G$3)</f>
        <v>0</v>
      </c>
      <c r="B727">
        <f t="shared" si="11"/>
        <v>726</v>
      </c>
      <c r="C727" s="9">
        <v>44616</v>
      </c>
      <c r="D727" s="4" t="s">
        <v>219</v>
      </c>
      <c r="E727" s="8"/>
      <c r="F727" s="3">
        <v>225000</v>
      </c>
      <c r="G727" s="7">
        <f>IF(Tabla1[[#This Row],[Fecha]]="","",G726+Tabla1[[#This Row],[ingreso]]-Tabla1[[#This Row],[egreso]])</f>
        <v>3840305.974299999</v>
      </c>
      <c r="H727" s="7"/>
      <c r="I727" s="7" t="s">
        <v>220</v>
      </c>
      <c r="J727" s="4"/>
    </row>
    <row r="728" spans="1:11" x14ac:dyDescent="0.2">
      <c r="A728">
        <f>COUNTIF($I$2:I728,'[1]Detalle Pilotos'!$G$3)</f>
        <v>0</v>
      </c>
      <c r="B728">
        <f t="shared" si="11"/>
        <v>727</v>
      </c>
      <c r="C728" s="9">
        <v>44617</v>
      </c>
      <c r="D728" s="4" t="s">
        <v>338</v>
      </c>
      <c r="E728" s="8">
        <v>205900</v>
      </c>
      <c r="F728" s="3"/>
      <c r="G728" s="7">
        <f>IF(Tabla1[[#This Row],[Fecha]]="","",G727+Tabla1[[#This Row],[ingreso]]-Tabla1[[#This Row],[egreso]])</f>
        <v>3634405.974299999</v>
      </c>
      <c r="H728" s="7"/>
      <c r="I728" s="7"/>
      <c r="J728" s="4"/>
    </row>
    <row r="729" spans="1:11" x14ac:dyDescent="0.2">
      <c r="A729">
        <f>COUNTIF($I$2:I729,'[1]Detalle Pilotos'!$G$3)</f>
        <v>0</v>
      </c>
      <c r="B729">
        <f t="shared" si="11"/>
        <v>728</v>
      </c>
      <c r="C729" s="9">
        <v>44617</v>
      </c>
      <c r="D729" s="4" t="s">
        <v>53</v>
      </c>
      <c r="E729" s="8"/>
      <c r="F729" s="3">
        <v>228000</v>
      </c>
      <c r="G729" s="7">
        <f>IF(Tabla1[[#This Row],[Fecha]]="","",G728+Tabla1[[#This Row],[ingreso]]-Tabla1[[#This Row],[egreso]])</f>
        <v>3862405.974299999</v>
      </c>
      <c r="H729" s="7"/>
      <c r="I729" s="7" t="s">
        <v>54</v>
      </c>
      <c r="J729" s="4"/>
    </row>
    <row r="730" spans="1:11" x14ac:dyDescent="0.2">
      <c r="A730">
        <f>COUNTIF($I$2:I730,'[1]Detalle Pilotos'!$G$3)</f>
        <v>0</v>
      </c>
      <c r="B730">
        <f t="shared" si="11"/>
        <v>729</v>
      </c>
      <c r="C730" s="9">
        <v>44618</v>
      </c>
      <c r="D730" s="4" t="s">
        <v>117</v>
      </c>
      <c r="E730" s="8">
        <v>167635</v>
      </c>
      <c r="F730" s="3"/>
      <c r="G730" s="7">
        <f>IF(Tabla1[[#This Row],[Fecha]]="","",G729+Tabla1[[#This Row],[ingreso]]-Tabla1[[#This Row],[egreso]])</f>
        <v>3694770.974299999</v>
      </c>
      <c r="H730" s="7"/>
      <c r="I730" s="7"/>
      <c r="J730" s="4"/>
    </row>
    <row r="731" spans="1:11" x14ac:dyDescent="0.2">
      <c r="A731">
        <f>COUNTIF($I$2:I731,'[1]Detalle Pilotos'!$G$3)</f>
        <v>0</v>
      </c>
      <c r="B731">
        <f t="shared" si="11"/>
        <v>730</v>
      </c>
      <c r="C731" s="9">
        <v>44618</v>
      </c>
      <c r="D731" s="4" t="s">
        <v>339</v>
      </c>
      <c r="E731" s="8"/>
      <c r="F731" s="3">
        <v>-67133</v>
      </c>
      <c r="G731" s="7">
        <f>IF(Tabla1[[#This Row],[Fecha]]="","",G730+Tabla1[[#This Row],[ingreso]]-Tabla1[[#This Row],[egreso]])</f>
        <v>3627637.974299999</v>
      </c>
      <c r="H731" s="7"/>
      <c r="I731" s="7" t="s">
        <v>323</v>
      </c>
      <c r="J731" s="4"/>
    </row>
    <row r="732" spans="1:11" x14ac:dyDescent="0.2">
      <c r="A732">
        <f>COUNTIF($I$2:I732,'[1]Detalle Pilotos'!$G$3)</f>
        <v>0</v>
      </c>
      <c r="B732">
        <f t="shared" si="11"/>
        <v>731</v>
      </c>
      <c r="C732" s="9">
        <v>44618</v>
      </c>
      <c r="D732" s="4" t="s">
        <v>340</v>
      </c>
      <c r="E732" s="8">
        <v>191400</v>
      </c>
      <c r="F732" s="3"/>
      <c r="G732" s="7">
        <f>IF(Tabla1[[#This Row],[Fecha]]="","",G731+Tabla1[[#This Row],[ingreso]]-Tabla1[[#This Row],[egreso]])</f>
        <v>3436237.974299999</v>
      </c>
      <c r="H732" s="7"/>
      <c r="I732" s="7"/>
      <c r="J732" s="4"/>
    </row>
    <row r="733" spans="1:11" x14ac:dyDescent="0.2">
      <c r="A733">
        <f>COUNTIF($I$2:I733,'[1]Detalle Pilotos'!$G$3)</f>
        <v>0</v>
      </c>
      <c r="B733">
        <f t="shared" si="11"/>
        <v>732</v>
      </c>
      <c r="C733" s="9">
        <v>44619</v>
      </c>
      <c r="D733" s="4" t="s">
        <v>47</v>
      </c>
      <c r="E733" s="8"/>
      <c r="F733" s="3">
        <v>291370</v>
      </c>
      <c r="G733" s="7">
        <f>IF(Tabla1[[#This Row],[Fecha]]="","",G732+Tabla1[[#This Row],[ingreso]]-Tabla1[[#This Row],[egreso]])</f>
        <v>3727607.974299999</v>
      </c>
      <c r="H733" s="7"/>
      <c r="I733" s="7" t="s">
        <v>48</v>
      </c>
      <c r="J733" s="4"/>
    </row>
    <row r="734" spans="1:11" x14ac:dyDescent="0.2">
      <c r="A734">
        <f>COUNTIF($I$2:I734,'[1]Detalle Pilotos'!$G$3)</f>
        <v>0</v>
      </c>
      <c r="B734">
        <f t="shared" si="11"/>
        <v>733</v>
      </c>
      <c r="C734" s="9">
        <v>44620</v>
      </c>
      <c r="D734" s="4" t="s">
        <v>178</v>
      </c>
      <c r="E734" s="8"/>
      <c r="F734" s="3">
        <v>142195</v>
      </c>
      <c r="G734" s="7">
        <f>IF(Tabla1[[#This Row],[Fecha]]="","",G733+Tabla1[[#This Row],[ingreso]]-Tabla1[[#This Row],[egreso]])</f>
        <v>3869802.974299999</v>
      </c>
      <c r="H734" s="7"/>
      <c r="I734" s="7" t="s">
        <v>179</v>
      </c>
      <c r="J734" s="4"/>
    </row>
    <row r="735" spans="1:11" x14ac:dyDescent="0.2">
      <c r="A735">
        <f>COUNTIF($I$2:I735,'[1]Detalle Pilotos'!$G$3)</f>
        <v>0</v>
      </c>
      <c r="B735">
        <f t="shared" si="11"/>
        <v>734</v>
      </c>
      <c r="C735" s="9">
        <v>44621</v>
      </c>
      <c r="D735" s="4" t="s">
        <v>341</v>
      </c>
      <c r="E735" s="8">
        <v>100000</v>
      </c>
      <c r="F735" s="3"/>
      <c r="G735" s="7">
        <f>IF(Tabla1[[#This Row],[Fecha]]="","",G734+Tabla1[[#This Row],[ingreso]]-Tabla1[[#This Row],[egreso]])</f>
        <v>3769802.974299999</v>
      </c>
      <c r="H735" s="7"/>
      <c r="I735" s="7"/>
      <c r="J735" s="4"/>
    </row>
    <row r="736" spans="1:11" x14ac:dyDescent="0.2">
      <c r="A736">
        <f>COUNTIF($I$2:I736,'[1]Detalle Pilotos'!$G$3)</f>
        <v>0</v>
      </c>
      <c r="B736">
        <f t="shared" si="11"/>
        <v>735</v>
      </c>
      <c r="C736" s="9">
        <v>44622</v>
      </c>
      <c r="D736" s="22" t="s">
        <v>342</v>
      </c>
      <c r="E736" s="8">
        <v>330600</v>
      </c>
      <c r="F736" s="3"/>
      <c r="G736" s="7">
        <f>IF(Tabla1[[#This Row],[Fecha]]="","",G735+Tabla1[[#This Row],[ingreso]]-Tabla1[[#This Row],[egreso]])</f>
        <v>3439202.974299999</v>
      </c>
      <c r="H736" s="7"/>
      <c r="I736" s="7"/>
      <c r="J736" s="4"/>
    </row>
    <row r="737" spans="1:11" x14ac:dyDescent="0.2">
      <c r="A737">
        <f>COUNTIF($I$2:I737,'[1]Detalle Pilotos'!$G$3)</f>
        <v>0</v>
      </c>
      <c r="B737">
        <f t="shared" si="11"/>
        <v>736</v>
      </c>
      <c r="C737" s="9">
        <v>44622</v>
      </c>
      <c r="D737" s="4" t="s">
        <v>343</v>
      </c>
      <c r="E737" s="8">
        <v>33000</v>
      </c>
      <c r="F737" s="3"/>
      <c r="G737" s="7">
        <f>IF(Tabla1[[#This Row],[Fecha]]="","",G736+Tabla1[[#This Row],[ingreso]]-Tabla1[[#This Row],[egreso]])</f>
        <v>3406202.974299999</v>
      </c>
      <c r="H737" s="7"/>
      <c r="I737" s="7"/>
      <c r="J737" s="4"/>
    </row>
    <row r="738" spans="1:11" x14ac:dyDescent="0.2">
      <c r="A738">
        <f>COUNTIF($I$2:I738,'[1]Detalle Pilotos'!$G$3)</f>
        <v>0</v>
      </c>
      <c r="B738">
        <f t="shared" si="11"/>
        <v>737</v>
      </c>
      <c r="C738" s="9">
        <v>44622</v>
      </c>
      <c r="D738" s="4" t="s">
        <v>344</v>
      </c>
      <c r="E738" s="8">
        <v>87818</v>
      </c>
      <c r="F738" s="3"/>
      <c r="G738" s="7">
        <f>IF(Tabla1[[#This Row],[Fecha]]="","",G737+Tabla1[[#This Row],[ingreso]]-Tabla1[[#This Row],[egreso]])</f>
        <v>3318384.974299999</v>
      </c>
      <c r="H738" s="7"/>
      <c r="I738" s="7"/>
      <c r="J738" s="4"/>
    </row>
    <row r="739" spans="1:11" x14ac:dyDescent="0.2">
      <c r="A739">
        <f>COUNTIF($I$2:I739,'[1]Detalle Pilotos'!$G$3)</f>
        <v>0</v>
      </c>
      <c r="B739">
        <f t="shared" si="11"/>
        <v>738</v>
      </c>
      <c r="C739" s="9">
        <v>44622</v>
      </c>
      <c r="D739" s="4" t="s">
        <v>258</v>
      </c>
      <c r="E739" s="8"/>
      <c r="F739" s="3">
        <v>130000</v>
      </c>
      <c r="G739" s="7">
        <f>IF(Tabla1[[#This Row],[Fecha]]="","",G738+Tabla1[[#This Row],[ingreso]]-Tabla1[[#This Row],[egreso]])</f>
        <v>3448384.974299999</v>
      </c>
      <c r="H739" s="7"/>
      <c r="I739" s="7" t="s">
        <v>259</v>
      </c>
      <c r="J739" s="4"/>
    </row>
    <row r="740" spans="1:11" x14ac:dyDescent="0.2">
      <c r="A740">
        <f>COUNTIF($I$2:I740,'[1]Detalle Pilotos'!$G$3)</f>
        <v>0</v>
      </c>
      <c r="B740">
        <f t="shared" si="11"/>
        <v>739</v>
      </c>
      <c r="C740" s="9">
        <v>44623</v>
      </c>
      <c r="D740" s="4" t="s">
        <v>345</v>
      </c>
      <c r="E740" s="8">
        <v>75400</v>
      </c>
      <c r="F740" s="3"/>
      <c r="G740" s="7">
        <f>IF(Tabla1[[#This Row],[Fecha]]="","",G739+Tabla1[[#This Row],[ingreso]]-Tabla1[[#This Row],[egreso]])</f>
        <v>3372984.974299999</v>
      </c>
      <c r="H740" s="7"/>
      <c r="I740" s="7"/>
      <c r="J740" s="4"/>
    </row>
    <row r="741" spans="1:11" x14ac:dyDescent="0.2">
      <c r="A741">
        <f>COUNTIF($I$2:I741,'[1]Detalle Pilotos'!$G$3)</f>
        <v>0</v>
      </c>
      <c r="B741">
        <f t="shared" si="11"/>
        <v>740</v>
      </c>
      <c r="C741" s="9">
        <v>44623</v>
      </c>
      <c r="D741" s="4" t="s">
        <v>237</v>
      </c>
      <c r="E741" s="8"/>
      <c r="F741" s="3">
        <v>6602800</v>
      </c>
      <c r="G741" s="7">
        <f>IF(Tabla1[[#This Row],[Fecha]]="","",G740+Tabla1[[#This Row],[ingreso]]-Tabla1[[#This Row],[egreso]])</f>
        <v>9975784.974299999</v>
      </c>
      <c r="H741" s="7">
        <v>8500</v>
      </c>
      <c r="I741" s="7" t="s">
        <v>329</v>
      </c>
      <c r="J741" s="4"/>
      <c r="K741" s="23">
        <f>Tabla1[[#This Row],[ingreso]]/Tabla1[[#This Row],[Tipo]]</f>
        <v>776.8</v>
      </c>
    </row>
    <row r="742" spans="1:11" x14ac:dyDescent="0.2">
      <c r="A742">
        <f>COUNTIF($I$2:I742,'[1]Detalle Pilotos'!$G$3)</f>
        <v>0</v>
      </c>
      <c r="B742">
        <f t="shared" si="11"/>
        <v>741</v>
      </c>
      <c r="C742" s="9">
        <v>44623</v>
      </c>
      <c r="D742" s="4" t="s">
        <v>346</v>
      </c>
      <c r="E742" s="8">
        <v>4731672</v>
      </c>
      <c r="F742" s="3"/>
      <c r="G742" s="7">
        <f>IF(Tabla1[[#This Row],[Fecha]]="","",G741+Tabla1[[#This Row],[ingreso]]-Tabla1[[#This Row],[egreso]])</f>
        <v>5244112.974299999</v>
      </c>
      <c r="H742" s="7"/>
      <c r="I742" s="7"/>
      <c r="J742" s="4"/>
      <c r="K742" s="23"/>
    </row>
    <row r="743" spans="1:11" x14ac:dyDescent="0.2">
      <c r="A743">
        <f>COUNTIF($I$2:I743,'[1]Detalle Pilotos'!$G$3)</f>
        <v>0</v>
      </c>
      <c r="B743">
        <f t="shared" si="11"/>
        <v>742</v>
      </c>
      <c r="C743" s="9">
        <v>44624</v>
      </c>
      <c r="D743" s="4" t="s">
        <v>347</v>
      </c>
      <c r="E743" s="8">
        <f>SUM('[1]Vuelos Aerotrust-Ceres'!L10:L13)-E742</f>
        <v>4467488.5299999993</v>
      </c>
      <c r="F743" s="3"/>
      <c r="G743" s="7">
        <f>IF(Tabla1[[#This Row],[Fecha]]="","",G742+Tabla1[[#This Row],[ingreso]]-Tabla1[[#This Row],[egreso]])</f>
        <v>776624.44429999962</v>
      </c>
      <c r="H743" s="7"/>
      <c r="I743" s="7"/>
      <c r="J743" s="4"/>
      <c r="K743" s="23"/>
    </row>
    <row r="744" spans="1:11" x14ac:dyDescent="0.2">
      <c r="A744">
        <f>COUNTIF($I$2:I744,'[1]Detalle Pilotos'!$G$3)</f>
        <v>0</v>
      </c>
      <c r="B744">
        <f t="shared" si="11"/>
        <v>743</v>
      </c>
      <c r="C744" s="9">
        <v>44626</v>
      </c>
      <c r="D744" s="4" t="s">
        <v>348</v>
      </c>
      <c r="E744" s="8">
        <v>278888</v>
      </c>
      <c r="F744" s="3"/>
      <c r="G744" s="7">
        <f>IF(Tabla1[[#This Row],[Fecha]]="","",G743+Tabla1[[#This Row],[ingreso]]-Tabla1[[#This Row],[egreso]])</f>
        <v>497736.44429999962</v>
      </c>
      <c r="H744" s="7"/>
      <c r="I744" s="7"/>
      <c r="J744" s="4"/>
      <c r="K744" s="23"/>
    </row>
    <row r="745" spans="1:11" x14ac:dyDescent="0.2">
      <c r="A745">
        <f>COUNTIF($I$2:I745,'[1]Detalle Pilotos'!$G$3)</f>
        <v>0</v>
      </c>
      <c r="B745">
        <f t="shared" si="11"/>
        <v>744</v>
      </c>
      <c r="C745" s="9">
        <v>44628</v>
      </c>
      <c r="D745" s="4" t="s">
        <v>237</v>
      </c>
      <c r="E745" s="8"/>
      <c r="F745" s="3">
        <v>5289900</v>
      </c>
      <c r="G745" s="7">
        <f>IF(Tabla1[[#This Row],[Fecha]]="","",G744+Tabla1[[#This Row],[ingreso]]-Tabla1[[#This Row],[egreso]])</f>
        <v>5787636.4442999996</v>
      </c>
      <c r="H745" s="7">
        <v>6600</v>
      </c>
      <c r="I745" s="7" t="s">
        <v>329</v>
      </c>
      <c r="J745" s="4"/>
      <c r="K745" s="23">
        <f>Tabla1[[#This Row],[ingreso]]/Tabla1[[#This Row],[Tipo]]</f>
        <v>801.5</v>
      </c>
    </row>
    <row r="746" spans="1:11" x14ac:dyDescent="0.2">
      <c r="A746">
        <f>COUNTIF($I$2:I746,'[1]Detalle Pilotos'!$G$3)</f>
        <v>0</v>
      </c>
      <c r="B746">
        <f t="shared" si="11"/>
        <v>745</v>
      </c>
      <c r="C746" s="9">
        <v>44628</v>
      </c>
      <c r="D746" s="4" t="s">
        <v>349</v>
      </c>
      <c r="E746" s="8">
        <v>5000000</v>
      </c>
      <c r="F746" s="3"/>
      <c r="G746" s="7">
        <f>IF(Tabla1[[#This Row],[Fecha]]="","",G745+Tabla1[[#This Row],[ingreso]]-Tabla1[[#This Row],[egreso]])</f>
        <v>787636.44429999962</v>
      </c>
      <c r="H746" s="7"/>
      <c r="I746" s="7"/>
      <c r="J746" s="4"/>
      <c r="K746" s="23"/>
    </row>
    <row r="747" spans="1:11" x14ac:dyDescent="0.2">
      <c r="A747">
        <f>COUNTIF($I$2:I747,'[1]Detalle Pilotos'!$G$3)</f>
        <v>0</v>
      </c>
      <c r="B747">
        <f t="shared" si="11"/>
        <v>746</v>
      </c>
      <c r="C747" s="9">
        <v>44629</v>
      </c>
      <c r="D747" s="4" t="s">
        <v>350</v>
      </c>
      <c r="E747" s="8">
        <v>272372</v>
      </c>
      <c r="F747" s="3"/>
      <c r="G747" s="7">
        <f>IF(Tabla1[[#This Row],[Fecha]]="","",G746+Tabla1[[#This Row],[ingreso]]-Tabla1[[#This Row],[egreso]])</f>
        <v>515264.44429999962</v>
      </c>
      <c r="H747" s="7"/>
      <c r="I747" s="7"/>
      <c r="J747" s="4"/>
      <c r="K747" s="23"/>
    </row>
    <row r="748" spans="1:11" x14ac:dyDescent="0.2">
      <c r="A748">
        <f>COUNTIF($I$2:I748,'[1]Detalle Pilotos'!$G$3)</f>
        <v>0</v>
      </c>
      <c r="B748">
        <f t="shared" si="11"/>
        <v>747</v>
      </c>
      <c r="C748" s="9">
        <v>44629</v>
      </c>
      <c r="D748" s="4" t="s">
        <v>351</v>
      </c>
      <c r="E748" s="8">
        <v>162400</v>
      </c>
      <c r="F748" s="3"/>
      <c r="G748" s="7">
        <f>IF(Tabla1[[#This Row],[Fecha]]="","",G747+Tabla1[[#This Row],[ingreso]]-Tabla1[[#This Row],[egreso]])</f>
        <v>352864.44429999962</v>
      </c>
      <c r="H748" s="7"/>
      <c r="I748" s="7"/>
      <c r="J748" s="4"/>
      <c r="K748" s="23"/>
    </row>
    <row r="749" spans="1:11" x14ac:dyDescent="0.2">
      <c r="A749">
        <f>COUNTIF($I$2:I749,'[1]Detalle Pilotos'!$G$3)</f>
        <v>0</v>
      </c>
      <c r="B749">
        <f t="shared" si="11"/>
        <v>748</v>
      </c>
      <c r="C749" s="9">
        <v>44628</v>
      </c>
      <c r="D749" s="4" t="s">
        <v>204</v>
      </c>
      <c r="E749" s="8"/>
      <c r="F749" s="3">
        <v>184055</v>
      </c>
      <c r="G749" s="7">
        <f>IF(Tabla1[[#This Row],[Fecha]]="","",G748+Tabla1[[#This Row],[ingreso]]-Tabla1[[#This Row],[egreso]])</f>
        <v>536919.44429999962</v>
      </c>
      <c r="H749" s="7"/>
      <c r="I749" s="7" t="s">
        <v>182</v>
      </c>
      <c r="J749" s="4"/>
      <c r="K749" s="23"/>
    </row>
    <row r="750" spans="1:11" x14ac:dyDescent="0.2">
      <c r="A750">
        <f>COUNTIF($I$2:I750,'[1]Detalle Pilotos'!$G$3)</f>
        <v>0</v>
      </c>
      <c r="B750">
        <f t="shared" si="11"/>
        <v>749</v>
      </c>
      <c r="C750" s="9">
        <v>44629</v>
      </c>
      <c r="D750" s="4" t="s">
        <v>352</v>
      </c>
      <c r="E750" s="8">
        <v>29900</v>
      </c>
      <c r="F750" s="3"/>
      <c r="G750" s="7">
        <f>IF(Tabla1[[#This Row],[Fecha]]="","",G749+Tabla1[[#This Row],[ingreso]]-Tabla1[[#This Row],[egreso]])</f>
        <v>507019.44429999962</v>
      </c>
      <c r="H750" s="7"/>
      <c r="I750" s="7"/>
      <c r="J750" s="4"/>
      <c r="K750" s="23"/>
    </row>
    <row r="751" spans="1:11" x14ac:dyDescent="0.2">
      <c r="A751">
        <f>COUNTIF($I$2:I751,'[1]Detalle Pilotos'!$G$3)</f>
        <v>0</v>
      </c>
      <c r="B751">
        <f t="shared" si="11"/>
        <v>750</v>
      </c>
      <c r="C751" s="9">
        <v>44630</v>
      </c>
      <c r="D751" s="4" t="s">
        <v>353</v>
      </c>
      <c r="E751" s="8">
        <v>107880</v>
      </c>
      <c r="F751" s="3"/>
      <c r="G751" s="7">
        <f>IF(Tabla1[[#This Row],[Fecha]]="","",G750+Tabla1[[#This Row],[ingreso]]-Tabla1[[#This Row],[egreso]])</f>
        <v>399139.44429999962</v>
      </c>
      <c r="H751" s="7"/>
      <c r="I751" s="7"/>
      <c r="J751" s="4"/>
      <c r="K751" s="23"/>
    </row>
    <row r="752" spans="1:11" x14ac:dyDescent="0.2">
      <c r="A752">
        <f>COUNTIF($I$2:I752,'[1]Detalle Pilotos'!$G$3)</f>
        <v>0</v>
      </c>
      <c r="B752">
        <f t="shared" si="11"/>
        <v>751</v>
      </c>
      <c r="C752" s="9">
        <v>44630</v>
      </c>
      <c r="D752" s="4" t="s">
        <v>53</v>
      </c>
      <c r="E752" s="8"/>
      <c r="F752" s="3">
        <v>187500</v>
      </c>
      <c r="G752" s="7">
        <f>IF(Tabla1[[#This Row],[Fecha]]="","",G751+Tabla1[[#This Row],[ingreso]]-Tabla1[[#This Row],[egreso]])</f>
        <v>586639.44429999962</v>
      </c>
      <c r="H752" s="7"/>
      <c r="I752" s="7" t="s">
        <v>54</v>
      </c>
      <c r="J752" s="4"/>
      <c r="K752" s="23"/>
    </row>
    <row r="753" spans="1:11" x14ac:dyDescent="0.2">
      <c r="A753">
        <f>COUNTIF($I$2:I753,'[1]Detalle Pilotos'!$G$3)</f>
        <v>0</v>
      </c>
      <c r="B753">
        <f t="shared" si="11"/>
        <v>752</v>
      </c>
      <c r="C753" s="9">
        <v>44631</v>
      </c>
      <c r="D753" s="4" t="s">
        <v>354</v>
      </c>
      <c r="E753" s="8">
        <v>89900</v>
      </c>
      <c r="F753" s="3"/>
      <c r="G753" s="7">
        <f>IF(Tabla1[[#This Row],[Fecha]]="","",G752+Tabla1[[#This Row],[ingreso]]-Tabla1[[#This Row],[egreso]])</f>
        <v>496739.44429999962</v>
      </c>
      <c r="H753" s="7"/>
      <c r="I753" s="7"/>
      <c r="J753" s="4"/>
      <c r="K753" s="23"/>
    </row>
    <row r="754" spans="1:11" x14ac:dyDescent="0.2">
      <c r="A754">
        <f>COUNTIF($I$2:I754,'[1]Detalle Pilotos'!$G$3)</f>
        <v>0</v>
      </c>
      <c r="B754">
        <f t="shared" si="11"/>
        <v>753</v>
      </c>
      <c r="C754" s="9">
        <v>44631</v>
      </c>
      <c r="D754" s="4" t="s">
        <v>53</v>
      </c>
      <c r="E754" s="8"/>
      <c r="F754" s="3">
        <v>316333</v>
      </c>
      <c r="G754" s="7">
        <f>IF(Tabla1[[#This Row],[Fecha]]="","",G753+Tabla1[[#This Row],[ingreso]]-Tabla1[[#This Row],[egreso]])</f>
        <v>813072.44429999962</v>
      </c>
      <c r="H754" s="7"/>
      <c r="I754" s="7" t="s">
        <v>230</v>
      </c>
      <c r="J754" s="4"/>
      <c r="K754" s="23"/>
    </row>
    <row r="755" spans="1:11" x14ac:dyDescent="0.2">
      <c r="A755">
        <f>COUNTIF($I$2:I755,'[1]Detalle Pilotos'!$G$3)</f>
        <v>0</v>
      </c>
      <c r="B755">
        <f t="shared" si="11"/>
        <v>754</v>
      </c>
      <c r="C755" s="9">
        <v>44631</v>
      </c>
      <c r="D755" s="4" t="s">
        <v>53</v>
      </c>
      <c r="E755" s="8"/>
      <c r="F755" s="3">
        <v>147605</v>
      </c>
      <c r="G755" s="7">
        <f>IF(Tabla1[[#This Row],[Fecha]]="","",G754+Tabla1[[#This Row],[ingreso]]-Tabla1[[#This Row],[egreso]])</f>
        <v>960677.44429999962</v>
      </c>
      <c r="H755" s="7"/>
      <c r="I755" s="7" t="s">
        <v>230</v>
      </c>
      <c r="J755" s="4"/>
      <c r="K755" s="23"/>
    </row>
    <row r="756" spans="1:11" x14ac:dyDescent="0.2">
      <c r="A756">
        <f>COUNTIF($I$2:I756,'[1]Detalle Pilotos'!$G$3)</f>
        <v>0</v>
      </c>
      <c r="B756">
        <f t="shared" si="11"/>
        <v>755</v>
      </c>
      <c r="C756" s="9">
        <v>44631</v>
      </c>
      <c r="D756" s="4" t="s">
        <v>53</v>
      </c>
      <c r="E756" s="8"/>
      <c r="F756" s="3">
        <v>295040</v>
      </c>
      <c r="G756" s="7">
        <f>IF(Tabla1[[#This Row],[Fecha]]="","",G755+Tabla1[[#This Row],[ingreso]]-Tabla1[[#This Row],[egreso]])</f>
        <v>1255717.4442999996</v>
      </c>
      <c r="H756" s="7"/>
      <c r="I756" s="7" t="s">
        <v>54</v>
      </c>
      <c r="J756" s="4"/>
      <c r="K756" s="23"/>
    </row>
    <row r="757" spans="1:11" x14ac:dyDescent="0.2">
      <c r="A757">
        <f>COUNTIF($I$2:I757,'[1]Detalle Pilotos'!$G$3)</f>
        <v>0</v>
      </c>
      <c r="B757">
        <f t="shared" si="11"/>
        <v>756</v>
      </c>
      <c r="C757" s="9">
        <v>44634</v>
      </c>
      <c r="D757" s="4" t="s">
        <v>266</v>
      </c>
      <c r="E757" s="8">
        <v>115575</v>
      </c>
      <c r="F757" s="3"/>
      <c r="G757" s="7">
        <f>IF(Tabla1[[#This Row],[Fecha]]="","",G756+Tabla1[[#This Row],[ingreso]]-Tabla1[[#This Row],[egreso]])</f>
        <v>1140142.4442999996</v>
      </c>
      <c r="H757" s="7"/>
      <c r="I757" s="7"/>
      <c r="J757" s="4"/>
      <c r="K757" s="23"/>
    </row>
    <row r="758" spans="1:11" x14ac:dyDescent="0.2">
      <c r="A758">
        <f>COUNTIF($I$2:I758,'[1]Detalle Pilotos'!$G$3)</f>
        <v>0</v>
      </c>
      <c r="B758">
        <f t="shared" si="11"/>
        <v>757</v>
      </c>
      <c r="C758" s="9">
        <v>44634</v>
      </c>
      <c r="D758" s="4" t="s">
        <v>355</v>
      </c>
      <c r="E758" s="8">
        <v>5000</v>
      </c>
      <c r="F758" s="3"/>
      <c r="G758" s="7">
        <f>IF(Tabla1[[#This Row],[Fecha]]="","",G757+Tabla1[[#This Row],[ingreso]]-Tabla1[[#This Row],[egreso]])</f>
        <v>1135142.4442999996</v>
      </c>
      <c r="H758" s="7"/>
      <c r="I758" s="7"/>
      <c r="J758" s="4"/>
      <c r="K758" s="23"/>
    </row>
    <row r="759" spans="1:11" x14ac:dyDescent="0.2">
      <c r="A759">
        <f>COUNTIF($I$2:I759,'[1]Detalle Pilotos'!$G$3)</f>
        <v>0</v>
      </c>
      <c r="B759">
        <f t="shared" si="11"/>
        <v>758</v>
      </c>
      <c r="C759" s="9">
        <v>44636</v>
      </c>
      <c r="D759" s="4" t="s">
        <v>237</v>
      </c>
      <c r="E759" s="8"/>
      <c r="F759" s="3">
        <v>3168800</v>
      </c>
      <c r="G759" s="7">
        <f>IF(Tabla1[[#This Row],[Fecha]]="","",G758+Tabla1[[#This Row],[ingreso]]-Tabla1[[#This Row],[egreso]])</f>
        <v>4303942.4442999996</v>
      </c>
      <c r="H759" s="7">
        <v>4000</v>
      </c>
      <c r="I759" s="7" t="s">
        <v>329</v>
      </c>
      <c r="J759" s="4"/>
      <c r="K759" s="23">
        <f>Tabla1[[#This Row],[ingreso]]/Tabla1[[#This Row],[Tipo]]</f>
        <v>792.2</v>
      </c>
    </row>
    <row r="760" spans="1:11" x14ac:dyDescent="0.2">
      <c r="A760">
        <f>COUNTIF($I$2:I760,'[1]Detalle Pilotos'!$G$3)</f>
        <v>0</v>
      </c>
      <c r="B760">
        <f t="shared" si="11"/>
        <v>759</v>
      </c>
      <c r="C760" s="9">
        <v>44636</v>
      </c>
      <c r="D760" s="4" t="s">
        <v>356</v>
      </c>
      <c r="E760" s="8">
        <v>3279373</v>
      </c>
      <c r="F760" s="3"/>
      <c r="G760" s="7">
        <f>IF(Tabla1[[#This Row],[Fecha]]="","",G759+Tabla1[[#This Row],[ingreso]]-Tabla1[[#This Row],[egreso]])</f>
        <v>1024569.4442999996</v>
      </c>
      <c r="H760" s="7"/>
      <c r="I760" s="7"/>
      <c r="J760" s="4"/>
    </row>
    <row r="761" spans="1:11" x14ac:dyDescent="0.2">
      <c r="A761">
        <f>COUNTIF($I$2:I761,'[1]Detalle Pilotos'!$G$3)</f>
        <v>0</v>
      </c>
      <c r="B761">
        <f t="shared" si="11"/>
        <v>760</v>
      </c>
      <c r="C761" s="9">
        <v>44636</v>
      </c>
      <c r="D761" s="4" t="s">
        <v>357</v>
      </c>
      <c r="E761" s="8">
        <v>95018</v>
      </c>
      <c r="F761" s="3"/>
      <c r="G761" s="7">
        <f>IF(Tabla1[[#This Row],[Fecha]]="","",G760+Tabla1[[#This Row],[ingreso]]-Tabla1[[#This Row],[egreso]])</f>
        <v>929551.44429999962</v>
      </c>
      <c r="H761" s="7"/>
      <c r="I761" s="7"/>
      <c r="J761" s="4"/>
    </row>
    <row r="762" spans="1:11" x14ac:dyDescent="0.2">
      <c r="A762">
        <f>COUNTIF($I$2:I762,'[1]Detalle Pilotos'!$G$3)</f>
        <v>0</v>
      </c>
      <c r="B762">
        <f t="shared" si="11"/>
        <v>761</v>
      </c>
      <c r="C762" s="9">
        <v>44636</v>
      </c>
      <c r="D762" s="4" t="s">
        <v>53</v>
      </c>
      <c r="E762" s="8"/>
      <c r="F762" s="3">
        <v>132376</v>
      </c>
      <c r="G762" s="7">
        <f>IF(Tabla1[[#This Row],[Fecha]]="","",G761+Tabla1[[#This Row],[ingreso]]-Tabla1[[#This Row],[egreso]])</f>
        <v>1061927.4442999996</v>
      </c>
      <c r="H762" s="7"/>
      <c r="I762" s="7" t="s">
        <v>230</v>
      </c>
      <c r="J762" s="4"/>
    </row>
    <row r="763" spans="1:11" x14ac:dyDescent="0.2">
      <c r="A763">
        <f>COUNTIF($I$2:I763,'[1]Detalle Pilotos'!$G$3)</f>
        <v>0</v>
      </c>
      <c r="B763">
        <f t="shared" si="11"/>
        <v>762</v>
      </c>
      <c r="C763" s="9">
        <v>44637</v>
      </c>
      <c r="D763" s="4" t="s">
        <v>256</v>
      </c>
      <c r="E763" s="8">
        <v>85988</v>
      </c>
      <c r="F763" s="3"/>
      <c r="G763" s="7">
        <f>IF(Tabla1[[#This Row],[Fecha]]="","",G762+Tabla1[[#This Row],[ingreso]]-Tabla1[[#This Row],[egreso]])</f>
        <v>975939.44429999962</v>
      </c>
      <c r="H763" s="7"/>
      <c r="I763" s="7"/>
      <c r="J763" s="4"/>
    </row>
    <row r="764" spans="1:11" x14ac:dyDescent="0.2">
      <c r="A764">
        <f>COUNTIF($I$2:I764,'[1]Detalle Pilotos'!$G$3)</f>
        <v>0</v>
      </c>
      <c r="B764">
        <f t="shared" si="11"/>
        <v>763</v>
      </c>
      <c r="C764" s="9">
        <v>44637</v>
      </c>
      <c r="D764" s="4" t="s">
        <v>358</v>
      </c>
      <c r="E764" s="8">
        <v>76500</v>
      </c>
      <c r="F764" s="3"/>
      <c r="G764" s="7">
        <f>IF(Tabla1[[#This Row],[Fecha]]="","",G763+Tabla1[[#This Row],[ingreso]]-Tabla1[[#This Row],[egreso]])</f>
        <v>899439.44429999962</v>
      </c>
      <c r="H764" s="7"/>
      <c r="I764" s="7"/>
      <c r="J764" s="4"/>
    </row>
    <row r="765" spans="1:11" x14ac:dyDescent="0.2">
      <c r="A765">
        <f>COUNTIF($I$2:I765,'[1]Detalle Pilotos'!$G$3)</f>
        <v>0</v>
      </c>
      <c r="B765">
        <f t="shared" si="11"/>
        <v>764</v>
      </c>
      <c r="C765" s="9">
        <v>44638</v>
      </c>
      <c r="D765" s="4" t="s">
        <v>258</v>
      </c>
      <c r="E765" s="8"/>
      <c r="F765" s="3">
        <v>250000</v>
      </c>
      <c r="G765" s="7">
        <f>IF(Tabla1[[#This Row],[Fecha]]="","",G764+Tabla1[[#This Row],[ingreso]]-Tabla1[[#This Row],[egreso]])</f>
        <v>1149439.4442999996</v>
      </c>
      <c r="H765" s="7"/>
      <c r="I765" s="7" t="s">
        <v>259</v>
      </c>
      <c r="J765" s="4"/>
    </row>
    <row r="766" spans="1:11" x14ac:dyDescent="0.2">
      <c r="A766">
        <f>COUNTIF($I$2:I766,'[1]Detalle Pilotos'!$G$3)</f>
        <v>0</v>
      </c>
      <c r="B766">
        <f t="shared" si="11"/>
        <v>765</v>
      </c>
      <c r="C766" s="9">
        <v>44637</v>
      </c>
      <c r="D766" s="4" t="s">
        <v>256</v>
      </c>
      <c r="E766" s="8">
        <v>63181</v>
      </c>
      <c r="F766" s="3"/>
      <c r="G766" s="7">
        <f>IF(Tabla1[[#This Row],[Fecha]]="","",G765+Tabla1[[#This Row],[ingreso]]-Tabla1[[#This Row],[egreso]])</f>
        <v>1086258.4442999996</v>
      </c>
      <c r="H766" s="7"/>
      <c r="I766" s="7"/>
      <c r="J766" s="4"/>
    </row>
    <row r="767" spans="1:11" x14ac:dyDescent="0.2">
      <c r="A767">
        <f>COUNTIF($I$2:I767,'[1]Detalle Pilotos'!$G$3)</f>
        <v>0</v>
      </c>
      <c r="B767">
        <f t="shared" si="11"/>
        <v>766</v>
      </c>
      <c r="C767" s="9">
        <v>44637</v>
      </c>
      <c r="D767" s="4" t="s">
        <v>359</v>
      </c>
      <c r="E767" s="8">
        <v>58900</v>
      </c>
      <c r="F767" s="3"/>
      <c r="G767" s="7">
        <f>IF(Tabla1[[#This Row],[Fecha]]="","",G766+Tabla1[[#This Row],[ingreso]]-Tabla1[[#This Row],[egreso]])</f>
        <v>1027358.4442999996</v>
      </c>
      <c r="H767" s="7"/>
      <c r="I767" s="7"/>
      <c r="J767" s="4"/>
    </row>
    <row r="768" spans="1:11" x14ac:dyDescent="0.2">
      <c r="A768">
        <f>COUNTIF($I$2:I768,'[1]Detalle Pilotos'!$G$3)</f>
        <v>0</v>
      </c>
      <c r="B768">
        <f t="shared" si="11"/>
        <v>767</v>
      </c>
      <c r="C768" s="9">
        <v>44637</v>
      </c>
      <c r="D768" s="4" t="s">
        <v>360</v>
      </c>
      <c r="E768" s="8">
        <v>72000</v>
      </c>
      <c r="F768" s="3"/>
      <c r="G768" s="7">
        <f>IF(Tabla1[[#This Row],[Fecha]]="","",G767+Tabla1[[#This Row],[ingreso]]-Tabla1[[#This Row],[egreso]])</f>
        <v>955358.44429999962</v>
      </c>
      <c r="H768" s="7"/>
      <c r="I768" s="7"/>
      <c r="J768" s="4"/>
    </row>
    <row r="769" spans="1:13" x14ac:dyDescent="0.2">
      <c r="A769">
        <f>COUNTIF($I$2:I769,'[1]Detalle Pilotos'!$G$3)</f>
        <v>0</v>
      </c>
      <c r="B769">
        <f t="shared" si="11"/>
        <v>768</v>
      </c>
      <c r="C769" s="9">
        <v>44638</v>
      </c>
      <c r="D769" s="4" t="s">
        <v>258</v>
      </c>
      <c r="E769" s="8"/>
      <c r="F769" s="3">
        <v>82000</v>
      </c>
      <c r="G769" s="7">
        <f>IF(Tabla1[[#This Row],[Fecha]]="","",G768+Tabla1[[#This Row],[ingreso]]-Tabla1[[#This Row],[egreso]])</f>
        <v>1037358.4442999996</v>
      </c>
      <c r="H769" s="7"/>
      <c r="I769" s="7" t="s">
        <v>259</v>
      </c>
      <c r="J769" s="4"/>
    </row>
    <row r="770" spans="1:13" x14ac:dyDescent="0.2">
      <c r="A770">
        <f>COUNTIF($I$2:I770,'[1]Detalle Pilotos'!$G$3)</f>
        <v>0</v>
      </c>
      <c r="B770">
        <f t="shared" si="11"/>
        <v>769</v>
      </c>
      <c r="C770" s="9">
        <v>44638</v>
      </c>
      <c r="D770" s="4" t="s">
        <v>361</v>
      </c>
      <c r="E770" s="8">
        <v>104000</v>
      </c>
      <c r="F770" s="3"/>
      <c r="G770" s="7">
        <f>IF(Tabla1[[#This Row],[Fecha]]="","",G769+Tabla1[[#This Row],[ingreso]]-Tabla1[[#This Row],[egreso]])</f>
        <v>933358.44429999962</v>
      </c>
      <c r="H770" s="7"/>
      <c r="I770" s="7"/>
      <c r="J770" s="4"/>
    </row>
    <row r="771" spans="1:13" x14ac:dyDescent="0.2">
      <c r="A771">
        <f>COUNTIF($I$2:I771,'[1]Detalle Pilotos'!$G$3)</f>
        <v>0</v>
      </c>
      <c r="B771">
        <f t="shared" si="11"/>
        <v>770</v>
      </c>
      <c r="C771" s="9">
        <v>44638</v>
      </c>
      <c r="D771" s="4" t="s">
        <v>359</v>
      </c>
      <c r="E771" s="8">
        <v>120900</v>
      </c>
      <c r="F771" s="3"/>
      <c r="G771" s="7">
        <f>IF(Tabla1[[#This Row],[Fecha]]="","",G770+Tabla1[[#This Row],[ingreso]]-Tabla1[[#This Row],[egreso]])</f>
        <v>812458.44429999962</v>
      </c>
      <c r="H771" s="7"/>
      <c r="I771" s="7"/>
      <c r="J771" s="4"/>
    </row>
    <row r="772" spans="1:13" x14ac:dyDescent="0.2">
      <c r="A772">
        <f>COUNTIF($I$2:I772,'[1]Detalle Pilotos'!$G$3)</f>
        <v>0</v>
      </c>
      <c r="B772">
        <f t="shared" ref="B772:B835" si="12">IF(C772="","",1+B771)</f>
        <v>771</v>
      </c>
      <c r="C772" s="9">
        <v>44638</v>
      </c>
      <c r="D772" s="22" t="s">
        <v>362</v>
      </c>
      <c r="E772" s="8">
        <v>274500</v>
      </c>
      <c r="F772" s="3"/>
      <c r="G772" s="7">
        <f>IF(Tabla1[[#This Row],[Fecha]]="","",G771+Tabla1[[#This Row],[ingreso]]-Tabla1[[#This Row],[egreso]])</f>
        <v>537958.44429999962</v>
      </c>
      <c r="H772" s="7"/>
      <c r="I772" s="7"/>
      <c r="J772" s="4"/>
    </row>
    <row r="773" spans="1:13" x14ac:dyDescent="0.2">
      <c r="A773">
        <f>COUNTIF($I$2:I773,'[1]Detalle Pilotos'!$G$3)</f>
        <v>0</v>
      </c>
      <c r="B773">
        <f t="shared" si="12"/>
        <v>772</v>
      </c>
      <c r="C773" s="9">
        <v>44645</v>
      </c>
      <c r="D773" s="4" t="s">
        <v>266</v>
      </c>
      <c r="E773" s="8">
        <v>112801</v>
      </c>
      <c r="F773" s="3"/>
      <c r="G773" s="7">
        <f>IF(Tabla1[[#This Row],[Fecha]]="","",G772+Tabla1[[#This Row],[ingreso]]-Tabla1[[#This Row],[egreso]])</f>
        <v>425157.44429999962</v>
      </c>
      <c r="H773" s="7"/>
      <c r="I773" s="7"/>
      <c r="J773" s="4"/>
    </row>
    <row r="774" spans="1:13" x14ac:dyDescent="0.2">
      <c r="A774">
        <f>COUNTIF($I$2:I774,'[1]Detalle Pilotos'!$G$3)</f>
        <v>0</v>
      </c>
      <c r="B774">
        <f t="shared" si="12"/>
        <v>773</v>
      </c>
      <c r="C774" s="9">
        <v>44645</v>
      </c>
      <c r="D774" s="4" t="s">
        <v>363</v>
      </c>
      <c r="E774" s="8">
        <v>160859</v>
      </c>
      <c r="F774" s="3"/>
      <c r="G774" s="7">
        <f>IF(Tabla1[[#This Row],[Fecha]]="","",G773+Tabla1[[#This Row],[ingreso]]-Tabla1[[#This Row],[egreso]])</f>
        <v>264298.44429999962</v>
      </c>
      <c r="H774" s="7"/>
      <c r="I774" s="7"/>
      <c r="J774" s="4"/>
    </row>
    <row r="775" spans="1:13" x14ac:dyDescent="0.2">
      <c r="A775">
        <f>COUNTIF($I$2:I775,'[1]Detalle Pilotos'!$G$3)</f>
        <v>0</v>
      </c>
      <c r="B775">
        <f t="shared" si="12"/>
        <v>774</v>
      </c>
      <c r="C775" s="9">
        <v>44646</v>
      </c>
      <c r="D775" s="4" t="s">
        <v>364</v>
      </c>
      <c r="E775" s="8">
        <v>89900</v>
      </c>
      <c r="F775" s="3"/>
      <c r="G775" s="7">
        <f>IF(Tabla1[[#This Row],[Fecha]]="","",G774+Tabla1[[#This Row],[ingreso]]-Tabla1[[#This Row],[egreso]])</f>
        <v>174398.44429999962</v>
      </c>
      <c r="H775" s="7"/>
      <c r="I775" s="7"/>
      <c r="J775" s="4"/>
    </row>
    <row r="776" spans="1:13" x14ac:dyDescent="0.2">
      <c r="A776">
        <f>COUNTIF($I$2:I776,'[1]Detalle Pilotos'!$G$3)</f>
        <v>0</v>
      </c>
      <c r="B776">
        <f t="shared" si="12"/>
        <v>775</v>
      </c>
      <c r="C776" s="9">
        <v>44648</v>
      </c>
      <c r="D776" s="4" t="s">
        <v>365</v>
      </c>
      <c r="E776" s="8">
        <v>39990</v>
      </c>
      <c r="F776" s="3"/>
      <c r="G776" s="7">
        <f>IF(Tabla1[[#This Row],[Fecha]]="","",G775+Tabla1[[#This Row],[ingreso]]-Tabla1[[#This Row],[egreso]])</f>
        <v>134408.44429999962</v>
      </c>
      <c r="H776" s="7"/>
      <c r="I776" s="7"/>
      <c r="J776" s="4"/>
    </row>
    <row r="777" spans="1:13" x14ac:dyDescent="0.2">
      <c r="A777">
        <f>COUNTIF($I$2:I777,'[1]Detalle Pilotos'!$G$3)</f>
        <v>0</v>
      </c>
      <c r="B777">
        <f t="shared" si="12"/>
        <v>776</v>
      </c>
      <c r="C777" s="9">
        <v>44650</v>
      </c>
      <c r="D777" s="4" t="s">
        <v>237</v>
      </c>
      <c r="E777" s="8"/>
      <c r="F777" s="3">
        <v>2307300</v>
      </c>
      <c r="G777" s="7">
        <f>IF(Tabla1[[#This Row],[Fecha]]="","",G776+Tabla1[[#This Row],[ingreso]]-Tabla1[[#This Row],[egreso]])</f>
        <v>2441708.4442999996</v>
      </c>
      <c r="H777" s="7">
        <v>3000</v>
      </c>
      <c r="I777" s="7" t="s">
        <v>329</v>
      </c>
      <c r="J777" s="4"/>
      <c r="K777">
        <f>Tabla1[[#This Row],[ingreso]]/Tabla1[[#This Row],[Tipo]]</f>
        <v>769.1</v>
      </c>
    </row>
    <row r="778" spans="1:13" x14ac:dyDescent="0.2">
      <c r="A778">
        <f>COUNTIF($I$2:I778,'[1]Detalle Pilotos'!$G$3)</f>
        <v>0</v>
      </c>
      <c r="B778">
        <f t="shared" si="12"/>
        <v>777</v>
      </c>
      <c r="C778" s="9">
        <v>44650</v>
      </c>
      <c r="D778" s="4" t="s">
        <v>366</v>
      </c>
      <c r="E778" s="8">
        <v>272600</v>
      </c>
      <c r="F778" s="3"/>
      <c r="G778" s="7">
        <f>IF(Tabla1[[#This Row],[Fecha]]="","",G777+Tabla1[[#This Row],[ingreso]]-Tabla1[[#This Row],[egreso]])</f>
        <v>2169108.4442999996</v>
      </c>
      <c r="H778" s="7"/>
      <c r="I778" s="7"/>
      <c r="J778" s="4"/>
    </row>
    <row r="779" spans="1:13" x14ac:dyDescent="0.2">
      <c r="A779">
        <f>COUNTIF($I$2:I779,'[1]Detalle Pilotos'!$G$3)</f>
        <v>0</v>
      </c>
      <c r="B779">
        <f t="shared" si="12"/>
        <v>778</v>
      </c>
      <c r="C779" s="9">
        <v>44651</v>
      </c>
      <c r="D779" s="4" t="s">
        <v>367</v>
      </c>
      <c r="E779" s="8">
        <v>11600</v>
      </c>
      <c r="F779" s="3"/>
      <c r="G779" s="7">
        <f>IF(Tabla1[[#This Row],[Fecha]]="","",G778+Tabla1[[#This Row],[ingreso]]-Tabla1[[#This Row],[egreso]])</f>
        <v>2157508.4442999996</v>
      </c>
      <c r="H779" s="7"/>
      <c r="I779" s="7"/>
      <c r="J779" s="4"/>
    </row>
    <row r="780" spans="1:13" x14ac:dyDescent="0.2">
      <c r="A780">
        <f>COUNTIF($I$2:I780,'[1]Detalle Pilotos'!$G$3)</f>
        <v>0</v>
      </c>
      <c r="B780">
        <f t="shared" si="12"/>
        <v>779</v>
      </c>
      <c r="C780" s="9">
        <v>44651</v>
      </c>
      <c r="D780" s="4" t="s">
        <v>53</v>
      </c>
      <c r="E780" s="8"/>
      <c r="F780" s="3">
        <v>267302</v>
      </c>
      <c r="G780" s="7">
        <f>IF(Tabla1[[#This Row],[Fecha]]="","",G779+Tabla1[[#This Row],[ingreso]]-Tabla1[[#This Row],[egreso]])</f>
        <v>2424810.4442999996</v>
      </c>
      <c r="H780" s="7"/>
      <c r="I780" s="7" t="s">
        <v>54</v>
      </c>
      <c r="J780" s="4"/>
    </row>
    <row r="781" spans="1:13" x14ac:dyDescent="0.2">
      <c r="A781">
        <f>COUNTIF($I$2:I781,'[1]Detalle Pilotos'!$G$3)</f>
        <v>0</v>
      </c>
      <c r="B781">
        <f t="shared" si="12"/>
        <v>780</v>
      </c>
      <c r="C781" s="9">
        <v>44652</v>
      </c>
      <c r="D781" s="4" t="s">
        <v>368</v>
      </c>
      <c r="E781" s="8">
        <v>188500</v>
      </c>
      <c r="F781" s="3"/>
      <c r="G781" s="7">
        <f>IF(Tabla1[[#This Row],[Fecha]]="","",G780+Tabla1[[#This Row],[ingreso]]-Tabla1[[#This Row],[egreso]])</f>
        <v>2236310.4442999996</v>
      </c>
      <c r="H781" s="7"/>
      <c r="I781" s="7"/>
      <c r="J781" s="4"/>
    </row>
    <row r="782" spans="1:13" x14ac:dyDescent="0.2">
      <c r="A782">
        <f>COUNTIF($I$2:I782,'[1]Detalle Pilotos'!$G$3)</f>
        <v>0</v>
      </c>
      <c r="B782">
        <f t="shared" si="12"/>
        <v>781</v>
      </c>
      <c r="C782" s="9">
        <v>44652</v>
      </c>
      <c r="D782" s="4" t="s">
        <v>369</v>
      </c>
      <c r="E782" s="8">
        <v>100000</v>
      </c>
      <c r="F782" s="3"/>
      <c r="G782" s="7">
        <f>IF(Tabla1[[#This Row],[Fecha]]="","",G781+Tabla1[[#This Row],[ingreso]]-Tabla1[[#This Row],[egreso]])</f>
        <v>2136310.4442999996</v>
      </c>
      <c r="H782" s="7"/>
      <c r="I782" s="7"/>
      <c r="J782" s="4"/>
    </row>
    <row r="783" spans="1:13" x14ac:dyDescent="0.2">
      <c r="A783">
        <f>COUNTIF($I$2:I783,'[1]Detalle Pilotos'!$G$3)</f>
        <v>0</v>
      </c>
      <c r="B783">
        <f t="shared" si="12"/>
        <v>782</v>
      </c>
      <c r="C783" s="9">
        <v>44652</v>
      </c>
      <c r="D783" s="4" t="s">
        <v>370</v>
      </c>
      <c r="E783" s="8">
        <v>279866</v>
      </c>
      <c r="F783" s="3"/>
      <c r="G783" s="7">
        <f>IF(Tabla1[[#This Row],[Fecha]]="","",G782+Tabla1[[#This Row],[ingreso]]-Tabla1[[#This Row],[egreso]])</f>
        <v>1856444.4442999996</v>
      </c>
      <c r="H783" s="7"/>
      <c r="I783" s="7"/>
      <c r="J783" s="4"/>
    </row>
    <row r="784" spans="1:13" x14ac:dyDescent="0.2">
      <c r="A784">
        <f>COUNTIF($I$2:I784,'[1]Detalle Pilotos'!$G$3)</f>
        <v>0</v>
      </c>
      <c r="B784">
        <f t="shared" si="12"/>
        <v>783</v>
      </c>
      <c r="C784" s="9">
        <v>44656</v>
      </c>
      <c r="D784" s="4" t="s">
        <v>237</v>
      </c>
      <c r="E784" s="8"/>
      <c r="F784" s="3">
        <v>3474045</v>
      </c>
      <c r="G784" s="7">
        <f>IF(Tabla1[[#This Row],[Fecha]]="","",G783+Tabla1[[#This Row],[ingreso]]-Tabla1[[#This Row],[egreso]])</f>
        <v>5330489.4442999996</v>
      </c>
      <c r="H784" s="7">
        <v>4500</v>
      </c>
      <c r="I784" s="7" t="s">
        <v>329</v>
      </c>
      <c r="J784" s="4"/>
      <c r="K784">
        <f>Tabla1[[#This Row],[ingreso]]/Tabla1[[#This Row],[Tipo]]</f>
        <v>772.01</v>
      </c>
      <c r="M784" s="24"/>
    </row>
    <row r="785" spans="1:13" x14ac:dyDescent="0.2">
      <c r="A785">
        <f>COUNTIF($I$2:I785,'[1]Detalle Pilotos'!$G$3)</f>
        <v>0</v>
      </c>
      <c r="B785">
        <f t="shared" si="12"/>
        <v>784</v>
      </c>
      <c r="C785" s="9">
        <v>44656</v>
      </c>
      <c r="D785" s="4" t="s">
        <v>371</v>
      </c>
      <c r="E785" s="8">
        <v>4000000</v>
      </c>
      <c r="F785" s="3"/>
      <c r="G785" s="7">
        <f>IF(Tabla1[[#This Row],[Fecha]]="","",G784+Tabla1[[#This Row],[ingreso]]-Tabla1[[#This Row],[egreso]])</f>
        <v>1330489.4442999996</v>
      </c>
      <c r="H785" s="7"/>
      <c r="I785" s="7"/>
      <c r="J785" s="4"/>
      <c r="M785" s="24"/>
    </row>
    <row r="786" spans="1:13" x14ac:dyDescent="0.2">
      <c r="A786">
        <f>COUNTIF($I$2:I786,'[1]Detalle Pilotos'!$G$3)</f>
        <v>0</v>
      </c>
      <c r="B786">
        <f t="shared" si="12"/>
        <v>785</v>
      </c>
      <c r="C786" s="9">
        <v>44657</v>
      </c>
      <c r="D786" s="4" t="s">
        <v>258</v>
      </c>
      <c r="E786" s="8"/>
      <c r="F786" s="3">
        <v>500000</v>
      </c>
      <c r="G786" s="7">
        <f>IF(Tabla1[[#This Row],[Fecha]]="","",G785+Tabla1[[#This Row],[ingreso]]-Tabla1[[#This Row],[egreso]])</f>
        <v>1830489.4442999996</v>
      </c>
      <c r="H786" s="7"/>
      <c r="I786" s="7" t="s">
        <v>259</v>
      </c>
      <c r="J786" s="4"/>
    </row>
    <row r="787" spans="1:13" x14ac:dyDescent="0.2">
      <c r="A787">
        <f>COUNTIF($I$2:I787,'[1]Detalle Pilotos'!$G$3)</f>
        <v>0</v>
      </c>
      <c r="B787">
        <f t="shared" si="12"/>
        <v>786</v>
      </c>
      <c r="C787" s="9">
        <v>44657</v>
      </c>
      <c r="D787" s="4" t="s">
        <v>258</v>
      </c>
      <c r="E787" s="8"/>
      <c r="F787" s="3">
        <v>170000</v>
      </c>
      <c r="G787" s="7">
        <f>IF(Tabla1[[#This Row],[Fecha]]="","",G786+Tabla1[[#This Row],[ingreso]]-Tabla1[[#This Row],[egreso]])</f>
        <v>2000489.4442999996</v>
      </c>
      <c r="H787" s="7"/>
      <c r="I787" s="7" t="s">
        <v>259</v>
      </c>
      <c r="J787" s="4"/>
    </row>
    <row r="788" spans="1:13" x14ac:dyDescent="0.2">
      <c r="A788">
        <f>COUNTIF($I$2:I788,'[1]Detalle Pilotos'!$G$3)</f>
        <v>0</v>
      </c>
      <c r="B788">
        <f t="shared" si="12"/>
        <v>787</v>
      </c>
      <c r="C788" s="9">
        <v>44657</v>
      </c>
      <c r="D788" s="4" t="s">
        <v>258</v>
      </c>
      <c r="E788" s="8"/>
      <c r="F788" s="3">
        <v>230000</v>
      </c>
      <c r="G788" s="7">
        <f>IF(Tabla1[[#This Row],[Fecha]]="","",G787+Tabla1[[#This Row],[ingreso]]-Tabla1[[#This Row],[egreso]])</f>
        <v>2230489.4442999996</v>
      </c>
      <c r="H788" s="7"/>
      <c r="I788" s="7" t="s">
        <v>259</v>
      </c>
      <c r="J788" s="4"/>
    </row>
    <row r="789" spans="1:13" x14ac:dyDescent="0.2">
      <c r="A789">
        <f>COUNTIF($I$2:I789,'[1]Detalle Pilotos'!$G$3)</f>
        <v>0</v>
      </c>
      <c r="B789">
        <f t="shared" si="12"/>
        <v>788</v>
      </c>
      <c r="C789" s="9">
        <v>44657</v>
      </c>
      <c r="D789" s="4" t="s">
        <v>237</v>
      </c>
      <c r="E789" s="8"/>
      <c r="F789" s="3">
        <v>4694160</v>
      </c>
      <c r="G789" s="7">
        <f>IF(Tabla1[[#This Row],[Fecha]]="","",G788+Tabla1[[#This Row],[ingreso]]-Tabla1[[#This Row],[egreso]])</f>
        <v>6924649.4442999996</v>
      </c>
      <c r="H789" s="7">
        <v>6000</v>
      </c>
      <c r="I789" s="7" t="s">
        <v>329</v>
      </c>
      <c r="J789" s="4"/>
      <c r="K789">
        <f>Tabla1[[#This Row],[ingreso]]/Tabla1[[#This Row],[Tipo]]</f>
        <v>782.36</v>
      </c>
    </row>
    <row r="790" spans="1:13" x14ac:dyDescent="0.2">
      <c r="A790">
        <f>COUNTIF($I$2:I790,'[1]Detalle Pilotos'!$G$3)</f>
        <v>0</v>
      </c>
      <c r="B790">
        <f t="shared" si="12"/>
        <v>789</v>
      </c>
      <c r="C790" s="9">
        <v>44657</v>
      </c>
      <c r="D790" s="4" t="s">
        <v>372</v>
      </c>
      <c r="E790" s="8">
        <v>3324655</v>
      </c>
      <c r="F790" s="3"/>
      <c r="G790" s="7">
        <f>IF(Tabla1[[#This Row],[Fecha]]="","",G789+Tabla1[[#This Row],[ingreso]]-Tabla1[[#This Row],[egreso]])</f>
        <v>3599994.4442999996</v>
      </c>
      <c r="H790" s="7"/>
      <c r="I790" s="7"/>
      <c r="J790" s="4"/>
    </row>
    <row r="791" spans="1:13" x14ac:dyDescent="0.2">
      <c r="A791">
        <f>COUNTIF($I$2:I791,'[1]Detalle Pilotos'!$G$3)</f>
        <v>0</v>
      </c>
      <c r="B791">
        <f t="shared" si="12"/>
        <v>790</v>
      </c>
      <c r="C791" s="9">
        <v>44659</v>
      </c>
      <c r="D791" s="4" t="s">
        <v>237</v>
      </c>
      <c r="E791" s="8"/>
      <c r="F791" s="3">
        <v>3191400</v>
      </c>
      <c r="G791" s="7">
        <f>IF(Tabla1[[#This Row],[Fecha]]="","",G790+Tabla1[[#This Row],[ingreso]]-Tabla1[[#This Row],[egreso]])</f>
        <v>6791394.4442999996</v>
      </c>
      <c r="H791" s="7">
        <v>4000</v>
      </c>
      <c r="I791" s="7" t="s">
        <v>329</v>
      </c>
      <c r="J791" s="4"/>
      <c r="K791">
        <f>Tabla1[[#This Row],[ingreso]]/Tabla1[[#This Row],[Tipo]]</f>
        <v>797.85</v>
      </c>
    </row>
    <row r="792" spans="1:13" x14ac:dyDescent="0.2">
      <c r="A792">
        <f>COUNTIF($I$2:I792,'[1]Detalle Pilotos'!$G$3)</f>
        <v>0</v>
      </c>
      <c r="B792">
        <f t="shared" si="12"/>
        <v>791</v>
      </c>
      <c r="C792" s="9">
        <v>44660</v>
      </c>
      <c r="D792" s="4" t="s">
        <v>373</v>
      </c>
      <c r="E792" s="8">
        <v>162400</v>
      </c>
      <c r="F792" s="3"/>
      <c r="G792" s="7">
        <f>IF(Tabla1[[#This Row],[Fecha]]="","",G791+Tabla1[[#This Row],[ingreso]]-Tabla1[[#This Row],[egreso]])</f>
        <v>6628994.4442999996</v>
      </c>
      <c r="H792" s="7"/>
      <c r="I792" s="7"/>
      <c r="J792" s="4"/>
    </row>
    <row r="793" spans="1:13" x14ac:dyDescent="0.2">
      <c r="A793">
        <f>COUNTIF($I$2:I793,'[1]Detalle Pilotos'!$G$3)</f>
        <v>0</v>
      </c>
      <c r="B793">
        <f t="shared" si="12"/>
        <v>792</v>
      </c>
      <c r="C793" s="9">
        <v>44660</v>
      </c>
      <c r="D793" s="4" t="s">
        <v>36</v>
      </c>
      <c r="E793" s="8"/>
      <c r="F793" s="3">
        <v>206213</v>
      </c>
      <c r="G793" s="7">
        <f>IF(Tabla1[[#This Row],[Fecha]]="","",G792+Tabla1[[#This Row],[ingreso]]-Tabla1[[#This Row],[egreso]])</f>
        <v>6835207.4442999996</v>
      </c>
      <c r="H793" s="7"/>
      <c r="I793" s="7" t="s">
        <v>37</v>
      </c>
      <c r="J793" s="4"/>
    </row>
    <row r="794" spans="1:13" x14ac:dyDescent="0.2">
      <c r="A794">
        <f>COUNTIF($I$2:I794,'[1]Detalle Pilotos'!$G$3)</f>
        <v>0</v>
      </c>
      <c r="B794">
        <f t="shared" si="12"/>
        <v>793</v>
      </c>
      <c r="C794" s="9">
        <v>44663</v>
      </c>
      <c r="D794" s="4" t="s">
        <v>266</v>
      </c>
      <c r="E794" s="8">
        <v>86528</v>
      </c>
      <c r="F794" s="3"/>
      <c r="G794" s="7">
        <f>IF(Tabla1[[#This Row],[Fecha]]="","",G793+Tabla1[[#This Row],[ingreso]]-Tabla1[[#This Row],[egreso]])</f>
        <v>6748679.4442999996</v>
      </c>
      <c r="H794" s="7"/>
      <c r="I794" s="7"/>
      <c r="J794" s="4"/>
    </row>
    <row r="795" spans="1:13" x14ac:dyDescent="0.2">
      <c r="A795">
        <f>COUNTIF($I$2:I795,'[1]Detalle Pilotos'!$G$3)</f>
        <v>0</v>
      </c>
      <c r="B795">
        <f t="shared" si="12"/>
        <v>794</v>
      </c>
      <c r="C795" s="9">
        <v>44664</v>
      </c>
      <c r="D795" s="4" t="s">
        <v>374</v>
      </c>
      <c r="E795" s="8">
        <v>47596</v>
      </c>
      <c r="F795" s="3"/>
      <c r="G795" s="7">
        <f>IF(Tabla1[[#This Row],[Fecha]]="","",G794+Tabla1[[#This Row],[ingreso]]-Tabla1[[#This Row],[egreso]])</f>
        <v>6701083.4442999996</v>
      </c>
      <c r="H795" s="7"/>
      <c r="I795" s="7"/>
      <c r="J795" s="4"/>
    </row>
    <row r="796" spans="1:13" x14ac:dyDescent="0.2">
      <c r="A796">
        <f>COUNTIF($I$2:I796,'[1]Detalle Pilotos'!$G$3)</f>
        <v>0</v>
      </c>
      <c r="B796">
        <f t="shared" si="12"/>
        <v>795</v>
      </c>
      <c r="C796" s="9">
        <v>44664</v>
      </c>
      <c r="D796" s="4" t="s">
        <v>375</v>
      </c>
      <c r="E796" s="8">
        <v>133400</v>
      </c>
      <c r="F796" s="3"/>
      <c r="G796" s="7">
        <f>IF(Tabla1[[#This Row],[Fecha]]="","",G795+Tabla1[[#This Row],[ingreso]]-Tabla1[[#This Row],[egreso]])</f>
        <v>6567683.4442999996</v>
      </c>
      <c r="H796" s="7"/>
      <c r="I796" s="7"/>
      <c r="J796" s="4"/>
    </row>
    <row r="797" spans="1:13" x14ac:dyDescent="0.2">
      <c r="A797">
        <f>COUNTIF($I$2:I797,'[1]Detalle Pilotos'!$G$3)</f>
        <v>0</v>
      </c>
      <c r="B797">
        <f t="shared" si="12"/>
        <v>796</v>
      </c>
      <c r="C797" s="9">
        <v>44664</v>
      </c>
      <c r="D797" s="4" t="s">
        <v>186</v>
      </c>
      <c r="E797" s="8"/>
      <c r="F797" s="3">
        <v>326000</v>
      </c>
      <c r="G797" s="7">
        <f>IF(Tabla1[[#This Row],[Fecha]]="","",G796+Tabla1[[#This Row],[ingreso]]-Tabla1[[#This Row],[egreso]])</f>
        <v>6893683.4442999996</v>
      </c>
      <c r="H797" s="7"/>
      <c r="I797" s="7" t="s">
        <v>187</v>
      </c>
      <c r="J797" s="4"/>
    </row>
    <row r="798" spans="1:13" x14ac:dyDescent="0.2">
      <c r="A798">
        <f>COUNTIF($I$2:I798,'[1]Detalle Pilotos'!$G$3)</f>
        <v>0</v>
      </c>
      <c r="B798">
        <f t="shared" si="12"/>
        <v>797</v>
      </c>
      <c r="C798" s="9">
        <v>44670</v>
      </c>
      <c r="D798" s="4" t="s">
        <v>237</v>
      </c>
      <c r="E798" s="8"/>
      <c r="F798" s="3">
        <v>4814100</v>
      </c>
      <c r="G798" s="7">
        <f>IF(Tabla1[[#This Row],[Fecha]]="","",G797+Tabla1[[#This Row],[ingreso]]-Tabla1[[#This Row],[egreso]])</f>
        <v>11707783.4443</v>
      </c>
      <c r="H798" s="7">
        <v>6000</v>
      </c>
      <c r="I798" s="7" t="s">
        <v>329</v>
      </c>
      <c r="J798" s="4"/>
      <c r="K798">
        <f>Tabla1[[#This Row],[ingreso]]/Tabla1[[#This Row],[Tipo]]</f>
        <v>802.35</v>
      </c>
    </row>
    <row r="799" spans="1:13" x14ac:dyDescent="0.2">
      <c r="A799">
        <f>COUNTIF($I$2:I799,'[1]Detalle Pilotos'!$G$3)</f>
        <v>0</v>
      </c>
      <c r="B799">
        <f t="shared" si="12"/>
        <v>798</v>
      </c>
      <c r="C799" s="9">
        <v>44671</v>
      </c>
      <c r="D799" s="4" t="s">
        <v>374</v>
      </c>
      <c r="E799" s="8">
        <v>301712</v>
      </c>
      <c r="F799" s="3"/>
      <c r="G799" s="7">
        <f>IF(Tabla1[[#This Row],[Fecha]]="","",G798+Tabla1[[#This Row],[ingreso]]-Tabla1[[#This Row],[egreso]])</f>
        <v>11406071.4443</v>
      </c>
      <c r="H799" s="7"/>
      <c r="I799" s="7"/>
      <c r="J799" s="4"/>
    </row>
    <row r="800" spans="1:13" x14ac:dyDescent="0.2">
      <c r="A800">
        <f>COUNTIF($I$2:I800,'[1]Detalle Pilotos'!$G$3)</f>
        <v>0</v>
      </c>
      <c r="B800">
        <f t="shared" si="12"/>
        <v>799</v>
      </c>
      <c r="C800" s="9">
        <v>44671</v>
      </c>
      <c r="D800" s="4" t="s">
        <v>376</v>
      </c>
      <c r="E800" s="8">
        <v>3876281</v>
      </c>
      <c r="F800" s="3"/>
      <c r="G800" s="7">
        <f>IF(Tabla1[[#This Row],[Fecha]]="","",G799+Tabla1[[#This Row],[ingreso]]-Tabla1[[#This Row],[egreso]])</f>
        <v>7529790.4442999996</v>
      </c>
      <c r="H800" s="7"/>
      <c r="I800" s="7"/>
      <c r="J800" s="4"/>
    </row>
    <row r="801" spans="1:11" x14ac:dyDescent="0.2">
      <c r="A801">
        <f>COUNTIF($I$2:I801,'[1]Detalle Pilotos'!$G$3)</f>
        <v>0</v>
      </c>
      <c r="B801">
        <f t="shared" si="12"/>
        <v>800</v>
      </c>
      <c r="C801" s="9">
        <v>44672</v>
      </c>
      <c r="D801" s="4" t="s">
        <v>130</v>
      </c>
      <c r="E801" s="8">
        <v>2480155</v>
      </c>
      <c r="F801" s="3"/>
      <c r="G801" s="7">
        <f>IF(Tabla1[[#This Row],[Fecha]]="","",G800+Tabla1[[#This Row],[ingreso]]-Tabla1[[#This Row],[egreso]])</f>
        <v>5049635.4442999996</v>
      </c>
      <c r="H801" s="7"/>
      <c r="I801" s="7"/>
      <c r="J801" s="4"/>
    </row>
    <row r="802" spans="1:11" x14ac:dyDescent="0.2">
      <c r="A802">
        <f>COUNTIF($I$2:I802,'[1]Detalle Pilotos'!$G$3)</f>
        <v>0</v>
      </c>
      <c r="B802">
        <f t="shared" si="12"/>
        <v>801</v>
      </c>
      <c r="C802" s="9">
        <v>44673</v>
      </c>
      <c r="D802" s="4" t="s">
        <v>237</v>
      </c>
      <c r="E802" s="8"/>
      <c r="F802" s="3">
        <v>4897800</v>
      </c>
      <c r="G802" s="7">
        <f>IF(Tabla1[[#This Row],[Fecha]]="","",G801+Tabla1[[#This Row],[ingreso]]-Tabla1[[#This Row],[egreso]])</f>
        <v>9947435.4442999996</v>
      </c>
      <c r="H802" s="7">
        <v>6000</v>
      </c>
      <c r="I802" s="7" t="s">
        <v>329</v>
      </c>
      <c r="J802" s="4"/>
      <c r="K802">
        <f>Tabla1[[#This Row],[ingreso]]/Tabla1[[#This Row],[Tipo]]</f>
        <v>816.3</v>
      </c>
    </row>
    <row r="803" spans="1:11" x14ac:dyDescent="0.2">
      <c r="A803">
        <f>COUNTIF($I$2:I803,'[1]Detalle Pilotos'!$G$3)</f>
        <v>0</v>
      </c>
      <c r="B803">
        <f t="shared" si="12"/>
        <v>802</v>
      </c>
      <c r="C803" s="25">
        <v>44674</v>
      </c>
      <c r="D803" s="26" t="s">
        <v>15</v>
      </c>
      <c r="E803" s="27"/>
      <c r="F803" s="28">
        <v>-1000000</v>
      </c>
      <c r="G803" s="29">
        <f>IF(Tabla1[[#This Row],[Fecha]]="","",G802+Tabla1[[#This Row],[ingreso]]-Tabla1[[#This Row],[egreso]])</f>
        <v>8947435.4442999996</v>
      </c>
      <c r="H803" s="29"/>
      <c r="I803" s="29" t="s">
        <v>16</v>
      </c>
      <c r="J803" s="26"/>
    </row>
    <row r="804" spans="1:11" x14ac:dyDescent="0.2">
      <c r="A804">
        <f>COUNTIF($I$2:I804,'[1]Detalle Pilotos'!$G$3)</f>
        <v>0</v>
      </c>
      <c r="B804">
        <f t="shared" si="12"/>
        <v>803</v>
      </c>
      <c r="C804" s="9">
        <v>44677</v>
      </c>
      <c r="D804" s="4" t="s">
        <v>53</v>
      </c>
      <c r="E804" s="8"/>
      <c r="F804" s="3">
        <v>50797</v>
      </c>
      <c r="G804" s="7">
        <f>IF(Tabla1[[#This Row],[Fecha]]="","",G803+Tabla1[[#This Row],[ingreso]]-Tabla1[[#This Row],[egreso]])</f>
        <v>8998232.4442999996</v>
      </c>
      <c r="H804" s="7"/>
      <c r="I804" s="7" t="s">
        <v>54</v>
      </c>
      <c r="J804" s="4"/>
    </row>
    <row r="805" spans="1:11" x14ac:dyDescent="0.2">
      <c r="A805">
        <f>COUNTIF($I$2:I805,'[1]Detalle Pilotos'!$G$3)</f>
        <v>0</v>
      </c>
      <c r="B805">
        <f t="shared" si="12"/>
        <v>804</v>
      </c>
      <c r="C805" s="9">
        <v>44677</v>
      </c>
      <c r="D805" s="4" t="s">
        <v>200</v>
      </c>
      <c r="E805" s="8"/>
      <c r="F805" s="3">
        <v>274268</v>
      </c>
      <c r="G805" s="7">
        <f>IF(Tabla1[[#This Row],[Fecha]]="","",G804+Tabla1[[#This Row],[ingreso]]-Tabla1[[#This Row],[egreso]])</f>
        <v>9272500.4442999996</v>
      </c>
      <c r="H805" s="7"/>
      <c r="I805" s="7" t="s">
        <v>201</v>
      </c>
      <c r="J805" s="4"/>
    </row>
    <row r="806" spans="1:11" x14ac:dyDescent="0.2">
      <c r="A806">
        <f>COUNTIF($I$2:I806,'[1]Detalle Pilotos'!$G$3)</f>
        <v>0</v>
      </c>
      <c r="B806">
        <f t="shared" si="12"/>
        <v>805</v>
      </c>
      <c r="C806" s="9">
        <v>44678</v>
      </c>
      <c r="D806" s="4" t="s">
        <v>237</v>
      </c>
      <c r="E806" s="8"/>
      <c r="F806" s="3">
        <v>4173250</v>
      </c>
      <c r="G806" s="7">
        <f>IF(Tabla1[[#This Row],[Fecha]]="","",G805+Tabla1[[#This Row],[ingreso]]-Tabla1[[#This Row],[egreso]])</f>
        <v>13445750.4443</v>
      </c>
      <c r="H806" s="7">
        <v>5000</v>
      </c>
      <c r="I806" s="7" t="s">
        <v>329</v>
      </c>
      <c r="J806" s="4"/>
      <c r="K806">
        <f>Tabla1[[#This Row],[ingreso]]/Tabla1[[#This Row],[Tipo]]</f>
        <v>834.65</v>
      </c>
    </row>
    <row r="807" spans="1:11" x14ac:dyDescent="0.2">
      <c r="A807">
        <f>COUNTIF($I$2:I807,'[1]Detalle Pilotos'!$G$3)</f>
        <v>0</v>
      </c>
      <c r="B807">
        <f t="shared" si="12"/>
        <v>806</v>
      </c>
      <c r="C807" s="9">
        <v>44678</v>
      </c>
      <c r="D807" s="4" t="s">
        <v>204</v>
      </c>
      <c r="E807" s="8"/>
      <c r="F807" s="3">
        <v>111036</v>
      </c>
      <c r="G807" s="7">
        <f>IF(Tabla1[[#This Row],[Fecha]]="","",G806+Tabla1[[#This Row],[ingreso]]-Tabla1[[#This Row],[egreso]])</f>
        <v>13556786.4443</v>
      </c>
      <c r="H807" s="7"/>
      <c r="I807" s="7" t="s">
        <v>182</v>
      </c>
      <c r="J807" s="4"/>
    </row>
    <row r="808" spans="1:11" x14ac:dyDescent="0.2">
      <c r="A808">
        <f>COUNTIF($I$2:I808,'[1]Detalle Pilotos'!$G$3)</f>
        <v>0</v>
      </c>
      <c r="B808">
        <f t="shared" si="12"/>
        <v>807</v>
      </c>
      <c r="C808" s="9">
        <v>44679</v>
      </c>
      <c r="D808" s="4" t="s">
        <v>266</v>
      </c>
      <c r="E808" s="8">
        <v>68224</v>
      </c>
      <c r="F808" s="3"/>
      <c r="G808" s="7">
        <f>IF(Tabla1[[#This Row],[Fecha]]="","",G807+Tabla1[[#This Row],[ingreso]]-Tabla1[[#This Row],[egreso]])</f>
        <v>13488562.4443</v>
      </c>
      <c r="H808" s="7"/>
      <c r="I808" s="7"/>
      <c r="J808" s="4"/>
    </row>
    <row r="809" spans="1:11" x14ac:dyDescent="0.2">
      <c r="A809">
        <f>COUNTIF($I$2:I809,'[1]Detalle Pilotos'!$G$3)</f>
        <v>0</v>
      </c>
      <c r="B809">
        <f t="shared" si="12"/>
        <v>808</v>
      </c>
      <c r="C809" s="9">
        <v>44679</v>
      </c>
      <c r="D809" s="4" t="s">
        <v>377</v>
      </c>
      <c r="E809" s="8">
        <v>169835</v>
      </c>
      <c r="F809" s="3"/>
      <c r="G809" s="7">
        <f>IF(Tabla1[[#This Row],[Fecha]]="","",G808+Tabla1[[#This Row],[ingreso]]-Tabla1[[#This Row],[egreso]])</f>
        <v>13318727.4443</v>
      </c>
      <c r="H809" s="7"/>
      <c r="I809" s="7"/>
      <c r="J809" s="4"/>
      <c r="K809">
        <f>(4*29000)+53835</f>
        <v>169835</v>
      </c>
    </row>
    <row r="810" spans="1:11" x14ac:dyDescent="0.2">
      <c r="A810">
        <f>COUNTIF($I$2:I810,'[1]Detalle Pilotos'!$G$3)</f>
        <v>0</v>
      </c>
      <c r="B810">
        <f t="shared" si="12"/>
        <v>809</v>
      </c>
      <c r="C810" s="9">
        <v>44680</v>
      </c>
      <c r="D810" s="4" t="s">
        <v>29</v>
      </c>
      <c r="E810" s="8">
        <v>390000</v>
      </c>
      <c r="F810" s="3"/>
      <c r="G810" s="7">
        <f>IF(Tabla1[[#This Row],[Fecha]]="","",G809+Tabla1[[#This Row],[ingreso]]-Tabla1[[#This Row],[egreso]])</f>
        <v>12928727.4443</v>
      </c>
      <c r="H810" s="7" t="s">
        <v>34</v>
      </c>
      <c r="I810" s="7"/>
      <c r="J810" s="4"/>
    </row>
    <row r="811" spans="1:11" x14ac:dyDescent="0.2">
      <c r="A811">
        <f>COUNTIF($I$2:I811,'[1]Detalle Pilotos'!$G$3)</f>
        <v>0</v>
      </c>
      <c r="B811">
        <f t="shared" si="12"/>
        <v>810</v>
      </c>
      <c r="C811" s="9">
        <v>44683</v>
      </c>
      <c r="D811" s="4" t="s">
        <v>258</v>
      </c>
      <c r="E811" s="8"/>
      <c r="F811" s="3">
        <v>80000</v>
      </c>
      <c r="G811" s="7">
        <f>IF(Tabla1[[#This Row],[Fecha]]="","",G810+Tabla1[[#This Row],[ingreso]]-Tabla1[[#This Row],[egreso]])</f>
        <v>13008727.4443</v>
      </c>
      <c r="H811" s="7"/>
      <c r="I811" s="7" t="s">
        <v>259</v>
      </c>
      <c r="J811" s="4"/>
    </row>
    <row r="812" spans="1:11" x14ac:dyDescent="0.2">
      <c r="A812">
        <f>COUNTIF($I$2:I812,'[1]Detalle Pilotos'!$G$3)</f>
        <v>0</v>
      </c>
      <c r="B812">
        <f t="shared" si="12"/>
        <v>811</v>
      </c>
      <c r="C812" s="9">
        <v>44684</v>
      </c>
      <c r="D812" s="4" t="s">
        <v>258</v>
      </c>
      <c r="E812" s="8"/>
      <c r="F812" s="3">
        <v>280000</v>
      </c>
      <c r="G812" s="7">
        <f>IF(Tabla1[[#This Row],[Fecha]]="","",G811+Tabla1[[#This Row],[ingreso]]-Tabla1[[#This Row],[egreso]])</f>
        <v>13288727.4443</v>
      </c>
      <c r="H812" s="7"/>
      <c r="I812" s="7" t="s">
        <v>259</v>
      </c>
      <c r="J812" s="4"/>
    </row>
    <row r="813" spans="1:11" x14ac:dyDescent="0.2">
      <c r="A813">
        <f>COUNTIF($I$2:I813,'[1]Detalle Pilotos'!$G$3)</f>
        <v>0</v>
      </c>
      <c r="B813">
        <f t="shared" si="12"/>
        <v>812</v>
      </c>
      <c r="C813" s="9">
        <v>44684</v>
      </c>
      <c r="D813" s="4" t="s">
        <v>157</v>
      </c>
      <c r="E813" s="8"/>
      <c r="F813" s="3">
        <v>117000</v>
      </c>
      <c r="G813" s="7">
        <f>IF(Tabla1[[#This Row],[Fecha]]="","",G812+Tabla1[[#This Row],[ingreso]]-Tabla1[[#This Row],[egreso]])</f>
        <v>13405727.4443</v>
      </c>
      <c r="H813" s="7"/>
      <c r="I813" s="7" t="s">
        <v>158</v>
      </c>
      <c r="J813" s="4"/>
    </row>
    <row r="814" spans="1:11" x14ac:dyDescent="0.2">
      <c r="A814">
        <f>COUNTIF($I$2:I814,'[1]Detalle Pilotos'!$G$3)</f>
        <v>0</v>
      </c>
      <c r="B814">
        <f t="shared" si="12"/>
        <v>813</v>
      </c>
      <c r="C814" s="9">
        <v>44685</v>
      </c>
      <c r="D814" s="4" t="s">
        <v>256</v>
      </c>
      <c r="E814" s="8">
        <v>145740</v>
      </c>
      <c r="F814" s="3"/>
      <c r="G814" s="7">
        <f>IF(Tabla1[[#This Row],[Fecha]]="","",G813+Tabla1[[#This Row],[ingreso]]-Tabla1[[#This Row],[egreso]])</f>
        <v>13259987.4443</v>
      </c>
      <c r="H814" s="7"/>
      <c r="I814" s="7"/>
      <c r="J814" s="4"/>
    </row>
    <row r="815" spans="1:11" x14ac:dyDescent="0.2">
      <c r="A815">
        <f>COUNTIF($I$2:I815,'[1]Detalle Pilotos'!$G$3)</f>
        <v>0</v>
      </c>
      <c r="B815">
        <f t="shared" si="12"/>
        <v>814</v>
      </c>
      <c r="C815" s="9">
        <v>44685</v>
      </c>
      <c r="D815" s="4" t="s">
        <v>141</v>
      </c>
      <c r="E815" s="8">
        <v>284510</v>
      </c>
      <c r="F815" s="3"/>
      <c r="G815" s="7">
        <f>IF(Tabla1[[#This Row],[Fecha]]="","",G814+Tabla1[[#This Row],[ingreso]]-Tabla1[[#This Row],[egreso]])</f>
        <v>12975477.4443</v>
      </c>
      <c r="H815" s="7" t="s">
        <v>43</v>
      </c>
      <c r="I815" s="7"/>
      <c r="J815" s="4"/>
    </row>
    <row r="816" spans="1:11" x14ac:dyDescent="0.2">
      <c r="A816">
        <f>COUNTIF($I$2:I816,'[1]Detalle Pilotos'!$G$3)</f>
        <v>0</v>
      </c>
      <c r="B816">
        <f t="shared" si="12"/>
        <v>815</v>
      </c>
      <c r="C816" s="9">
        <v>44691</v>
      </c>
      <c r="D816" s="4" t="s">
        <v>63</v>
      </c>
      <c r="E816" s="8"/>
      <c r="F816" s="3">
        <v>75000</v>
      </c>
      <c r="G816" s="7">
        <f>IF(Tabla1[[#This Row],[Fecha]]="","",G815+Tabla1[[#This Row],[ingreso]]-Tabla1[[#This Row],[egreso]])</f>
        <v>13050477.4443</v>
      </c>
      <c r="H816" s="7"/>
      <c r="I816" s="7" t="s">
        <v>64</v>
      </c>
      <c r="J816" s="4"/>
    </row>
    <row r="817" spans="1:10" x14ac:dyDescent="0.2">
      <c r="A817">
        <f>COUNTIF($I$2:I817,'[1]Detalle Pilotos'!$G$3)</f>
        <v>0</v>
      </c>
      <c r="B817">
        <f t="shared" si="12"/>
        <v>816</v>
      </c>
      <c r="C817" s="9">
        <v>44692</v>
      </c>
      <c r="D817" s="4" t="s">
        <v>378</v>
      </c>
      <c r="E817" s="8">
        <v>116000</v>
      </c>
      <c r="F817" s="3"/>
      <c r="G817" s="7">
        <f>IF(Tabla1[[#This Row],[Fecha]]="","",G816+Tabla1[[#This Row],[ingreso]]-Tabla1[[#This Row],[egreso]])</f>
        <v>12934477.4443</v>
      </c>
      <c r="H817" s="7"/>
      <c r="I817" s="7"/>
      <c r="J817" s="4"/>
    </row>
    <row r="818" spans="1:10" x14ac:dyDescent="0.2">
      <c r="A818">
        <f>COUNTIF($I$2:I818,'[1]Detalle Pilotos'!$G$3)</f>
        <v>0</v>
      </c>
      <c r="B818">
        <f t="shared" si="12"/>
        <v>817</v>
      </c>
      <c r="C818" s="9">
        <v>44694</v>
      </c>
      <c r="D818" s="4" t="s">
        <v>379</v>
      </c>
      <c r="E818" s="8">
        <v>3072847</v>
      </c>
      <c r="F818" s="3"/>
      <c r="G818" s="7">
        <f>IF(Tabla1[[#This Row],[Fecha]]="","",G817+Tabla1[[#This Row],[ingreso]]-Tabla1[[#This Row],[egreso]])</f>
        <v>9861630.4442999996</v>
      </c>
      <c r="H818" s="7"/>
      <c r="I818" s="7"/>
      <c r="J818" s="4"/>
    </row>
    <row r="819" spans="1:10" x14ac:dyDescent="0.2">
      <c r="A819">
        <f>COUNTIF($I$2:I819,'[1]Detalle Pilotos'!$G$3)</f>
        <v>0</v>
      </c>
      <c r="B819">
        <f t="shared" si="12"/>
        <v>818</v>
      </c>
      <c r="C819" s="9">
        <v>44694</v>
      </c>
      <c r="D819" s="4" t="s">
        <v>380</v>
      </c>
      <c r="E819" s="8">
        <v>174000</v>
      </c>
      <c r="F819" s="3"/>
      <c r="G819" s="7">
        <f>IF(Tabla1[[#This Row],[Fecha]]="","",G818+Tabla1[[#This Row],[ingreso]]-Tabla1[[#This Row],[egreso]])</f>
        <v>9687630.4442999996</v>
      </c>
      <c r="H819" s="7"/>
      <c r="I819" s="7"/>
      <c r="J819" s="4"/>
    </row>
    <row r="820" spans="1:10" x14ac:dyDescent="0.2">
      <c r="A820">
        <f>COUNTIF($I$2:I820,'[1]Detalle Pilotos'!$G$3)</f>
        <v>0</v>
      </c>
      <c r="B820">
        <f t="shared" si="12"/>
        <v>819</v>
      </c>
      <c r="C820" s="9">
        <v>44694</v>
      </c>
      <c r="D820" s="4" t="s">
        <v>374</v>
      </c>
      <c r="E820" s="8">
        <v>48386</v>
      </c>
      <c r="F820" s="3"/>
      <c r="G820" s="7">
        <f>IF(Tabla1[[#This Row],[Fecha]]="","",G819+Tabla1[[#This Row],[ingreso]]-Tabla1[[#This Row],[egreso]])</f>
        <v>9639244.4442999996</v>
      </c>
      <c r="H820" s="7" t="s">
        <v>18</v>
      </c>
      <c r="I820" s="7"/>
      <c r="J820" s="4"/>
    </row>
    <row r="821" spans="1:10" x14ac:dyDescent="0.2">
      <c r="A821">
        <f>COUNTIF($I$2:I821,'[1]Detalle Pilotos'!$G$3)</f>
        <v>0</v>
      </c>
      <c r="B821">
        <f t="shared" si="12"/>
        <v>820</v>
      </c>
      <c r="C821" s="9">
        <v>44696</v>
      </c>
      <c r="D821" s="4" t="s">
        <v>258</v>
      </c>
      <c r="E821" s="8"/>
      <c r="F821" s="3">
        <v>224500</v>
      </c>
      <c r="G821" s="7">
        <f>IF(Tabla1[[#This Row],[Fecha]]="","",G820+Tabla1[[#This Row],[ingreso]]-Tabla1[[#This Row],[egreso]])</f>
        <v>9863744.4442999996</v>
      </c>
      <c r="H821" s="7"/>
      <c r="I821" s="7" t="s">
        <v>259</v>
      </c>
      <c r="J821" s="4"/>
    </row>
    <row r="822" spans="1:10" x14ac:dyDescent="0.2">
      <c r="A822">
        <f>COUNTIF($I$2:I822,'[1]Detalle Pilotos'!$G$3)</f>
        <v>0</v>
      </c>
      <c r="B822">
        <f t="shared" si="12"/>
        <v>821</v>
      </c>
      <c r="C822" s="9">
        <v>44696</v>
      </c>
      <c r="D822" s="4" t="s">
        <v>266</v>
      </c>
      <c r="E822" s="8">
        <v>165693</v>
      </c>
      <c r="F822" s="3"/>
      <c r="G822" s="7">
        <f>IF(Tabla1[[#This Row],[Fecha]]="","",G821+Tabla1[[#This Row],[ingreso]]-Tabla1[[#This Row],[egreso]])</f>
        <v>9698051.4442999996</v>
      </c>
      <c r="H822" s="7"/>
      <c r="I822" s="7"/>
      <c r="J822" s="4"/>
    </row>
    <row r="823" spans="1:10" x14ac:dyDescent="0.2">
      <c r="A823">
        <f>COUNTIF($I$2:I823,'[1]Detalle Pilotos'!$G$3)</f>
        <v>0</v>
      </c>
      <c r="B823">
        <f t="shared" si="12"/>
        <v>822</v>
      </c>
      <c r="C823" s="9">
        <v>44696</v>
      </c>
      <c r="D823" s="4" t="s">
        <v>381</v>
      </c>
      <c r="E823" s="8">
        <v>145440</v>
      </c>
      <c r="F823" s="3"/>
      <c r="G823" s="7">
        <f>IF(Tabla1[[#This Row],[Fecha]]="","",G822+Tabla1[[#This Row],[ingreso]]-Tabla1[[#This Row],[egreso]])</f>
        <v>9552611.4442999996</v>
      </c>
      <c r="H823" s="7"/>
      <c r="I823" s="7"/>
      <c r="J823" s="4"/>
    </row>
    <row r="824" spans="1:10" x14ac:dyDescent="0.2">
      <c r="A824">
        <f>COUNTIF($I$2:I824,'[1]Detalle Pilotos'!$G$3)</f>
        <v>0</v>
      </c>
      <c r="B824">
        <f t="shared" si="12"/>
        <v>823</v>
      </c>
      <c r="C824" s="9">
        <v>44700</v>
      </c>
      <c r="D824" s="4" t="s">
        <v>178</v>
      </c>
      <c r="E824" s="8"/>
      <c r="F824" s="3">
        <v>266000</v>
      </c>
      <c r="G824" s="7">
        <f>IF(Tabla1[[#This Row],[Fecha]]="","",G823+Tabla1[[#This Row],[ingreso]]-Tabla1[[#This Row],[egreso]])</f>
        <v>9818611.4442999996</v>
      </c>
      <c r="H824" s="7"/>
      <c r="I824" s="7" t="s">
        <v>179</v>
      </c>
      <c r="J824" s="4"/>
    </row>
    <row r="825" spans="1:10" x14ac:dyDescent="0.2">
      <c r="A825">
        <f>COUNTIF($I$2:I825,'[1]Detalle Pilotos'!$G$3)</f>
        <v>0</v>
      </c>
      <c r="B825">
        <f t="shared" si="12"/>
        <v>824</v>
      </c>
      <c r="C825" s="9">
        <v>44703</v>
      </c>
      <c r="D825" s="4" t="s">
        <v>53</v>
      </c>
      <c r="E825" s="8"/>
      <c r="F825" s="3">
        <v>103950</v>
      </c>
      <c r="G825" s="7">
        <f>IF(Tabla1[[#This Row],[Fecha]]="","",G824+Tabla1[[#This Row],[ingreso]]-Tabla1[[#This Row],[egreso]])</f>
        <v>9922561.4442999996</v>
      </c>
      <c r="H825" s="7"/>
      <c r="I825" s="7" t="s">
        <v>54</v>
      </c>
      <c r="J825" s="4"/>
    </row>
    <row r="826" spans="1:10" x14ac:dyDescent="0.2">
      <c r="A826">
        <f>COUNTIF($I$2:I826,'[1]Detalle Pilotos'!$G$3)</f>
        <v>0</v>
      </c>
      <c r="B826">
        <f t="shared" si="12"/>
        <v>825</v>
      </c>
      <c r="C826" s="9">
        <v>44704</v>
      </c>
      <c r="D826" s="4" t="s">
        <v>382</v>
      </c>
      <c r="E826" s="8">
        <v>89400</v>
      </c>
      <c r="F826" s="3"/>
      <c r="G826" s="7">
        <f>IF(Tabla1[[#This Row],[Fecha]]="","",G825+Tabla1[[#This Row],[ingreso]]-Tabla1[[#This Row],[egreso]])</f>
        <v>9833161.4442999996</v>
      </c>
      <c r="H826" s="7"/>
      <c r="I826" s="7"/>
      <c r="J826" s="4"/>
    </row>
    <row r="827" spans="1:10" x14ac:dyDescent="0.2">
      <c r="A827">
        <f>COUNTIF($I$2:I827,'[1]Detalle Pilotos'!$G$3)</f>
        <v>0</v>
      </c>
      <c r="B827">
        <f t="shared" si="12"/>
        <v>826</v>
      </c>
      <c r="C827" s="9">
        <v>44712</v>
      </c>
      <c r="D827" s="4" t="s">
        <v>383</v>
      </c>
      <c r="E827" s="8">
        <v>124551</v>
      </c>
      <c r="F827" s="3"/>
      <c r="G827" s="7">
        <f>IF(Tabla1[[#This Row],[Fecha]]="","",G826+Tabla1[[#This Row],[ingreso]]-Tabla1[[#This Row],[egreso]])</f>
        <v>9708610.4442999996</v>
      </c>
      <c r="H827" s="7"/>
      <c r="I827" s="7"/>
      <c r="J827" s="4"/>
    </row>
    <row r="828" spans="1:10" x14ac:dyDescent="0.2">
      <c r="A828">
        <f>COUNTIF($I$2:I828,'[1]Detalle Pilotos'!$G$3)</f>
        <v>0</v>
      </c>
      <c r="B828">
        <f t="shared" si="12"/>
        <v>827</v>
      </c>
      <c r="C828" s="9">
        <v>44713</v>
      </c>
      <c r="D828" s="4" t="s">
        <v>384</v>
      </c>
      <c r="E828" s="8">
        <v>45000</v>
      </c>
      <c r="F828" s="3"/>
      <c r="G828" s="7">
        <f>IF(Tabla1[[#This Row],[Fecha]]="","",G827+Tabla1[[#This Row],[ingreso]]-Tabla1[[#This Row],[egreso]])</f>
        <v>9663610.4442999996</v>
      </c>
      <c r="H828" s="7" t="s">
        <v>34</v>
      </c>
      <c r="I828" s="7"/>
      <c r="J828" s="4"/>
    </row>
    <row r="829" spans="1:10" x14ac:dyDescent="0.2">
      <c r="A829">
        <f>COUNTIF($I$2:I829,'[1]Detalle Pilotos'!$G$3)</f>
        <v>0</v>
      </c>
      <c r="B829">
        <f t="shared" si="12"/>
        <v>828</v>
      </c>
      <c r="C829" s="9">
        <v>44714</v>
      </c>
      <c r="D829" s="4" t="s">
        <v>385</v>
      </c>
      <c r="E829" s="8">
        <v>133400</v>
      </c>
      <c r="F829" s="3"/>
      <c r="G829" s="7">
        <f>IF(Tabla1[[#This Row],[Fecha]]="","",G828+Tabla1[[#This Row],[ingreso]]-Tabla1[[#This Row],[egreso]])</f>
        <v>9530210.4442999996</v>
      </c>
      <c r="H829" s="7"/>
      <c r="I829" s="7"/>
      <c r="J829" s="4"/>
    </row>
    <row r="830" spans="1:10" x14ac:dyDescent="0.2">
      <c r="A830">
        <f>COUNTIF($I$2:I830,'[1]Detalle Pilotos'!$G$3)</f>
        <v>0</v>
      </c>
      <c r="B830">
        <f t="shared" si="12"/>
        <v>829</v>
      </c>
      <c r="C830" s="9">
        <v>44714</v>
      </c>
      <c r="D830" s="4" t="s">
        <v>258</v>
      </c>
      <c r="E830" s="8"/>
      <c r="F830" s="3">
        <v>800000</v>
      </c>
      <c r="G830" s="7">
        <f>IF(Tabla1[[#This Row],[Fecha]]="","",G829+Tabla1[[#This Row],[ingreso]]-Tabla1[[#This Row],[egreso]])</f>
        <v>10330210.4443</v>
      </c>
      <c r="H830" s="7"/>
      <c r="I830" s="7" t="s">
        <v>259</v>
      </c>
      <c r="J830" s="4"/>
    </row>
    <row r="831" spans="1:10" x14ac:dyDescent="0.2">
      <c r="A831">
        <f>COUNTIF($I$2:I831,'[1]Detalle Pilotos'!$G$3)</f>
        <v>0</v>
      </c>
      <c r="B831">
        <f t="shared" si="12"/>
        <v>830</v>
      </c>
      <c r="C831" s="9">
        <v>44714</v>
      </c>
      <c r="D831" s="4" t="s">
        <v>258</v>
      </c>
      <c r="E831" s="8"/>
      <c r="F831" s="3">
        <v>510000</v>
      </c>
      <c r="G831" s="7">
        <f>IF(Tabla1[[#This Row],[Fecha]]="","",G830+Tabla1[[#This Row],[ingreso]]-Tabla1[[#This Row],[egreso]])</f>
        <v>10840210.4443</v>
      </c>
      <c r="H831" s="7"/>
      <c r="I831" s="7" t="s">
        <v>259</v>
      </c>
      <c r="J831" s="4"/>
    </row>
    <row r="832" spans="1:10" x14ac:dyDescent="0.2">
      <c r="A832">
        <f>COUNTIF($I$2:I832,'[1]Detalle Pilotos'!$G$3)</f>
        <v>0</v>
      </c>
      <c r="B832">
        <f t="shared" si="12"/>
        <v>831</v>
      </c>
      <c r="C832" s="9">
        <v>44716</v>
      </c>
      <c r="D832" s="4" t="s">
        <v>386</v>
      </c>
      <c r="E832" s="8">
        <f>856.58*1935</f>
        <v>1657482.3</v>
      </c>
      <c r="F832" s="3"/>
      <c r="G832" s="7">
        <f>IF(Tabla1[[#This Row],[Fecha]]="","",G831+Tabla1[[#This Row],[ingreso]]-Tabla1[[#This Row],[egreso]])</f>
        <v>9182728.1442999989</v>
      </c>
      <c r="H832" s="7"/>
      <c r="I832" s="7"/>
      <c r="J832" s="4"/>
    </row>
    <row r="833" spans="1:11" x14ac:dyDescent="0.2">
      <c r="A833">
        <f>COUNTIF($I$2:I833,'[1]Detalle Pilotos'!$G$3)</f>
        <v>0</v>
      </c>
      <c r="B833">
        <f t="shared" si="12"/>
        <v>832</v>
      </c>
      <c r="C833" s="9">
        <v>44716</v>
      </c>
      <c r="D833" s="4" t="s">
        <v>374</v>
      </c>
      <c r="E833" s="8">
        <v>198631</v>
      </c>
      <c r="F833" s="3"/>
      <c r="G833" s="7">
        <f>IF(Tabla1[[#This Row],[Fecha]]="","",G832+Tabla1[[#This Row],[ingreso]]-Tabla1[[#This Row],[egreso]])</f>
        <v>8984097.1442999989</v>
      </c>
      <c r="H833" s="7" t="s">
        <v>18</v>
      </c>
      <c r="I833" s="7"/>
      <c r="J833" s="4"/>
    </row>
    <row r="834" spans="1:11" x14ac:dyDescent="0.2">
      <c r="A834">
        <f>COUNTIF($I$2:I834,'[1]Detalle Pilotos'!$G$3)</f>
        <v>0</v>
      </c>
      <c r="B834">
        <f t="shared" si="12"/>
        <v>833</v>
      </c>
      <c r="C834" s="9">
        <v>44716</v>
      </c>
      <c r="D834" s="4" t="s">
        <v>387</v>
      </c>
      <c r="E834" s="8">
        <v>288752</v>
      </c>
      <c r="F834" s="3"/>
      <c r="G834" s="7">
        <f>IF(Tabla1[[#This Row],[Fecha]]="","",G833+Tabla1[[#This Row],[ingreso]]-Tabla1[[#This Row],[egreso]])</f>
        <v>8695345.1442999989</v>
      </c>
      <c r="H834" s="7" t="s">
        <v>43</v>
      </c>
      <c r="I834" s="7"/>
      <c r="J834" s="4"/>
    </row>
    <row r="835" spans="1:11" x14ac:dyDescent="0.2">
      <c r="A835">
        <f>COUNTIF($I$2:I835,'[1]Detalle Pilotos'!$G$3)</f>
        <v>0</v>
      </c>
      <c r="B835">
        <f t="shared" si="12"/>
        <v>834</v>
      </c>
      <c r="C835" s="9">
        <v>44718</v>
      </c>
      <c r="D835" s="4" t="s">
        <v>388</v>
      </c>
      <c r="E835" s="8">
        <v>2333316</v>
      </c>
      <c r="F835" s="3"/>
      <c r="G835" s="7">
        <f>IF(Tabla1[[#This Row],[Fecha]]="","",G834+Tabla1[[#This Row],[ingreso]]-Tabla1[[#This Row],[egreso]])</f>
        <v>6362029.1442999989</v>
      </c>
      <c r="H835" s="7"/>
      <c r="I835" s="7"/>
      <c r="J835" s="4"/>
    </row>
    <row r="836" spans="1:11" x14ac:dyDescent="0.2">
      <c r="A836">
        <f>COUNTIF($I$2:I836,'[1]Detalle Pilotos'!$G$3)</f>
        <v>0</v>
      </c>
      <c r="B836">
        <f t="shared" ref="B836:B899" si="13">IF(C836="","",1+B835)</f>
        <v>835</v>
      </c>
      <c r="C836" s="9">
        <v>44716</v>
      </c>
      <c r="D836" s="4" t="s">
        <v>389</v>
      </c>
      <c r="E836" s="8">
        <v>59192</v>
      </c>
      <c r="F836" s="3"/>
      <c r="G836" s="7">
        <f>IF(Tabla1[[#This Row],[Fecha]]="","",G835+Tabla1[[#This Row],[ingreso]]-Tabla1[[#This Row],[egreso]])</f>
        <v>6302837.1442999989</v>
      </c>
      <c r="H836" s="7"/>
      <c r="I836" s="7"/>
      <c r="J836" s="4"/>
    </row>
    <row r="837" spans="1:11" x14ac:dyDescent="0.2">
      <c r="A837">
        <f>COUNTIF($I$2:I837,'[1]Detalle Pilotos'!$G$3)</f>
        <v>0</v>
      </c>
      <c r="B837">
        <f t="shared" si="13"/>
        <v>836</v>
      </c>
      <c r="C837" s="9">
        <v>44716</v>
      </c>
      <c r="D837" s="4" t="s">
        <v>389</v>
      </c>
      <c r="E837" s="8">
        <v>44296</v>
      </c>
      <c r="F837" s="3"/>
      <c r="G837" s="7">
        <f>IF(Tabla1[[#This Row],[Fecha]]="","",G836+Tabla1[[#This Row],[ingreso]]-Tabla1[[#This Row],[egreso]])</f>
        <v>6258541.1442999989</v>
      </c>
      <c r="H837" s="7"/>
      <c r="I837" s="7"/>
      <c r="J837" s="4"/>
      <c r="K837">
        <v>408000</v>
      </c>
    </row>
    <row r="838" spans="1:11" x14ac:dyDescent="0.2">
      <c r="A838">
        <f>COUNTIF($I$2:I838,'[1]Detalle Pilotos'!$G$3)</f>
        <v>0</v>
      </c>
      <c r="B838">
        <f t="shared" si="13"/>
        <v>837</v>
      </c>
      <c r="C838" s="9">
        <v>44716</v>
      </c>
      <c r="D838" s="4" t="s">
        <v>326</v>
      </c>
      <c r="E838" s="8">
        <v>129200</v>
      </c>
      <c r="F838" s="3"/>
      <c r="G838" s="7">
        <f>IF(Tabla1[[#This Row],[Fecha]]="","",G837+Tabla1[[#This Row],[ingreso]]-Tabla1[[#This Row],[egreso]])</f>
        <v>6129341.1442999989</v>
      </c>
      <c r="H838" s="7"/>
      <c r="I838" s="7"/>
      <c r="J838" s="4"/>
      <c r="K838">
        <v>20000</v>
      </c>
    </row>
    <row r="839" spans="1:11" x14ac:dyDescent="0.2">
      <c r="A839">
        <f>COUNTIF($I$2:I839,'[1]Detalle Pilotos'!$G$3)</f>
        <v>0</v>
      </c>
      <c r="B839">
        <f t="shared" si="13"/>
        <v>838</v>
      </c>
      <c r="C839" s="9">
        <v>44718</v>
      </c>
      <c r="D839" s="4" t="s">
        <v>258</v>
      </c>
      <c r="E839" s="8"/>
      <c r="F839" s="3">
        <v>20000</v>
      </c>
      <c r="G839" s="7">
        <f>IF(Tabla1[[#This Row],[Fecha]]="","",G838+Tabla1[[#This Row],[ingreso]]-Tabla1[[#This Row],[egreso]])</f>
        <v>6149341.1442999989</v>
      </c>
      <c r="H839" s="7"/>
      <c r="I839" s="7" t="s">
        <v>259</v>
      </c>
      <c r="J839" s="4"/>
      <c r="K839">
        <v>-113000</v>
      </c>
    </row>
    <row r="840" spans="1:11" x14ac:dyDescent="0.2">
      <c r="A840">
        <f>COUNTIF($I$2:I840,'[1]Detalle Pilotos'!$G$3)</f>
        <v>0</v>
      </c>
      <c r="B840">
        <f t="shared" si="13"/>
        <v>839</v>
      </c>
      <c r="C840" s="9">
        <v>44721</v>
      </c>
      <c r="D840" s="4" t="s">
        <v>266</v>
      </c>
      <c r="E840" s="8">
        <v>23075</v>
      </c>
      <c r="F840" s="3"/>
      <c r="G840" s="7">
        <f>IF(Tabla1[[#This Row],[Fecha]]="","",G839+Tabla1[[#This Row],[ingreso]]-Tabla1[[#This Row],[egreso]])</f>
        <v>6126266.1442999989</v>
      </c>
      <c r="H840" s="7"/>
      <c r="I840" s="7"/>
      <c r="J840" s="4"/>
    </row>
    <row r="841" spans="1:11" x14ac:dyDescent="0.2">
      <c r="A841">
        <f>COUNTIF($I$2:I841,'[1]Detalle Pilotos'!$G$3)</f>
        <v>0</v>
      </c>
      <c r="B841">
        <f t="shared" si="13"/>
        <v>840</v>
      </c>
      <c r="C841" s="9">
        <v>44721</v>
      </c>
      <c r="D841" s="4" t="s">
        <v>390</v>
      </c>
      <c r="E841" s="8">
        <v>250000</v>
      </c>
      <c r="F841" s="3"/>
      <c r="G841" s="7">
        <f>IF(Tabla1[[#This Row],[Fecha]]="","",G840+Tabla1[[#This Row],[ingreso]]-Tabla1[[#This Row],[egreso]])</f>
        <v>5876266.1442999989</v>
      </c>
      <c r="H841" s="7"/>
      <c r="I841" s="7"/>
      <c r="J841" s="4"/>
      <c r="K841">
        <f>SUM(K837:K839)</f>
        <v>315000</v>
      </c>
    </row>
    <row r="842" spans="1:11" x14ac:dyDescent="0.2">
      <c r="A842">
        <f>COUNTIF($I$2:I842,'[1]Detalle Pilotos'!$G$3)</f>
        <v>0</v>
      </c>
      <c r="B842">
        <f t="shared" si="13"/>
        <v>841</v>
      </c>
      <c r="C842" s="9">
        <v>44722</v>
      </c>
      <c r="D842" s="4" t="s">
        <v>390</v>
      </c>
      <c r="E842" s="8">
        <v>1339912</v>
      </c>
      <c r="F842" s="3"/>
      <c r="G842" s="7">
        <f>IF(Tabla1[[#This Row],[Fecha]]="","",G841+Tabla1[[#This Row],[ingreso]]-Tabla1[[#This Row],[egreso]])</f>
        <v>4536354.1442999989</v>
      </c>
      <c r="H842" s="7"/>
      <c r="I842" s="7"/>
      <c r="J842" s="4"/>
      <c r="K842">
        <v>-168335</v>
      </c>
    </row>
    <row r="843" spans="1:11" x14ac:dyDescent="0.2">
      <c r="A843">
        <f>COUNTIF($I$2:I843,'[1]Detalle Pilotos'!$G$3)</f>
        <v>0</v>
      </c>
      <c r="B843">
        <f t="shared" si="13"/>
        <v>842</v>
      </c>
      <c r="C843" s="9">
        <v>44723</v>
      </c>
      <c r="D843" s="4" t="s">
        <v>374</v>
      </c>
      <c r="E843" s="8">
        <v>49085</v>
      </c>
      <c r="F843" s="3"/>
      <c r="G843" s="7">
        <f>IF(Tabla1[[#This Row],[Fecha]]="","",G842+Tabla1[[#This Row],[ingreso]]-Tabla1[[#This Row],[egreso]])</f>
        <v>4487269.1442999989</v>
      </c>
      <c r="H843" s="7"/>
      <c r="I843" s="7"/>
      <c r="J843" s="4"/>
    </row>
    <row r="844" spans="1:11" x14ac:dyDescent="0.2">
      <c r="A844">
        <f>COUNTIF($I$2:I844,'[1]Detalle Pilotos'!$G$3)</f>
        <v>0</v>
      </c>
      <c r="B844">
        <f t="shared" si="13"/>
        <v>843</v>
      </c>
      <c r="C844" s="9">
        <v>44726</v>
      </c>
      <c r="D844" s="4" t="s">
        <v>258</v>
      </c>
      <c r="E844" s="8"/>
      <c r="F844" s="3">
        <v>478500</v>
      </c>
      <c r="G844" s="7">
        <f>IF(Tabla1[[#This Row],[Fecha]]="","",G843+Tabla1[[#This Row],[ingreso]]-Tabla1[[#This Row],[egreso]])</f>
        <v>4965769.1442999989</v>
      </c>
      <c r="H844" s="7"/>
      <c r="I844" s="7" t="s">
        <v>259</v>
      </c>
      <c r="J844" s="4"/>
    </row>
    <row r="845" spans="1:11" x14ac:dyDescent="0.2">
      <c r="A845">
        <f>COUNTIF($I$2:I845,'[1]Detalle Pilotos'!$G$3)</f>
        <v>0</v>
      </c>
      <c r="B845">
        <f t="shared" si="13"/>
        <v>844</v>
      </c>
      <c r="C845" s="9">
        <v>44729</v>
      </c>
      <c r="D845" s="4" t="s">
        <v>391</v>
      </c>
      <c r="E845" s="8">
        <v>145000</v>
      </c>
      <c r="F845" s="3"/>
      <c r="G845" s="7">
        <f>IF(Tabla1[[#This Row],[Fecha]]="","",G844+Tabla1[[#This Row],[ingreso]]-Tabla1[[#This Row],[egreso]])</f>
        <v>4820769.1442999989</v>
      </c>
      <c r="H845" s="7"/>
      <c r="I845" s="7"/>
      <c r="J845" s="4"/>
    </row>
    <row r="846" spans="1:11" x14ac:dyDescent="0.2">
      <c r="A846">
        <f>COUNTIF($I$2:I846,'[1]Detalle Pilotos'!$G$3)</f>
        <v>0</v>
      </c>
      <c r="B846">
        <f t="shared" si="13"/>
        <v>845</v>
      </c>
      <c r="C846" s="9">
        <v>44732</v>
      </c>
      <c r="D846" s="4" t="s">
        <v>392</v>
      </c>
      <c r="E846" s="8">
        <v>1799687</v>
      </c>
      <c r="F846" s="3"/>
      <c r="G846" s="7">
        <f>IF(Tabla1[[#This Row],[Fecha]]="","",G845+Tabla1[[#This Row],[ingreso]]-Tabla1[[#This Row],[egreso]])</f>
        <v>3021082.1442999989</v>
      </c>
      <c r="H846" s="7"/>
      <c r="I846" s="7"/>
      <c r="J846" s="4"/>
    </row>
    <row r="847" spans="1:11" x14ac:dyDescent="0.2">
      <c r="A847">
        <f>COUNTIF($I$2:I847,'[1]Detalle Pilotos'!$G$3)</f>
        <v>0</v>
      </c>
      <c r="B847">
        <f t="shared" si="13"/>
        <v>846</v>
      </c>
      <c r="C847" s="9">
        <v>44732</v>
      </c>
      <c r="D847" s="4" t="s">
        <v>237</v>
      </c>
      <c r="E847" s="8"/>
      <c r="F847" s="3">
        <v>1729100</v>
      </c>
      <c r="G847" s="7">
        <f>IF(Tabla1[[#This Row],[Fecha]]="","",G846+Tabla1[[#This Row],[ingreso]]-Tabla1[[#This Row],[egreso]])</f>
        <v>4750182.1442999989</v>
      </c>
      <c r="H847" s="7">
        <v>2000</v>
      </c>
      <c r="I847" s="7" t="s">
        <v>329</v>
      </c>
      <c r="J847" s="4"/>
      <c r="K847">
        <f>Tabla1[[#This Row],[ingreso]]/Tabla1[[#This Row],[Tipo]]</f>
        <v>864.55</v>
      </c>
    </row>
    <row r="848" spans="1:11" x14ac:dyDescent="0.2">
      <c r="A848">
        <f>COUNTIF($I$2:I848,'[1]Detalle Pilotos'!$G$3)</f>
        <v>0</v>
      </c>
      <c r="B848">
        <f t="shared" si="13"/>
        <v>847</v>
      </c>
      <c r="C848" s="9">
        <v>44737</v>
      </c>
      <c r="D848" s="4" t="s">
        <v>237</v>
      </c>
      <c r="E848" s="8"/>
      <c r="F848" s="3">
        <v>1796960</v>
      </c>
      <c r="G848" s="7">
        <f>IF(Tabla1[[#This Row],[Fecha]]="","",G847+Tabla1[[#This Row],[ingreso]]-Tabla1[[#This Row],[egreso]])</f>
        <v>6547142.1442999989</v>
      </c>
      <c r="H848" s="7">
        <v>2000</v>
      </c>
      <c r="I848" s="7" t="s">
        <v>329</v>
      </c>
      <c r="J848" s="4"/>
      <c r="K848">
        <f>Tabla1[[#This Row],[ingreso]]/Tabla1[[#This Row],[Tipo]]</f>
        <v>898.48</v>
      </c>
    </row>
    <row r="849" spans="1:10" x14ac:dyDescent="0.2">
      <c r="A849">
        <f>COUNTIF($I$2:I849,'[1]Detalle Pilotos'!$G$3)</f>
        <v>0</v>
      </c>
      <c r="B849">
        <f t="shared" si="13"/>
        <v>848</v>
      </c>
      <c r="C849" s="9">
        <v>44738</v>
      </c>
      <c r="D849" s="4" t="s">
        <v>266</v>
      </c>
      <c r="E849" s="8">
        <v>113088</v>
      </c>
      <c r="F849" s="3"/>
      <c r="G849" s="7">
        <f>IF(Tabla1[[#This Row],[Fecha]]="","",G848+Tabla1[[#This Row],[ingreso]]-Tabla1[[#This Row],[egreso]])</f>
        <v>6434054.1442999989</v>
      </c>
      <c r="H849" s="7"/>
      <c r="I849" s="7"/>
      <c r="J849" s="4"/>
    </row>
    <row r="850" spans="1:10" x14ac:dyDescent="0.2">
      <c r="A850">
        <f>COUNTIF($I$2:I850,'[1]Detalle Pilotos'!$G$3)</f>
        <v>0</v>
      </c>
      <c r="B850">
        <f t="shared" si="13"/>
        <v>849</v>
      </c>
      <c r="C850" s="9">
        <v>44739</v>
      </c>
      <c r="D850" s="4" t="s">
        <v>12</v>
      </c>
      <c r="E850" s="8"/>
      <c r="F850" s="3">
        <v>104000</v>
      </c>
      <c r="G850" s="7">
        <f>IF(Tabla1[[#This Row],[Fecha]]="","",G849+Tabla1[[#This Row],[ingreso]]-Tabla1[[#This Row],[egreso]])</f>
        <v>6538054.1442999989</v>
      </c>
      <c r="H850" s="7"/>
      <c r="I850" s="7" t="s">
        <v>13</v>
      </c>
      <c r="J850" s="4"/>
    </row>
    <row r="851" spans="1:10" x14ac:dyDescent="0.2">
      <c r="A851">
        <f>COUNTIF($I$2:I851,'[1]Detalle Pilotos'!$G$3)</f>
        <v>0</v>
      </c>
      <c r="B851">
        <f t="shared" si="13"/>
        <v>850</v>
      </c>
      <c r="C851" s="9">
        <v>44748</v>
      </c>
      <c r="D851" s="4" t="s">
        <v>15</v>
      </c>
      <c r="E851" s="8"/>
      <c r="F851" s="3">
        <v>-2200000</v>
      </c>
      <c r="G851" s="7">
        <f>IF(Tabla1[[#This Row],[Fecha]]="","",G850+Tabla1[[#This Row],[ingreso]]-Tabla1[[#This Row],[egreso]])</f>
        <v>4338054.1442999989</v>
      </c>
      <c r="H851" s="7"/>
      <c r="I851" s="7" t="s">
        <v>16</v>
      </c>
      <c r="J851" s="4"/>
    </row>
    <row r="852" spans="1:10" x14ac:dyDescent="0.2">
      <c r="A852">
        <f>COUNTIF($I$2:I852,'[1]Detalle Pilotos'!$G$3)</f>
        <v>0</v>
      </c>
      <c r="B852">
        <f t="shared" si="13"/>
        <v>851</v>
      </c>
      <c r="C852" s="9">
        <v>44748</v>
      </c>
      <c r="D852" s="4" t="s">
        <v>63</v>
      </c>
      <c r="E852" s="8"/>
      <c r="F852" s="3">
        <v>286000</v>
      </c>
      <c r="G852" s="7">
        <f>IF(Tabla1[[#This Row],[Fecha]]="","",G851+Tabla1[[#This Row],[ingreso]]-Tabla1[[#This Row],[egreso]])</f>
        <v>4624054.1442999989</v>
      </c>
      <c r="H852" s="7"/>
      <c r="I852" s="7" t="s">
        <v>64</v>
      </c>
      <c r="J852" s="4"/>
    </row>
    <row r="853" spans="1:10" x14ac:dyDescent="0.2">
      <c r="A853">
        <f>COUNTIF($I$2:I853,'[1]Detalle Pilotos'!$G$3)</f>
        <v>0</v>
      </c>
      <c r="B853">
        <f t="shared" si="13"/>
        <v>852</v>
      </c>
      <c r="C853" s="9">
        <v>44750</v>
      </c>
      <c r="D853" s="4" t="s">
        <v>150</v>
      </c>
      <c r="E853" s="8">
        <v>375880</v>
      </c>
      <c r="F853" s="3"/>
      <c r="G853" s="7">
        <f>IF(Tabla1[[#This Row],[Fecha]]="","",G852+Tabla1[[#This Row],[ingreso]]-Tabla1[[#This Row],[egreso]])</f>
        <v>4248174.1442999989</v>
      </c>
      <c r="H853" s="7"/>
      <c r="I853" s="7"/>
      <c r="J853" s="4"/>
    </row>
    <row r="854" spans="1:10" x14ac:dyDescent="0.2">
      <c r="A854">
        <f>COUNTIF($I$2:I854,'[1]Detalle Pilotos'!$G$3)</f>
        <v>0</v>
      </c>
      <c r="B854">
        <f t="shared" si="13"/>
        <v>853</v>
      </c>
      <c r="C854" s="9">
        <v>44765</v>
      </c>
      <c r="D854" s="4" t="s">
        <v>266</v>
      </c>
      <c r="E854" s="8">
        <v>140864</v>
      </c>
      <c r="F854" s="3"/>
      <c r="G854" s="7">
        <f>IF(Tabla1[[#This Row],[Fecha]]="","",G853+Tabla1[[#This Row],[ingreso]]-Tabla1[[#This Row],[egreso]])</f>
        <v>4107310.1442999989</v>
      </c>
      <c r="H854" s="7"/>
      <c r="I854" s="7"/>
      <c r="J854" s="4"/>
    </row>
    <row r="855" spans="1:10" x14ac:dyDescent="0.2">
      <c r="A855">
        <f>COUNTIF($I$2:I855,'[1]Detalle Pilotos'!$G$3)</f>
        <v>0</v>
      </c>
      <c r="B855">
        <f t="shared" si="13"/>
        <v>854</v>
      </c>
      <c r="C855" s="9">
        <v>44768</v>
      </c>
      <c r="D855" s="4" t="s">
        <v>393</v>
      </c>
      <c r="E855" s="8">
        <v>26000</v>
      </c>
      <c r="F855" s="3"/>
      <c r="G855" s="7">
        <f>IF(Tabla1[[#This Row],[Fecha]]="","",G854+Tabla1[[#This Row],[ingreso]]-Tabla1[[#This Row],[egreso]])</f>
        <v>4081310.1442999989</v>
      </c>
      <c r="H855" s="7"/>
      <c r="I855" s="7"/>
      <c r="J855" s="4"/>
    </row>
    <row r="856" spans="1:10" x14ac:dyDescent="0.2">
      <c r="A856">
        <f>COUNTIF($I$2:I856,'[1]Detalle Pilotos'!$G$3)</f>
        <v>0</v>
      </c>
      <c r="B856">
        <f t="shared" si="13"/>
        <v>855</v>
      </c>
      <c r="C856" s="9">
        <v>44769</v>
      </c>
      <c r="D856" s="4" t="s">
        <v>166</v>
      </c>
      <c r="E856" s="8"/>
      <c r="F856" s="3">
        <v>273000</v>
      </c>
      <c r="G856" s="7">
        <f>IF(Tabla1[[#This Row],[Fecha]]="","",G855+Tabla1[[#This Row],[ingreso]]-Tabla1[[#This Row],[egreso]])</f>
        <v>4354310.1442999989</v>
      </c>
      <c r="H856" s="7"/>
      <c r="I856" s="7" t="s">
        <v>167</v>
      </c>
      <c r="J856" s="4"/>
    </row>
    <row r="857" spans="1:10" x14ac:dyDescent="0.2">
      <c r="A857">
        <f>COUNTIF($I$2:I857,'[1]Detalle Pilotos'!$G$3)</f>
        <v>0</v>
      </c>
      <c r="B857">
        <f t="shared" si="13"/>
        <v>856</v>
      </c>
      <c r="C857" s="9">
        <v>44769</v>
      </c>
      <c r="D857" s="4" t="s">
        <v>53</v>
      </c>
      <c r="E857" s="8"/>
      <c r="F857" s="3">
        <v>57120</v>
      </c>
      <c r="G857" s="7">
        <f>IF(Tabla1[[#This Row],[Fecha]]="","",G856+Tabla1[[#This Row],[ingreso]]-Tabla1[[#This Row],[egreso]])</f>
        <v>4411430.1442999989</v>
      </c>
      <c r="H857" s="7"/>
      <c r="I857" s="7" t="s">
        <v>54</v>
      </c>
      <c r="J857" s="4"/>
    </row>
    <row r="858" spans="1:10" x14ac:dyDescent="0.2">
      <c r="A858">
        <f>COUNTIF($I$2:I858,'[1]Detalle Pilotos'!$G$3)</f>
        <v>0</v>
      </c>
      <c r="B858">
        <f t="shared" si="13"/>
        <v>857</v>
      </c>
      <c r="C858" s="9">
        <v>44769</v>
      </c>
      <c r="D858" s="4" t="s">
        <v>394</v>
      </c>
      <c r="E858" s="8"/>
      <c r="F858" s="3">
        <v>-48000</v>
      </c>
      <c r="G858" s="7">
        <f>IF(Tabla1[[#This Row],[Fecha]]="","",G857+Tabla1[[#This Row],[ingreso]]-Tabla1[[#This Row],[egreso]])</f>
        <v>4363430.1442999989</v>
      </c>
      <c r="H858" s="7"/>
      <c r="I858" s="7" t="s">
        <v>16</v>
      </c>
      <c r="J858" s="4"/>
    </row>
    <row r="859" spans="1:10" x14ac:dyDescent="0.2">
      <c r="A859">
        <f>COUNTIF($I$2:I859,'[1]Detalle Pilotos'!$G$3)</f>
        <v>0</v>
      </c>
      <c r="B859">
        <f t="shared" si="13"/>
        <v>858</v>
      </c>
      <c r="C859" s="9">
        <v>44773</v>
      </c>
      <c r="D859" s="4" t="s">
        <v>395</v>
      </c>
      <c r="E859" s="8"/>
      <c r="F859" s="3">
        <v>410000</v>
      </c>
      <c r="G859" s="7">
        <f>IF(Tabla1[[#This Row],[Fecha]]="","",G858+Tabla1[[#This Row],[ingreso]]-Tabla1[[#This Row],[egreso]])</f>
        <v>4773430.1442999989</v>
      </c>
      <c r="H859" s="7"/>
      <c r="I859" s="7"/>
      <c r="J859" s="4"/>
    </row>
    <row r="860" spans="1:10" x14ac:dyDescent="0.2">
      <c r="A860">
        <f>COUNTIF($I$2:I860,'[1]Detalle Pilotos'!$G$3)</f>
        <v>0</v>
      </c>
      <c r="B860">
        <f t="shared" si="13"/>
        <v>859</v>
      </c>
      <c r="C860" s="9">
        <v>44774</v>
      </c>
      <c r="D860" s="4" t="s">
        <v>396</v>
      </c>
      <c r="E860" s="8">
        <v>410000</v>
      </c>
      <c r="F860" s="3"/>
      <c r="G860" s="7">
        <f>IF(Tabla1[[#This Row],[Fecha]]="","",G859+Tabla1[[#This Row],[ingreso]]-Tabla1[[#This Row],[egreso]])</f>
        <v>4363430.1442999989</v>
      </c>
      <c r="H860" s="7"/>
      <c r="I860" s="7"/>
      <c r="J860" s="4"/>
    </row>
    <row r="861" spans="1:10" x14ac:dyDescent="0.2">
      <c r="A861">
        <f>COUNTIF($I$2:I861,'[1]Detalle Pilotos'!$G$3)</f>
        <v>0</v>
      </c>
      <c r="B861">
        <f t="shared" si="13"/>
        <v>860</v>
      </c>
      <c r="C861" s="9">
        <v>44774</v>
      </c>
      <c r="D861" s="4" t="s">
        <v>15</v>
      </c>
      <c r="E861" s="8"/>
      <c r="F861" s="3">
        <v>-500000</v>
      </c>
      <c r="G861" s="7">
        <f>IF(Tabla1[[#This Row],[Fecha]]="","",G860+Tabla1[[#This Row],[ingreso]]-Tabla1[[#This Row],[egreso]])</f>
        <v>3863430.1442999989</v>
      </c>
      <c r="H861" s="7"/>
      <c r="I861" s="7" t="s">
        <v>16</v>
      </c>
      <c r="J861" s="4"/>
    </row>
    <row r="862" spans="1:10" x14ac:dyDescent="0.2">
      <c r="A862">
        <f>COUNTIF($I$2:I862,'[1]Detalle Pilotos'!$G$3)</f>
        <v>0</v>
      </c>
      <c r="B862">
        <f t="shared" si="13"/>
        <v>861</v>
      </c>
      <c r="C862" s="9">
        <v>44775</v>
      </c>
      <c r="D862" s="4" t="s">
        <v>397</v>
      </c>
      <c r="E862" s="8">
        <v>1727912</v>
      </c>
      <c r="F862" s="3"/>
      <c r="G862" s="7">
        <f>IF(Tabla1[[#This Row],[Fecha]]="","",G861+Tabla1[[#This Row],[ingreso]]-Tabla1[[#This Row],[egreso]])</f>
        <v>2135518.1442999989</v>
      </c>
      <c r="H862" s="7"/>
      <c r="I862" s="7"/>
      <c r="J862" s="4"/>
    </row>
    <row r="863" spans="1:10" x14ac:dyDescent="0.2">
      <c r="A863">
        <f>COUNTIF($I$2:I863,'[1]Detalle Pilotos'!$G$3)</f>
        <v>0</v>
      </c>
      <c r="B863">
        <f t="shared" si="13"/>
        <v>862</v>
      </c>
      <c r="C863" s="9">
        <v>44775</v>
      </c>
      <c r="D863" s="4" t="s">
        <v>398</v>
      </c>
      <c r="E863" s="8">
        <v>49729</v>
      </c>
      <c r="F863" s="3"/>
      <c r="G863" s="7">
        <f>IF(Tabla1[[#This Row],[Fecha]]="","",G862+Tabla1[[#This Row],[ingreso]]-Tabla1[[#This Row],[egreso]])</f>
        <v>2085789.1442999989</v>
      </c>
      <c r="H863" s="7"/>
      <c r="I863" s="7"/>
      <c r="J863" s="4"/>
    </row>
    <row r="864" spans="1:10" x14ac:dyDescent="0.2">
      <c r="A864">
        <f>COUNTIF($I$2:I864,'[1]Detalle Pilotos'!$G$3)</f>
        <v>0</v>
      </c>
      <c r="B864">
        <f t="shared" si="13"/>
        <v>863</v>
      </c>
      <c r="C864" s="9">
        <v>44777</v>
      </c>
      <c r="D864" s="4" t="s">
        <v>399</v>
      </c>
      <c r="E864" s="8">
        <v>379167</v>
      </c>
      <c r="F864" s="3"/>
      <c r="G864" s="7">
        <f>IF(Tabla1[[#This Row],[Fecha]]="","",G863+Tabla1[[#This Row],[ingreso]]-Tabla1[[#This Row],[egreso]])</f>
        <v>1706622.1442999989</v>
      </c>
      <c r="H864" s="7"/>
      <c r="I864" s="7"/>
      <c r="J864" s="4"/>
    </row>
    <row r="865" spans="1:11" x14ac:dyDescent="0.2">
      <c r="A865">
        <f>COUNTIF($I$2:I865,'[1]Detalle Pilotos'!$G$3)</f>
        <v>0</v>
      </c>
      <c r="B865">
        <f t="shared" si="13"/>
        <v>864</v>
      </c>
      <c r="C865" s="9">
        <v>44779</v>
      </c>
      <c r="D865" s="4" t="s">
        <v>400</v>
      </c>
      <c r="E865" s="8"/>
      <c r="F865" s="3">
        <v>-50000</v>
      </c>
      <c r="G865" s="7">
        <f>IF(Tabla1[[#This Row],[Fecha]]="","",G864+Tabla1[[#This Row],[ingreso]]-Tabla1[[#This Row],[egreso]])</f>
        <v>1656622.1442999989</v>
      </c>
      <c r="H865" s="7"/>
      <c r="I865" s="7" t="s">
        <v>16</v>
      </c>
      <c r="J865" s="4"/>
    </row>
    <row r="866" spans="1:11" x14ac:dyDescent="0.2">
      <c r="A866">
        <f>COUNTIF($I$2:I866,'[1]Detalle Pilotos'!$G$3)</f>
        <v>0</v>
      </c>
      <c r="B866">
        <f t="shared" si="13"/>
        <v>865</v>
      </c>
      <c r="C866" s="9">
        <v>44779</v>
      </c>
      <c r="D866" s="4" t="s">
        <v>53</v>
      </c>
      <c r="E866" s="8"/>
      <c r="F866" s="3">
        <v>208000</v>
      </c>
      <c r="G866" s="7">
        <f>IF(Tabla1[[#This Row],[Fecha]]="","",G865+Tabla1[[#This Row],[ingreso]]-Tabla1[[#This Row],[egreso]])</f>
        <v>1864622.1442999989</v>
      </c>
      <c r="H866" s="7"/>
      <c r="I866" s="7" t="s">
        <v>54</v>
      </c>
      <c r="J866" s="4"/>
    </row>
    <row r="867" spans="1:11" x14ac:dyDescent="0.2">
      <c r="A867">
        <f>COUNTIF($I$2:I867,'[1]Detalle Pilotos'!$G$3)</f>
        <v>0</v>
      </c>
      <c r="B867">
        <f t="shared" si="13"/>
        <v>866</v>
      </c>
      <c r="C867" s="9">
        <v>44782</v>
      </c>
      <c r="D867" s="4" t="s">
        <v>53</v>
      </c>
      <c r="E867" s="8"/>
      <c r="F867" s="3">
        <v>132284</v>
      </c>
      <c r="G867" s="7">
        <f>IF(Tabla1[[#This Row],[Fecha]]="","",G866+Tabla1[[#This Row],[ingreso]]-Tabla1[[#This Row],[egreso]])</f>
        <v>1996906.1442999989</v>
      </c>
      <c r="H867" s="7"/>
      <c r="I867" s="7" t="s">
        <v>54</v>
      </c>
      <c r="J867" s="4"/>
    </row>
    <row r="868" spans="1:11" x14ac:dyDescent="0.2">
      <c r="A868">
        <f>COUNTIF($I$2:I868,'[1]Detalle Pilotos'!$G$3)</f>
        <v>0</v>
      </c>
      <c r="B868">
        <f t="shared" si="13"/>
        <v>867</v>
      </c>
      <c r="C868" s="9">
        <v>44786</v>
      </c>
      <c r="D868" s="4" t="s">
        <v>401</v>
      </c>
      <c r="E868" s="8"/>
      <c r="F868" s="30">
        <v>139957</v>
      </c>
      <c r="G868" s="7">
        <f>IF(Tabla1[[#This Row],[Fecha]]="","",G867+Tabla1[[#This Row],[ingreso]]-Tabla1[[#This Row],[egreso]])</f>
        <v>2136863.1442999989</v>
      </c>
      <c r="H868" s="7"/>
      <c r="I868" s="7"/>
      <c r="J868" s="4"/>
    </row>
    <row r="869" spans="1:11" x14ac:dyDescent="0.2">
      <c r="A869">
        <f>COUNTIF($I$2:I869,'[1]Detalle Pilotos'!$G$3)</f>
        <v>0</v>
      </c>
      <c r="B869">
        <f t="shared" si="13"/>
        <v>868</v>
      </c>
      <c r="C869" s="9">
        <v>44798</v>
      </c>
      <c r="D869" s="4" t="s">
        <v>36</v>
      </c>
      <c r="E869" s="8"/>
      <c r="F869" s="3">
        <v>238000</v>
      </c>
      <c r="G869" s="7">
        <f>IF(Tabla1[[#This Row],[Fecha]]="","",G868+Tabla1[[#This Row],[ingreso]]-Tabla1[[#This Row],[egreso]])</f>
        <v>2374863.1442999989</v>
      </c>
      <c r="H869" s="7"/>
      <c r="I869" s="7" t="s">
        <v>37</v>
      </c>
      <c r="J869" s="4"/>
    </row>
    <row r="870" spans="1:11" x14ac:dyDescent="0.2">
      <c r="A870">
        <f>COUNTIF($I$2:I870,'[1]Detalle Pilotos'!$G$3)</f>
        <v>0</v>
      </c>
      <c r="B870">
        <f t="shared" si="13"/>
        <v>869</v>
      </c>
      <c r="C870" s="9">
        <v>44801</v>
      </c>
      <c r="D870" s="4" t="s">
        <v>402</v>
      </c>
      <c r="E870" s="8">
        <v>35000</v>
      </c>
      <c r="F870" s="3"/>
      <c r="G870" s="7">
        <f>IF(Tabla1[[#This Row],[Fecha]]="","",G869+Tabla1[[#This Row],[ingreso]]-Tabla1[[#This Row],[egreso]])</f>
        <v>2339863.1442999989</v>
      </c>
      <c r="H870" s="7"/>
      <c r="I870" s="7"/>
      <c r="J870" s="4"/>
    </row>
    <row r="871" spans="1:11" x14ac:dyDescent="0.2">
      <c r="A871">
        <f>COUNTIF($I$2:I871,'[1]Detalle Pilotos'!$G$3)</f>
        <v>0</v>
      </c>
      <c r="B871">
        <f t="shared" si="13"/>
        <v>870</v>
      </c>
      <c r="C871" s="9">
        <v>44801</v>
      </c>
      <c r="D871" s="4" t="s">
        <v>403</v>
      </c>
      <c r="E871" s="8">
        <v>290000</v>
      </c>
      <c r="F871" s="3"/>
      <c r="G871" s="7">
        <f>IF(Tabla1[[#This Row],[Fecha]]="","",G870+Tabla1[[#This Row],[ingreso]]-Tabla1[[#This Row],[egreso]])</f>
        <v>2049863.1442999989</v>
      </c>
      <c r="H871" s="7"/>
      <c r="I871" s="7"/>
      <c r="J871" s="4"/>
    </row>
    <row r="872" spans="1:11" x14ac:dyDescent="0.2">
      <c r="A872">
        <f>COUNTIF($I$2:I872,'[1]Detalle Pilotos'!$G$3)</f>
        <v>0</v>
      </c>
      <c r="B872">
        <f t="shared" si="13"/>
        <v>871</v>
      </c>
      <c r="C872" s="9">
        <v>44805</v>
      </c>
      <c r="D872" s="4" t="s">
        <v>404</v>
      </c>
      <c r="E872" s="8"/>
      <c r="F872" s="30">
        <v>75000</v>
      </c>
      <c r="G872" s="7">
        <f>IF(Tabla1[[#This Row],[Fecha]]="","",G871+Tabla1[[#This Row],[ingreso]]-Tabla1[[#This Row],[egreso]])</f>
        <v>2124863.1442999989</v>
      </c>
      <c r="H872" s="7"/>
      <c r="I872" s="7"/>
      <c r="J872" s="4"/>
    </row>
    <row r="873" spans="1:11" x14ac:dyDescent="0.2">
      <c r="A873">
        <f>COUNTIF($I$2:I873,'[1]Detalle Pilotos'!$G$3)</f>
        <v>0</v>
      </c>
      <c r="B873">
        <f t="shared" si="13"/>
        <v>872</v>
      </c>
      <c r="C873" s="9">
        <v>44805</v>
      </c>
      <c r="D873" s="4" t="s">
        <v>154</v>
      </c>
      <c r="E873" s="8">
        <v>383652</v>
      </c>
      <c r="F873" s="3"/>
      <c r="G873" s="7">
        <f>IF(Tabla1[[#This Row],[Fecha]]="","",G872+Tabla1[[#This Row],[ingreso]]-Tabla1[[#This Row],[egreso]])</f>
        <v>1741211.1442999989</v>
      </c>
      <c r="H873" s="7"/>
      <c r="I873" s="7"/>
      <c r="J873" s="4"/>
    </row>
    <row r="874" spans="1:11" x14ac:dyDescent="0.2">
      <c r="A874">
        <f>COUNTIF($I$2:I874,'[1]Detalle Pilotos'!$G$3)</f>
        <v>0</v>
      </c>
      <c r="B874">
        <f t="shared" si="13"/>
        <v>873</v>
      </c>
      <c r="C874" s="9">
        <v>44810</v>
      </c>
      <c r="D874" s="4" t="s">
        <v>405</v>
      </c>
      <c r="E874" s="31">
        <f>F868</f>
        <v>139957</v>
      </c>
      <c r="F874" s="3"/>
      <c r="G874" s="7">
        <f>IF(Tabla1[[#This Row],[Fecha]]="","",G873+Tabla1[[#This Row],[ingreso]]-Tabla1[[#This Row],[egreso]])</f>
        <v>1601254.1442999989</v>
      </c>
      <c r="H874" s="7"/>
      <c r="I874" s="7"/>
      <c r="J874" s="4"/>
      <c r="K874" s="32" t="s">
        <v>406</v>
      </c>
    </row>
    <row r="875" spans="1:11" x14ac:dyDescent="0.2">
      <c r="A875">
        <f>COUNTIF($I$2:I875,'[1]Detalle Pilotos'!$G$3)</f>
        <v>0</v>
      </c>
      <c r="B875">
        <f t="shared" si="13"/>
        <v>874</v>
      </c>
      <c r="C875" s="9">
        <v>44810</v>
      </c>
      <c r="D875" s="4" t="s">
        <v>407</v>
      </c>
      <c r="E875" s="31">
        <f>F872</f>
        <v>75000</v>
      </c>
      <c r="F875" s="3"/>
      <c r="G875" s="7">
        <f>IF(Tabla1[[#This Row],[Fecha]]="","",G874+Tabla1[[#This Row],[ingreso]]-Tabla1[[#This Row],[egreso]])</f>
        <v>1526254.1442999989</v>
      </c>
      <c r="H875" s="7"/>
      <c r="I875" s="7"/>
      <c r="J875" s="4"/>
      <c r="K875" s="32"/>
    </row>
    <row r="876" spans="1:11" x14ac:dyDescent="0.2">
      <c r="A876">
        <f>COUNTIF($I$2:I876,'[1]Detalle Pilotos'!$G$3)</f>
        <v>0</v>
      </c>
      <c r="B876">
        <f t="shared" si="13"/>
        <v>875</v>
      </c>
      <c r="C876" s="9">
        <v>44777</v>
      </c>
      <c r="D876" s="4" t="s">
        <v>117</v>
      </c>
      <c r="E876" s="8">
        <v>74471</v>
      </c>
      <c r="F876" s="3"/>
      <c r="G876" s="7">
        <f>IF(Tabla1[[#This Row],[Fecha]]="","",G875+Tabla1[[#This Row],[ingreso]]-Tabla1[[#This Row],[egreso]])</f>
        <v>1451783.1442999989</v>
      </c>
      <c r="H876" s="7"/>
      <c r="I876" s="7"/>
      <c r="J876" s="4"/>
    </row>
    <row r="877" spans="1:11" x14ac:dyDescent="0.2">
      <c r="A877">
        <f>COUNTIF($I$2:I877,'[1]Detalle Pilotos'!$G$3)</f>
        <v>0</v>
      </c>
      <c r="B877">
        <f t="shared" si="13"/>
        <v>876</v>
      </c>
      <c r="C877" s="9">
        <v>44812</v>
      </c>
      <c r="D877" s="4" t="s">
        <v>408</v>
      </c>
      <c r="E877" s="8"/>
      <c r="F877" s="3">
        <v>-168335</v>
      </c>
      <c r="G877" s="7">
        <f>IF(Tabla1[[#This Row],[Fecha]]="","",G876+Tabla1[[#This Row],[ingreso]]-Tabla1[[#This Row],[egreso]])</f>
        <v>1283448.1442999989</v>
      </c>
      <c r="H877" s="7"/>
      <c r="I877" s="7" t="s">
        <v>16</v>
      </c>
      <c r="J877" s="4"/>
    </row>
    <row r="878" spans="1:11" x14ac:dyDescent="0.2">
      <c r="A878">
        <f>COUNTIF($I$2:I878,'[1]Detalle Pilotos'!$G$3)</f>
        <v>0</v>
      </c>
      <c r="B878">
        <f t="shared" si="13"/>
        <v>877</v>
      </c>
      <c r="C878" s="9">
        <v>44767</v>
      </c>
      <c r="D878" s="4" t="s">
        <v>409</v>
      </c>
      <c r="E878" s="8">
        <v>298493</v>
      </c>
      <c r="F878" s="3"/>
      <c r="G878" s="7">
        <f>IF(Tabla1[[#This Row],[Fecha]]="","",G877+Tabla1[[#This Row],[ingreso]]-Tabla1[[#This Row],[egreso]])</f>
        <v>984955.14429999888</v>
      </c>
      <c r="H878" s="7"/>
      <c r="I878" s="7"/>
      <c r="J878" s="4"/>
    </row>
    <row r="879" spans="1:11" x14ac:dyDescent="0.2">
      <c r="A879">
        <f>COUNTIF($I$2:I879,'[1]Detalle Pilotos'!$G$3)</f>
        <v>0</v>
      </c>
      <c r="B879">
        <f t="shared" si="13"/>
        <v>878</v>
      </c>
      <c r="C879" s="9">
        <v>44815</v>
      </c>
      <c r="D879" s="4" t="s">
        <v>410</v>
      </c>
      <c r="E879" s="8"/>
      <c r="F879" s="3">
        <v>58018</v>
      </c>
      <c r="G879" s="7">
        <f>IF(Tabla1[[#This Row],[Fecha]]="","",G878+Tabla1[[#This Row],[ingreso]]-Tabla1[[#This Row],[egreso]])</f>
        <v>1042973.1442999989</v>
      </c>
      <c r="H879" s="7"/>
      <c r="I879" s="7"/>
      <c r="J879" s="4"/>
    </row>
    <row r="880" spans="1:11" x14ac:dyDescent="0.2">
      <c r="A880">
        <f>COUNTIF($I$2:I880,'[1]Detalle Pilotos'!$G$3)</f>
        <v>0</v>
      </c>
      <c r="B880">
        <f t="shared" si="13"/>
        <v>879</v>
      </c>
      <c r="C880" s="9">
        <v>44815</v>
      </c>
      <c r="D880" s="4" t="s">
        <v>411</v>
      </c>
      <c r="E880" s="8"/>
      <c r="F880" s="3">
        <v>154371</v>
      </c>
      <c r="G880" s="7">
        <f>IF(Tabla1[[#This Row],[Fecha]]="","",G879+Tabla1[[#This Row],[ingreso]]-Tabla1[[#This Row],[egreso]])</f>
        <v>1197344.1442999989</v>
      </c>
      <c r="H880" s="7"/>
      <c r="I880" s="7"/>
      <c r="J880" s="4"/>
    </row>
    <row r="881" spans="1:11" x14ac:dyDescent="0.2">
      <c r="A881">
        <f>COUNTIF($I$2:I881,'[1]Detalle Pilotos'!$G$3)</f>
        <v>0</v>
      </c>
      <c r="B881">
        <f t="shared" si="13"/>
        <v>880</v>
      </c>
      <c r="C881" s="9">
        <v>44815</v>
      </c>
      <c r="D881" s="4" t="s">
        <v>412</v>
      </c>
      <c r="E881" s="8"/>
      <c r="F881" s="3">
        <v>12500</v>
      </c>
      <c r="G881" s="7">
        <f>IF(Tabla1[[#This Row],[Fecha]]="","",G880+Tabla1[[#This Row],[ingreso]]-Tabla1[[#This Row],[egreso]])</f>
        <v>1209844.1442999989</v>
      </c>
      <c r="H881" s="7"/>
      <c r="I881" s="7"/>
      <c r="J881" s="4"/>
    </row>
    <row r="882" spans="1:11" x14ac:dyDescent="0.2">
      <c r="A882">
        <f>COUNTIF($I$2:I882,'[1]Detalle Pilotos'!$G$3)</f>
        <v>0</v>
      </c>
      <c r="B882">
        <f t="shared" si="13"/>
        <v>881</v>
      </c>
      <c r="C882" s="9">
        <v>44816</v>
      </c>
      <c r="D882" s="4" t="s">
        <v>413</v>
      </c>
      <c r="E882" s="8">
        <f>SUM(F879:F881)</f>
        <v>224889</v>
      </c>
      <c r="F882" s="3"/>
      <c r="G882" s="7">
        <f>IF(Tabla1[[#This Row],[Fecha]]="","",G881+Tabla1[[#This Row],[ingreso]]-Tabla1[[#This Row],[egreso]])</f>
        <v>984955.14429999888</v>
      </c>
      <c r="H882" s="7"/>
      <c r="I882" s="7"/>
      <c r="J882" s="4"/>
    </row>
    <row r="883" spans="1:11" x14ac:dyDescent="0.2">
      <c r="A883">
        <f>COUNTIF($I$2:I883,'[1]Detalle Pilotos'!$G$3)</f>
        <v>0</v>
      </c>
      <c r="B883">
        <f t="shared" si="13"/>
        <v>882</v>
      </c>
      <c r="C883" s="9">
        <v>44832</v>
      </c>
      <c r="D883" s="4" t="s">
        <v>414</v>
      </c>
      <c r="E883" s="8">
        <v>50279</v>
      </c>
      <c r="F883" s="3"/>
      <c r="G883" s="7">
        <f>IF(Tabla1[[#This Row],[Fecha]]="","",G882+Tabla1[[#This Row],[ingreso]]-Tabla1[[#This Row],[egreso]])</f>
        <v>934676.14429999888</v>
      </c>
      <c r="H883" s="7"/>
      <c r="I883" s="7"/>
      <c r="J883" s="4"/>
    </row>
    <row r="884" spans="1:11" x14ac:dyDescent="0.2">
      <c r="A884">
        <f>COUNTIF($I$2:I884,'[1]Detalle Pilotos'!$G$3)</f>
        <v>0</v>
      </c>
      <c r="B884">
        <f t="shared" si="13"/>
        <v>883</v>
      </c>
      <c r="C884" s="9">
        <v>44832</v>
      </c>
      <c r="D884" s="4" t="s">
        <v>415</v>
      </c>
      <c r="E884" s="8">
        <v>50869</v>
      </c>
      <c r="F884" s="3"/>
      <c r="G884" s="7">
        <f>IF(Tabla1[[#This Row],[Fecha]]="","",G883+Tabla1[[#This Row],[ingreso]]-Tabla1[[#This Row],[egreso]])</f>
        <v>883807.14429999888</v>
      </c>
      <c r="H884" s="7"/>
      <c r="I884" s="7"/>
      <c r="J884" s="4"/>
    </row>
    <row r="885" spans="1:11" x14ac:dyDescent="0.2">
      <c r="A885">
        <f>COUNTIF($I$2:I885,'[1]Detalle Pilotos'!$G$3)</f>
        <v>0</v>
      </c>
      <c r="B885">
        <f t="shared" si="13"/>
        <v>884</v>
      </c>
      <c r="C885" s="9">
        <v>44826</v>
      </c>
      <c r="D885" s="4" t="s">
        <v>416</v>
      </c>
      <c r="E885" s="8">
        <v>124700</v>
      </c>
      <c r="F885" s="3"/>
      <c r="G885" s="7">
        <f>IF(Tabla1[[#This Row],[Fecha]]="","",G884+Tabla1[[#This Row],[ingreso]]-Tabla1[[#This Row],[egreso]])</f>
        <v>759107.14429999888</v>
      </c>
      <c r="H885" s="7"/>
      <c r="I885" s="7"/>
      <c r="J885" s="4"/>
    </row>
    <row r="886" spans="1:11" x14ac:dyDescent="0.2">
      <c r="A886">
        <f>COUNTIF($I$2:I886,'[1]Detalle Pilotos'!$G$3)</f>
        <v>0</v>
      </c>
      <c r="B886">
        <f t="shared" si="13"/>
        <v>885</v>
      </c>
      <c r="C886" s="9">
        <v>44832</v>
      </c>
      <c r="D886" s="4" t="s">
        <v>417</v>
      </c>
      <c r="E886" s="8">
        <v>17200</v>
      </c>
      <c r="F886" s="3"/>
      <c r="G886" s="7">
        <f>IF(Tabla1[[#This Row],[Fecha]]="","",G885+Tabla1[[#This Row],[ingreso]]-Tabla1[[#This Row],[egreso]])</f>
        <v>741907.14429999888</v>
      </c>
      <c r="H886" s="7"/>
      <c r="I886" s="7"/>
      <c r="J886" s="4"/>
    </row>
    <row r="887" spans="1:11" x14ac:dyDescent="0.2">
      <c r="A887">
        <f>COUNTIF($I$2:I887,'[1]Detalle Pilotos'!$G$3)</f>
        <v>0</v>
      </c>
      <c r="B887">
        <f t="shared" si="13"/>
        <v>886</v>
      </c>
      <c r="C887" s="9">
        <v>44836</v>
      </c>
      <c r="D887" s="4" t="s">
        <v>418</v>
      </c>
      <c r="E887" s="8">
        <v>388569</v>
      </c>
      <c r="F887" s="3"/>
      <c r="G887" s="7">
        <f>IF(Tabla1[[#This Row],[Fecha]]="","",G886+Tabla1[[#This Row],[ingreso]]-Tabla1[[#This Row],[egreso]])</f>
        <v>353338.14429999888</v>
      </c>
      <c r="H887" s="7"/>
      <c r="I887" s="7"/>
      <c r="J887" s="4"/>
    </row>
    <row r="888" spans="1:11" x14ac:dyDescent="0.2">
      <c r="A888">
        <f>COUNTIF($I$2:I888,'[1]Detalle Pilotos'!$G$3)</f>
        <v>0</v>
      </c>
      <c r="B888">
        <f t="shared" si="13"/>
        <v>887</v>
      </c>
      <c r="C888" s="9">
        <v>44836</v>
      </c>
      <c r="D888" s="4" t="s">
        <v>419</v>
      </c>
      <c r="E888" s="8"/>
      <c r="F888" s="3">
        <v>227500</v>
      </c>
      <c r="G888" s="7">
        <f>IF(Tabla1[[#This Row],[Fecha]]="","",G887+Tabla1[[#This Row],[ingreso]]-Tabla1[[#This Row],[egreso]])</f>
        <v>580838.14429999888</v>
      </c>
      <c r="H888" s="7"/>
      <c r="I888" s="7" t="s">
        <v>16</v>
      </c>
      <c r="J888" s="4"/>
    </row>
    <row r="889" spans="1:11" x14ac:dyDescent="0.2">
      <c r="A889">
        <f>COUNTIF($I$2:I889,'[1]Detalle Pilotos'!$G$3)</f>
        <v>0</v>
      </c>
      <c r="B889">
        <f t="shared" si="13"/>
        <v>888</v>
      </c>
      <c r="C889" s="33">
        <v>44784</v>
      </c>
      <c r="D889" s="34" t="s">
        <v>420</v>
      </c>
      <c r="E889" s="35">
        <v>1181166</v>
      </c>
      <c r="F889" s="36"/>
      <c r="G889" s="37">
        <f>IF(Tabla1[[#This Row],[Fecha]]="","",G888+Tabla1[[#This Row],[ingreso]]-Tabla1[[#This Row],[egreso]])</f>
        <v>-600327.85570000112</v>
      </c>
      <c r="H889" s="37"/>
      <c r="I889" s="37"/>
      <c r="J889" s="34"/>
    </row>
    <row r="890" spans="1:11" x14ac:dyDescent="0.2">
      <c r="A890">
        <f>COUNTIF($I$2:I890,'[1]Detalle Pilotos'!$G$3)</f>
        <v>0</v>
      </c>
      <c r="B890">
        <f t="shared" si="13"/>
        <v>889</v>
      </c>
      <c r="C890" s="33">
        <v>44841</v>
      </c>
      <c r="D890" s="34" t="s">
        <v>15</v>
      </c>
      <c r="E890" s="35"/>
      <c r="F890" s="36">
        <v>1181166</v>
      </c>
      <c r="G890" s="37">
        <f>IF(Tabla1[[#This Row],[Fecha]]="","",G889+Tabla1[[#This Row],[ingreso]]-Tabla1[[#This Row],[egreso]])</f>
        <v>580838.14429999888</v>
      </c>
      <c r="H890" s="37"/>
      <c r="I890" s="37" t="s">
        <v>16</v>
      </c>
      <c r="J890" s="34"/>
    </row>
    <row r="891" spans="1:11" x14ac:dyDescent="0.2">
      <c r="A891">
        <f>COUNTIF($I$2:I891,'[1]Detalle Pilotos'!$G$3)</f>
        <v>0</v>
      </c>
      <c r="B891">
        <f t="shared" si="13"/>
        <v>890</v>
      </c>
      <c r="C891" s="9">
        <v>44841</v>
      </c>
      <c r="D891" s="4" t="s">
        <v>237</v>
      </c>
      <c r="E891" s="8"/>
      <c r="F891" s="3">
        <f>Tabla1[[#This Row],[Tipo]]*K891</f>
        <v>1862800</v>
      </c>
      <c r="G891" s="7">
        <f>IF(Tabla1[[#This Row],[Fecha]]="","",G890+Tabla1[[#This Row],[ingreso]]-Tabla1[[#This Row],[egreso]])</f>
        <v>2443638.1442999989</v>
      </c>
      <c r="H891" s="7">
        <v>2000</v>
      </c>
      <c r="I891" s="7" t="s">
        <v>329</v>
      </c>
      <c r="J891" s="4"/>
      <c r="K891">
        <v>931.4</v>
      </c>
    </row>
    <row r="892" spans="1:11" x14ac:dyDescent="0.2">
      <c r="A892">
        <f>COUNTIF($I$2:I892,'[1]Detalle Pilotos'!$G$3)</f>
        <v>0</v>
      </c>
      <c r="B892">
        <f t="shared" si="13"/>
        <v>891</v>
      </c>
      <c r="C892" s="9">
        <v>44841</v>
      </c>
      <c r="D892" s="4" t="s">
        <v>421</v>
      </c>
      <c r="E892" s="8">
        <v>1755085</v>
      </c>
      <c r="F892" s="3"/>
      <c r="G892" s="7">
        <f>IF(Tabla1[[#This Row],[Fecha]]="","",G891+Tabla1[[#This Row],[ingreso]]-Tabla1[[#This Row],[egreso]])</f>
        <v>688553.14429999888</v>
      </c>
      <c r="H892" s="7"/>
      <c r="I892" s="7"/>
      <c r="J892" s="4"/>
    </row>
    <row r="893" spans="1:11" x14ac:dyDescent="0.2">
      <c r="A893">
        <f>COUNTIF($I$2:I893,'[1]Detalle Pilotos'!$G$3)</f>
        <v>0</v>
      </c>
      <c r="B893">
        <f t="shared" si="13"/>
        <v>892</v>
      </c>
      <c r="C893" s="9">
        <v>44848</v>
      </c>
      <c r="D893" s="4" t="s">
        <v>422</v>
      </c>
      <c r="E893" s="8">
        <v>62475</v>
      </c>
      <c r="F893" s="3"/>
      <c r="G893" s="7">
        <f>IF(Tabla1[[#This Row],[Fecha]]="","",G892+Tabla1[[#This Row],[ingreso]]-Tabla1[[#This Row],[egreso]])</f>
        <v>626078.14429999888</v>
      </c>
      <c r="H893" s="7"/>
      <c r="I893" s="7"/>
      <c r="J893" s="4"/>
    </row>
    <row r="894" spans="1:11" x14ac:dyDescent="0.2">
      <c r="A894">
        <f>COUNTIF($I$2:I894,'[1]Detalle Pilotos'!$G$3)</f>
        <v>0</v>
      </c>
      <c r="B894">
        <f t="shared" si="13"/>
        <v>893</v>
      </c>
      <c r="C894" s="9">
        <v>44849</v>
      </c>
      <c r="D894" s="38" t="s">
        <v>423</v>
      </c>
      <c r="E894" s="8">
        <v>52800</v>
      </c>
      <c r="F894" s="3"/>
      <c r="G894" s="7">
        <f>IF(Tabla1[[#This Row],[Fecha]]="","",G893+Tabla1[[#This Row],[ingreso]]-Tabla1[[#This Row],[egreso]])</f>
        <v>573278.14429999888</v>
      </c>
      <c r="H894" s="7"/>
      <c r="I894" s="7"/>
      <c r="J894" s="4"/>
    </row>
    <row r="895" spans="1:11" x14ac:dyDescent="0.2">
      <c r="A895">
        <f>COUNTIF($I$2:I895,'[1]Detalle Pilotos'!$G$3)</f>
        <v>0</v>
      </c>
      <c r="B895">
        <f t="shared" si="13"/>
        <v>894</v>
      </c>
      <c r="C895" s="9">
        <v>44851</v>
      </c>
      <c r="D895" s="4" t="s">
        <v>15</v>
      </c>
      <c r="E895" s="8"/>
      <c r="F895" s="3">
        <v>600000</v>
      </c>
      <c r="G895" s="7">
        <f>IF(Tabla1[[#This Row],[Fecha]]="","",G894+Tabla1[[#This Row],[ingreso]]-Tabla1[[#This Row],[egreso]])</f>
        <v>1173278.1442999989</v>
      </c>
      <c r="H895" s="7"/>
      <c r="I895" s="7" t="s">
        <v>16</v>
      </c>
      <c r="J895" s="4"/>
    </row>
    <row r="896" spans="1:11" x14ac:dyDescent="0.2">
      <c r="A896">
        <f>COUNTIF($I$2:I896,'[1]Detalle Pilotos'!$G$3)</f>
        <v>0</v>
      </c>
      <c r="B896">
        <f t="shared" si="13"/>
        <v>895</v>
      </c>
      <c r="C896" s="9">
        <v>44852</v>
      </c>
      <c r="D896" s="4" t="s">
        <v>15</v>
      </c>
      <c r="E896" s="8"/>
      <c r="F896" s="3">
        <v>4400000</v>
      </c>
      <c r="G896" s="7">
        <f>IF(Tabla1[[#This Row],[Fecha]]="","",G895+Tabla1[[#This Row],[ingreso]]-Tabla1[[#This Row],[egreso]])</f>
        <v>5573278.1442999989</v>
      </c>
      <c r="H896" s="7"/>
      <c r="I896" s="7" t="s">
        <v>16</v>
      </c>
      <c r="J896" s="4"/>
    </row>
    <row r="897" spans="1:10" x14ac:dyDescent="0.2">
      <c r="A897">
        <f>COUNTIF($I$2:I897,'[1]Detalle Pilotos'!$G$3)</f>
        <v>0</v>
      </c>
      <c r="B897">
        <f t="shared" si="13"/>
        <v>896</v>
      </c>
      <c r="C897" s="9">
        <v>44855</v>
      </c>
      <c r="D897" s="4" t="s">
        <v>424</v>
      </c>
      <c r="E897" s="8">
        <v>214200</v>
      </c>
      <c r="F897" s="3"/>
      <c r="G897" s="7">
        <f>IF(Tabla1[[#This Row],[Fecha]]="","",G896+Tabla1[[#This Row],[ingreso]]-Tabla1[[#This Row],[egreso]])</f>
        <v>5359078.1442999989</v>
      </c>
      <c r="H897" s="7"/>
      <c r="I897" s="7"/>
      <c r="J897" s="4"/>
    </row>
    <row r="898" spans="1:10" x14ac:dyDescent="0.2">
      <c r="A898">
        <f>COUNTIF($I$2:I898,'[1]Detalle Pilotos'!$G$3)</f>
        <v>0</v>
      </c>
      <c r="B898">
        <f t="shared" si="13"/>
        <v>897</v>
      </c>
      <c r="C898" s="9">
        <v>44858</v>
      </c>
      <c r="D898" s="38" t="s">
        <v>425</v>
      </c>
      <c r="E898" s="8">
        <v>201300</v>
      </c>
      <c r="F898" s="3"/>
      <c r="G898" s="7">
        <f>IF(Tabla1[[#This Row],[Fecha]]="","",G897+Tabla1[[#This Row],[ingreso]]-Tabla1[[#This Row],[egreso]])</f>
        <v>5157778.1442999989</v>
      </c>
      <c r="H898" s="7"/>
      <c r="I898" s="7"/>
      <c r="J898" s="4"/>
    </row>
    <row r="899" spans="1:10" x14ac:dyDescent="0.2">
      <c r="A899">
        <f>COUNTIF($I$2:I899,'[1]Detalle Pilotos'!$G$3)</f>
        <v>0</v>
      </c>
      <c r="B899">
        <f t="shared" si="13"/>
        <v>898</v>
      </c>
      <c r="C899" s="9">
        <v>44859</v>
      </c>
      <c r="D899" s="4" t="s">
        <v>426</v>
      </c>
      <c r="E899" s="8">
        <v>15470</v>
      </c>
      <c r="F899" s="3"/>
      <c r="G899" s="7">
        <f>IF(Tabla1[[#This Row],[Fecha]]="","",G898+Tabla1[[#This Row],[ingreso]]-Tabla1[[#This Row],[egreso]])</f>
        <v>5142308.1442999989</v>
      </c>
      <c r="H899" s="7"/>
      <c r="I899" s="7"/>
      <c r="J899" s="4" t="s">
        <v>427</v>
      </c>
    </row>
    <row r="900" spans="1:10" x14ac:dyDescent="0.2">
      <c r="A900">
        <f>COUNTIF($I$2:I900,'[1]Detalle Pilotos'!$G$3)</f>
        <v>0</v>
      </c>
      <c r="B900">
        <f t="shared" ref="B900:B963" si="14">IF(C900="","",1+B899)</f>
        <v>899</v>
      </c>
      <c r="C900" s="9">
        <v>44860</v>
      </c>
      <c r="D900" s="38" t="s">
        <v>428</v>
      </c>
      <c r="E900" s="8">
        <v>168300</v>
      </c>
      <c r="F900" s="3"/>
      <c r="G900" s="7">
        <f>IF(Tabla1[[#This Row],[Fecha]]="","",G899+Tabla1[[#This Row],[ingreso]]-Tabla1[[#This Row],[egreso]])</f>
        <v>4974008.1442999989</v>
      </c>
      <c r="H900" s="7"/>
      <c r="I900" s="7"/>
      <c r="J900" s="4"/>
    </row>
    <row r="901" spans="1:10" x14ac:dyDescent="0.2">
      <c r="A901">
        <f>COUNTIF($I$2:I901,'[1]Detalle Pilotos'!$G$3)</f>
        <v>0</v>
      </c>
      <c r="B901">
        <f t="shared" si="14"/>
        <v>900</v>
      </c>
      <c r="C901" s="9">
        <v>44864</v>
      </c>
      <c r="D901" s="4" t="s">
        <v>407</v>
      </c>
      <c r="E901" s="8"/>
      <c r="F901" s="3">
        <v>482500</v>
      </c>
      <c r="G901" s="7">
        <f>IF(Tabla1[[#This Row],[Fecha]]="","",G900+Tabla1[[#This Row],[ingreso]]-Tabla1[[#This Row],[egreso]])</f>
        <v>5456508.1442999989</v>
      </c>
      <c r="H901" s="7"/>
      <c r="I901" s="7" t="s">
        <v>16</v>
      </c>
      <c r="J901" s="4"/>
    </row>
    <row r="902" spans="1:10" x14ac:dyDescent="0.2">
      <c r="A902">
        <f>COUNTIF($I$2:I902,'[1]Detalle Pilotos'!$G$3)</f>
        <v>0</v>
      </c>
      <c r="B902">
        <f t="shared" si="14"/>
        <v>901</v>
      </c>
      <c r="C902" s="9">
        <v>44867</v>
      </c>
      <c r="D902" s="4" t="s">
        <v>429</v>
      </c>
      <c r="E902" s="8">
        <v>204600</v>
      </c>
      <c r="F902" s="3"/>
      <c r="G902" s="7">
        <f>IF(Tabla1[[#This Row],[Fecha]]="","",G901+Tabla1[[#This Row],[ingreso]]-Tabla1[[#This Row],[egreso]])</f>
        <v>5251908.1442999989</v>
      </c>
      <c r="H902" s="7"/>
      <c r="I902" s="7"/>
      <c r="J902" s="4"/>
    </row>
    <row r="903" spans="1:10" x14ac:dyDescent="0.2">
      <c r="A903">
        <f>COUNTIF($I$2:I903,'[1]Detalle Pilotos'!$G$3)</f>
        <v>0</v>
      </c>
      <c r="B903">
        <f t="shared" si="14"/>
        <v>902</v>
      </c>
      <c r="C903" s="9">
        <v>44868</v>
      </c>
      <c r="D903" s="4" t="s">
        <v>72</v>
      </c>
      <c r="E903" s="8">
        <v>392364</v>
      </c>
      <c r="F903" s="3"/>
      <c r="G903" s="7">
        <f>IF(Tabla1[[#This Row],[Fecha]]="","",G902+Tabla1[[#This Row],[ingreso]]-Tabla1[[#This Row],[egreso]])</f>
        <v>4859544.1442999989</v>
      </c>
      <c r="H903" s="7"/>
      <c r="I903" s="7"/>
      <c r="J903" s="4"/>
    </row>
    <row r="904" spans="1:10" x14ac:dyDescent="0.2">
      <c r="A904">
        <f>COUNTIF($I$2:I904,'[1]Detalle Pilotos'!$G$3)</f>
        <v>0</v>
      </c>
      <c r="B904">
        <f t="shared" si="14"/>
        <v>903</v>
      </c>
      <c r="C904" s="9">
        <v>44868</v>
      </c>
      <c r="D904" s="4" t="s">
        <v>430</v>
      </c>
      <c r="E904" s="8">
        <v>81633</v>
      </c>
      <c r="F904" s="3"/>
      <c r="G904" s="7">
        <f>IF(Tabla1[[#This Row],[Fecha]]="","",G903+Tabla1[[#This Row],[ingreso]]-Tabla1[[#This Row],[egreso]])</f>
        <v>4777911.1442999989</v>
      </c>
      <c r="H904" s="7"/>
      <c r="I904" s="7"/>
      <c r="J904" s="4"/>
    </row>
    <row r="905" spans="1:10" x14ac:dyDescent="0.2">
      <c r="A905">
        <f>COUNTIF($I$2:I905,'[1]Detalle Pilotos'!$G$3)</f>
        <v>0</v>
      </c>
      <c r="B905">
        <f t="shared" si="14"/>
        <v>904</v>
      </c>
      <c r="C905" s="9">
        <v>44869</v>
      </c>
      <c r="D905" s="4" t="s">
        <v>431</v>
      </c>
      <c r="E905" s="8">
        <v>165000</v>
      </c>
      <c r="F905" s="3"/>
      <c r="G905" s="7">
        <f>IF(Tabla1[[#This Row],[Fecha]]="","",G904+Tabla1[[#This Row],[ingreso]]-Tabla1[[#This Row],[egreso]])</f>
        <v>4612911.1442999989</v>
      </c>
      <c r="H905" s="7"/>
      <c r="I905" s="7"/>
      <c r="J905" s="4"/>
    </row>
    <row r="906" spans="1:10" x14ac:dyDescent="0.2">
      <c r="A906">
        <f>COUNTIF($I$2:I906,'[1]Detalle Pilotos'!$G$3)</f>
        <v>0</v>
      </c>
      <c r="B906">
        <f t="shared" si="14"/>
        <v>905</v>
      </c>
      <c r="C906" s="9">
        <v>44869</v>
      </c>
      <c r="D906" s="4" t="s">
        <v>432</v>
      </c>
      <c r="E906" s="8">
        <v>94430</v>
      </c>
      <c r="F906" s="3"/>
      <c r="G906" s="7">
        <f>IF(Tabla1[[#This Row],[Fecha]]="","",G905+Tabla1[[#This Row],[ingreso]]-Tabla1[[#This Row],[egreso]])</f>
        <v>4518481.1442999989</v>
      </c>
      <c r="H906" s="7"/>
      <c r="I906" s="7"/>
      <c r="J906" s="4"/>
    </row>
    <row r="907" spans="1:10" x14ac:dyDescent="0.2">
      <c r="A907">
        <f>COUNTIF($I$2:I907,'[1]Detalle Pilotos'!$G$3)</f>
        <v>0</v>
      </c>
      <c r="B907">
        <f t="shared" si="14"/>
        <v>906</v>
      </c>
      <c r="C907" s="9">
        <v>44869</v>
      </c>
      <c r="D907" s="4" t="s">
        <v>433</v>
      </c>
      <c r="E907" s="8">
        <v>8111</v>
      </c>
      <c r="F907" s="3"/>
      <c r="G907" s="7">
        <f>IF(Tabla1[[#This Row],[Fecha]]="","",G906+Tabla1[[#This Row],[ingreso]]-Tabla1[[#This Row],[egreso]])</f>
        <v>4510370.1442999989</v>
      </c>
      <c r="H907" s="7"/>
      <c r="I907" s="7"/>
      <c r="J907" s="4"/>
    </row>
    <row r="908" spans="1:10" x14ac:dyDescent="0.2">
      <c r="A908">
        <f>COUNTIF($I$2:I908,'[1]Detalle Pilotos'!$G$3)</f>
        <v>0</v>
      </c>
      <c r="B908">
        <f t="shared" si="14"/>
        <v>907</v>
      </c>
      <c r="C908" s="9">
        <v>44869</v>
      </c>
      <c r="D908" s="4" t="s">
        <v>325</v>
      </c>
      <c r="E908" s="8">
        <v>200000</v>
      </c>
      <c r="F908" s="3"/>
      <c r="G908" s="7">
        <f>IF(Tabla1[[#This Row],[Fecha]]="","",G907+Tabla1[[#This Row],[ingreso]]-Tabla1[[#This Row],[egreso]])</f>
        <v>4310370.1442999989</v>
      </c>
      <c r="H908" s="7"/>
      <c r="I908" s="7"/>
      <c r="J908" s="4"/>
    </row>
    <row r="909" spans="1:10" x14ac:dyDescent="0.2">
      <c r="A909">
        <f>COUNTIF($I$2:I909,'[1]Detalle Pilotos'!$G$3)</f>
        <v>0</v>
      </c>
      <c r="B909">
        <f t="shared" si="14"/>
        <v>908</v>
      </c>
      <c r="C909" s="9">
        <v>44869</v>
      </c>
      <c r="D909" s="4" t="s">
        <v>325</v>
      </c>
      <c r="E909" s="8">
        <v>120902</v>
      </c>
      <c r="F909" s="3"/>
      <c r="G909" s="7">
        <f>IF(Tabla1[[#This Row],[Fecha]]="","",G908+Tabla1[[#This Row],[ingreso]]-Tabla1[[#This Row],[egreso]])</f>
        <v>4189468.1442999989</v>
      </c>
      <c r="H909" s="7"/>
      <c r="I909" s="7"/>
      <c r="J909" s="4"/>
    </row>
    <row r="910" spans="1:10" x14ac:dyDescent="0.2">
      <c r="A910">
        <f>COUNTIF($I$2:I910,'[1]Detalle Pilotos'!$G$3)</f>
        <v>0</v>
      </c>
      <c r="B910">
        <f t="shared" si="14"/>
        <v>909</v>
      </c>
      <c r="C910" s="9">
        <v>44869</v>
      </c>
      <c r="D910" s="4" t="s">
        <v>434</v>
      </c>
      <c r="E910" s="8">
        <v>125400</v>
      </c>
      <c r="F910" s="3"/>
      <c r="G910" s="7">
        <f>IF(Tabla1[[#This Row],[Fecha]]="","",G909+Tabla1[[#This Row],[ingreso]]-Tabla1[[#This Row],[egreso]])</f>
        <v>4064068.1442999989</v>
      </c>
      <c r="H910" s="7"/>
      <c r="I910" s="7"/>
      <c r="J910" s="4"/>
    </row>
    <row r="911" spans="1:10" x14ac:dyDescent="0.2">
      <c r="A911">
        <f>COUNTIF($I$2:I911,'[1]Detalle Pilotos'!$G$3)</f>
        <v>0</v>
      </c>
      <c r="B911">
        <f t="shared" si="14"/>
        <v>910</v>
      </c>
      <c r="C911" s="9">
        <v>44870</v>
      </c>
      <c r="D911" s="4" t="s">
        <v>325</v>
      </c>
      <c r="E911" s="8">
        <v>98000</v>
      </c>
      <c r="F911" s="3"/>
      <c r="G911" s="7">
        <f>IF(Tabla1[[#This Row],[Fecha]]="","",G910+Tabla1[[#This Row],[ingreso]]-Tabla1[[#This Row],[egreso]])</f>
        <v>3966068.1442999989</v>
      </c>
      <c r="H911" s="7"/>
      <c r="I911" s="7"/>
      <c r="J911" s="4"/>
    </row>
    <row r="912" spans="1:10" x14ac:dyDescent="0.2">
      <c r="A912">
        <f>COUNTIF($I$2:I912,'[1]Detalle Pilotos'!$G$3)</f>
        <v>0</v>
      </c>
      <c r="B912">
        <f t="shared" si="14"/>
        <v>911</v>
      </c>
      <c r="C912" s="9">
        <v>44871</v>
      </c>
      <c r="D912" s="4" t="s">
        <v>258</v>
      </c>
      <c r="E912" s="8"/>
      <c r="F912" s="3">
        <v>270000</v>
      </c>
      <c r="G912" s="7">
        <f>IF(Tabla1[[#This Row],[Fecha]]="","",G911+Tabla1[[#This Row],[ingreso]]-Tabla1[[#This Row],[egreso]])</f>
        <v>4236068.1442999989</v>
      </c>
      <c r="H912" s="7"/>
      <c r="I912" s="7" t="s">
        <v>259</v>
      </c>
      <c r="J912" s="4"/>
    </row>
    <row r="913" spans="1:11" x14ac:dyDescent="0.2">
      <c r="A913">
        <f>COUNTIF($I$2:I913,'[1]Detalle Pilotos'!$G$3)</f>
        <v>0</v>
      </c>
      <c r="B913">
        <f t="shared" si="14"/>
        <v>912</v>
      </c>
      <c r="C913" s="9">
        <v>44872</v>
      </c>
      <c r="D913" s="38" t="s">
        <v>435</v>
      </c>
      <c r="E913" s="8">
        <v>237600</v>
      </c>
      <c r="F913" s="3"/>
      <c r="G913" s="7">
        <f>IF(Tabla1[[#This Row],[Fecha]]="","",G912+Tabla1[[#This Row],[ingreso]]-Tabla1[[#This Row],[egreso]])</f>
        <v>3998468.1442999989</v>
      </c>
      <c r="H913" s="7"/>
      <c r="I913" s="7"/>
      <c r="J913" s="4"/>
    </row>
    <row r="914" spans="1:11" x14ac:dyDescent="0.2">
      <c r="A914">
        <f>COUNTIF($I$2:I914,'[1]Detalle Pilotos'!$G$3)</f>
        <v>0</v>
      </c>
      <c r="B914">
        <f t="shared" si="14"/>
        <v>913</v>
      </c>
      <c r="C914" s="9">
        <v>44874</v>
      </c>
      <c r="D914" s="4" t="s">
        <v>237</v>
      </c>
      <c r="E914" s="8"/>
      <c r="F914" s="3">
        <v>1780900</v>
      </c>
      <c r="G914" s="7">
        <f>IF(Tabla1[[#This Row],[Fecha]]="","",G913+Tabla1[[#This Row],[ingreso]]-Tabla1[[#This Row],[egreso]])</f>
        <v>5779368.1442999989</v>
      </c>
      <c r="H914" s="7">
        <v>2000</v>
      </c>
      <c r="I914" s="7" t="s">
        <v>329</v>
      </c>
      <c r="J914" s="4"/>
      <c r="K914">
        <f>Tabla1[[#This Row],[ingreso]]/Tabla1[[#This Row],[Tipo]]</f>
        <v>890.45</v>
      </c>
    </row>
    <row r="915" spans="1:11" x14ac:dyDescent="0.2">
      <c r="A915">
        <f>COUNTIF($I$2:I915,'[1]Detalle Pilotos'!$G$3)</f>
        <v>0</v>
      </c>
      <c r="B915">
        <f t="shared" si="14"/>
        <v>914</v>
      </c>
      <c r="C915" s="9">
        <v>44874</v>
      </c>
      <c r="D915" s="4" t="s">
        <v>436</v>
      </c>
      <c r="E915" s="8">
        <v>2500000</v>
      </c>
      <c r="F915" s="3"/>
      <c r="G915" s="7">
        <f>IF(Tabla1[[#This Row],[Fecha]]="","",G914+Tabla1[[#This Row],[ingreso]]-Tabla1[[#This Row],[egreso]])</f>
        <v>3279368.1442999989</v>
      </c>
      <c r="H915" s="7"/>
      <c r="I915" s="7"/>
      <c r="J915" s="4"/>
    </row>
    <row r="916" spans="1:11" x14ac:dyDescent="0.2">
      <c r="A916">
        <f>COUNTIF($I$2:I916,'[1]Detalle Pilotos'!$G$3)</f>
        <v>0</v>
      </c>
      <c r="B916">
        <f t="shared" si="14"/>
        <v>915</v>
      </c>
      <c r="C916" s="9">
        <v>44874</v>
      </c>
      <c r="D916" s="4" t="s">
        <v>356</v>
      </c>
      <c r="E916" s="8">
        <v>2000000</v>
      </c>
      <c r="F916" s="3"/>
      <c r="G916" s="7">
        <f>IF(Tabla1[[#This Row],[Fecha]]="","",G915+Tabla1[[#This Row],[ingreso]]-Tabla1[[#This Row],[egreso]])</f>
        <v>1279368.1442999989</v>
      </c>
      <c r="H916" s="7"/>
      <c r="I916" s="7"/>
      <c r="J916" s="4"/>
    </row>
    <row r="917" spans="1:11" x14ac:dyDescent="0.2">
      <c r="A917">
        <f>COUNTIF($I$2:I917,'[1]Detalle Pilotos'!$G$3)</f>
        <v>0</v>
      </c>
      <c r="B917">
        <f t="shared" si="14"/>
        <v>916</v>
      </c>
      <c r="C917" s="9">
        <v>44875</v>
      </c>
      <c r="D917" s="4" t="s">
        <v>437</v>
      </c>
      <c r="E917" s="8">
        <v>159244</v>
      </c>
      <c r="F917" s="3"/>
      <c r="G917" s="7">
        <f>IF(Tabla1[[#This Row],[Fecha]]="","",G916+Tabla1[[#This Row],[ingreso]]-Tabla1[[#This Row],[egreso]])</f>
        <v>1120124.1442999989</v>
      </c>
      <c r="H917" s="7"/>
      <c r="I917" s="7"/>
      <c r="J917" s="4"/>
    </row>
    <row r="918" spans="1:11" x14ac:dyDescent="0.2">
      <c r="A918">
        <f>COUNTIF($I$2:I918,'[1]Detalle Pilotos'!$G$3)</f>
        <v>0</v>
      </c>
      <c r="B918">
        <f t="shared" si="14"/>
        <v>917</v>
      </c>
      <c r="C918" s="9">
        <v>44878</v>
      </c>
      <c r="D918" s="4" t="s">
        <v>237</v>
      </c>
      <c r="E918" s="8"/>
      <c r="F918" s="3">
        <v>2612700</v>
      </c>
      <c r="G918" s="7">
        <f>IF(Tabla1[[#This Row],[Fecha]]="","",G917+Tabla1[[#This Row],[ingreso]]-Tabla1[[#This Row],[egreso]])</f>
        <v>3732824.1442999989</v>
      </c>
      <c r="H918" s="7">
        <v>3000</v>
      </c>
      <c r="I918" s="7" t="s">
        <v>329</v>
      </c>
      <c r="J918" s="4"/>
      <c r="K918">
        <f>Tabla1[[#This Row],[ingreso]]/Tabla1[[#This Row],[Tipo]]</f>
        <v>870.9</v>
      </c>
    </row>
    <row r="919" spans="1:11" x14ac:dyDescent="0.2">
      <c r="A919">
        <f>COUNTIF($I$2:I919,'[1]Detalle Pilotos'!$G$3)</f>
        <v>0</v>
      </c>
      <c r="B919">
        <f t="shared" si="14"/>
        <v>918</v>
      </c>
      <c r="C919" s="9">
        <v>44879</v>
      </c>
      <c r="D919" s="4" t="s">
        <v>356</v>
      </c>
      <c r="E919" s="8">
        <v>3000000</v>
      </c>
      <c r="F919" s="3"/>
      <c r="G919" s="7">
        <f>IF(Tabla1[[#This Row],[Fecha]]="","",G918+Tabla1[[#This Row],[ingreso]]-Tabla1[[#This Row],[egreso]])</f>
        <v>732824.14429999888</v>
      </c>
      <c r="H919" s="7"/>
      <c r="I919" s="7"/>
      <c r="J919" s="4"/>
    </row>
    <row r="920" spans="1:11" x14ac:dyDescent="0.2">
      <c r="A920">
        <f>COUNTIF($I$2:I920,'[1]Detalle Pilotos'!$G$3)</f>
        <v>0</v>
      </c>
      <c r="B920">
        <f t="shared" si="14"/>
        <v>919</v>
      </c>
      <c r="C920" s="9">
        <v>44879</v>
      </c>
      <c r="D920" s="4" t="s">
        <v>438</v>
      </c>
      <c r="E920" s="8">
        <v>351000</v>
      </c>
      <c r="F920" s="3"/>
      <c r="G920" s="7">
        <f>IF(Tabla1[[#This Row],[Fecha]]="","",G919+Tabla1[[#This Row],[ingreso]]-Tabla1[[#This Row],[egreso]])</f>
        <v>381824.14429999888</v>
      </c>
      <c r="H920" s="7"/>
      <c r="I920" s="7"/>
      <c r="J920" s="4"/>
    </row>
    <row r="921" spans="1:11" x14ac:dyDescent="0.2">
      <c r="A921">
        <f>COUNTIF($I$2:I921,'[1]Detalle Pilotos'!$G$3)</f>
        <v>0</v>
      </c>
      <c r="B921">
        <f t="shared" si="14"/>
        <v>920</v>
      </c>
      <c r="C921" s="9">
        <v>44879</v>
      </c>
      <c r="D921" s="4" t="s">
        <v>283</v>
      </c>
      <c r="E921" s="8">
        <v>162775</v>
      </c>
      <c r="F921" s="3"/>
      <c r="G921" s="7">
        <f>IF(Tabla1[[#This Row],[Fecha]]="","",G920+Tabla1[[#This Row],[ingreso]]-Tabla1[[#This Row],[egreso]])</f>
        <v>219049.14429999888</v>
      </c>
      <c r="H921" s="7"/>
      <c r="I921" s="7"/>
      <c r="J921" s="4"/>
    </row>
    <row r="922" spans="1:11" x14ac:dyDescent="0.2">
      <c r="A922">
        <f>COUNTIF($I$2:I922,'[1]Detalle Pilotos'!$G$3)</f>
        <v>0</v>
      </c>
      <c r="B922">
        <f t="shared" si="14"/>
        <v>921</v>
      </c>
      <c r="C922" s="9">
        <v>44880</v>
      </c>
      <c r="D922" s="4" t="s">
        <v>325</v>
      </c>
      <c r="E922" s="8">
        <v>169263</v>
      </c>
      <c r="F922" s="3"/>
      <c r="G922" s="7">
        <f>IF(Tabla1[[#This Row],[Fecha]]="","",G921+Tabla1[[#This Row],[ingreso]]-Tabla1[[#This Row],[egreso]])</f>
        <v>49786.144299998879</v>
      </c>
      <c r="H922" s="7"/>
      <c r="I922" s="7"/>
      <c r="J922" s="4"/>
    </row>
    <row r="923" spans="1:11" x14ac:dyDescent="0.2">
      <c r="A923">
        <f>COUNTIF($I$2:I923,'[1]Detalle Pilotos'!$G$3)</f>
        <v>0</v>
      </c>
      <c r="B923">
        <f t="shared" si="14"/>
        <v>922</v>
      </c>
      <c r="C923" s="9">
        <v>44880</v>
      </c>
      <c r="D923" s="4" t="s">
        <v>166</v>
      </c>
      <c r="E923" s="8"/>
      <c r="F923" s="3">
        <v>165000</v>
      </c>
      <c r="G923" s="7">
        <f>IF(Tabla1[[#This Row],[Fecha]]="","",G922+Tabla1[[#This Row],[ingreso]]-Tabla1[[#This Row],[egreso]])</f>
        <v>214786.14429999888</v>
      </c>
      <c r="H923" s="7"/>
      <c r="I923" s="7" t="s">
        <v>167</v>
      </c>
      <c r="J923" s="4"/>
    </row>
    <row r="924" spans="1:11" x14ac:dyDescent="0.2">
      <c r="A924">
        <f>COUNTIF($I$2:I924,'[1]Detalle Pilotos'!$G$3)</f>
        <v>0</v>
      </c>
      <c r="B924">
        <f t="shared" si="14"/>
        <v>923</v>
      </c>
      <c r="C924" s="9">
        <v>44880</v>
      </c>
      <c r="D924" s="4" t="s">
        <v>237</v>
      </c>
      <c r="E924" s="8"/>
      <c r="F924" s="3">
        <v>866550</v>
      </c>
      <c r="G924" s="7">
        <f>IF(Tabla1[[#This Row],[Fecha]]="","",G923+Tabla1[[#This Row],[ingreso]]-Tabla1[[#This Row],[egreso]])</f>
        <v>1081336.1442999989</v>
      </c>
      <c r="H924" s="7">
        <v>1000</v>
      </c>
      <c r="I924" s="7" t="s">
        <v>329</v>
      </c>
      <c r="J924" s="4"/>
      <c r="K924">
        <f>Tabla1[[#This Row],[ingreso]]/Tabla1[[#This Row],[Tipo]]</f>
        <v>866.55</v>
      </c>
    </row>
    <row r="925" spans="1:11" x14ac:dyDescent="0.2">
      <c r="A925">
        <f>COUNTIF($I$2:I925,'[1]Detalle Pilotos'!$G$3)</f>
        <v>0</v>
      </c>
      <c r="B925">
        <f t="shared" si="14"/>
        <v>924</v>
      </c>
      <c r="C925" s="9">
        <v>44881</v>
      </c>
      <c r="D925" s="38" t="s">
        <v>439</v>
      </c>
      <c r="E925" s="8">
        <v>224400</v>
      </c>
      <c r="F925" s="3"/>
      <c r="G925" s="7">
        <f>IF(Tabla1[[#This Row],[Fecha]]="","",G924+Tabla1[[#This Row],[ingreso]]-Tabla1[[#This Row],[egreso]])</f>
        <v>856936.14429999888</v>
      </c>
      <c r="H925" s="7"/>
      <c r="I925" s="7"/>
      <c r="J925" s="4"/>
    </row>
    <row r="926" spans="1:11" x14ac:dyDescent="0.2">
      <c r="A926">
        <f>COUNTIF($I$2:I926,'[1]Detalle Pilotos'!$G$3)</f>
        <v>0</v>
      </c>
      <c r="B926">
        <f t="shared" si="14"/>
        <v>925</v>
      </c>
      <c r="C926" s="9">
        <v>44881</v>
      </c>
      <c r="D926" s="4" t="s">
        <v>437</v>
      </c>
      <c r="E926" s="8">
        <v>67305</v>
      </c>
      <c r="F926" s="3"/>
      <c r="G926" s="7">
        <f>IF(Tabla1[[#This Row],[Fecha]]="","",G925+Tabla1[[#This Row],[ingreso]]-Tabla1[[#This Row],[egreso]])</f>
        <v>789631.14429999888</v>
      </c>
      <c r="H926" s="7"/>
      <c r="I926" s="7"/>
      <c r="J926" s="4"/>
    </row>
    <row r="927" spans="1:11" x14ac:dyDescent="0.2">
      <c r="A927">
        <f>COUNTIF($I$2:I927,'[1]Detalle Pilotos'!$G$3)</f>
        <v>0</v>
      </c>
      <c r="B927">
        <f t="shared" si="14"/>
        <v>926</v>
      </c>
      <c r="C927" s="9">
        <v>44881</v>
      </c>
      <c r="D927" s="4" t="s">
        <v>258</v>
      </c>
      <c r="E927" s="8"/>
      <c r="F927" s="3">
        <v>195000</v>
      </c>
      <c r="G927" s="7">
        <f>IF(Tabla1[[#This Row],[Fecha]]="","",G926+Tabla1[[#This Row],[ingreso]]-Tabla1[[#This Row],[egreso]])</f>
        <v>984631.14429999888</v>
      </c>
      <c r="H927" s="7"/>
      <c r="I927" s="7" t="s">
        <v>259</v>
      </c>
      <c r="J927" s="4"/>
    </row>
    <row r="928" spans="1:11" x14ac:dyDescent="0.2">
      <c r="A928">
        <f>COUNTIF($I$2:I928,'[1]Detalle Pilotos'!$G$3)</f>
        <v>0</v>
      </c>
      <c r="B928">
        <f t="shared" si="14"/>
        <v>927</v>
      </c>
      <c r="C928" s="9">
        <v>44881</v>
      </c>
      <c r="D928" s="4" t="s">
        <v>440</v>
      </c>
      <c r="E928" s="8"/>
      <c r="F928" s="3">
        <v>346500</v>
      </c>
      <c r="G928" s="7">
        <f>IF(Tabla1[[#This Row],[Fecha]]="","",G927+Tabla1[[#This Row],[ingreso]]-Tabla1[[#This Row],[egreso]])</f>
        <v>1331131.1442999989</v>
      </c>
      <c r="H928" s="7"/>
      <c r="I928" s="7" t="s">
        <v>441</v>
      </c>
      <c r="J928" s="4"/>
    </row>
    <row r="929" spans="1:11" x14ac:dyDescent="0.2">
      <c r="A929">
        <f>COUNTIF($I$2:I929,'[1]Detalle Pilotos'!$G$3)</f>
        <v>0</v>
      </c>
      <c r="B929">
        <f t="shared" si="14"/>
        <v>928</v>
      </c>
      <c r="C929" s="9">
        <v>44881</v>
      </c>
      <c r="D929" s="38" t="s">
        <v>442</v>
      </c>
      <c r="E929" s="8">
        <v>154400</v>
      </c>
      <c r="F929" s="3"/>
      <c r="G929" s="7">
        <f>IF(Tabla1[[#This Row],[Fecha]]="","",G928+Tabla1[[#This Row],[ingreso]]-Tabla1[[#This Row],[egreso]])</f>
        <v>1176731.1442999989</v>
      </c>
      <c r="H929" s="7"/>
      <c r="I929" s="7"/>
      <c r="J929" s="4"/>
    </row>
    <row r="930" spans="1:11" x14ac:dyDescent="0.2">
      <c r="A930">
        <f>COUNTIF($I$2:I930,'[1]Detalle Pilotos'!$G$3)</f>
        <v>0</v>
      </c>
      <c r="B930">
        <f t="shared" si="14"/>
        <v>929</v>
      </c>
      <c r="C930" s="9">
        <v>44881</v>
      </c>
      <c r="D930" s="4" t="s">
        <v>15</v>
      </c>
      <c r="E930" s="8"/>
      <c r="F930" s="3">
        <v>2500000</v>
      </c>
      <c r="G930" s="7">
        <f>IF(Tabla1[[#This Row],[Fecha]]="","",G929+Tabla1[[#This Row],[ingreso]]-Tabla1[[#This Row],[egreso]])</f>
        <v>3676731.1442999989</v>
      </c>
      <c r="H930" s="7"/>
      <c r="I930" s="7" t="s">
        <v>16</v>
      </c>
      <c r="J930" s="4"/>
    </row>
    <row r="931" spans="1:11" x14ac:dyDescent="0.2">
      <c r="A931">
        <f>COUNTIF($I$2:I931,'[1]Detalle Pilotos'!$G$3)</f>
        <v>0</v>
      </c>
      <c r="B931">
        <f t="shared" si="14"/>
        <v>930</v>
      </c>
      <c r="C931" s="9">
        <v>44881</v>
      </c>
      <c r="D931" s="4" t="s">
        <v>15</v>
      </c>
      <c r="E931" s="8"/>
      <c r="F931" s="3">
        <v>20000</v>
      </c>
      <c r="G931" s="7">
        <f>IF(Tabla1[[#This Row],[Fecha]]="","",G930+Tabla1[[#This Row],[ingreso]]-Tabla1[[#This Row],[egreso]])</f>
        <v>3696731.1442999989</v>
      </c>
      <c r="H931" s="7"/>
      <c r="I931" s="7" t="s">
        <v>16</v>
      </c>
      <c r="J931" s="4"/>
    </row>
    <row r="932" spans="1:11" x14ac:dyDescent="0.2">
      <c r="A932">
        <f>COUNTIF($I$2:I932,'[1]Detalle Pilotos'!$G$3)</f>
        <v>0</v>
      </c>
      <c r="B932">
        <f t="shared" si="14"/>
        <v>931</v>
      </c>
      <c r="C932" s="9">
        <v>44882</v>
      </c>
      <c r="D932" s="4" t="s">
        <v>237</v>
      </c>
      <c r="E932" s="8"/>
      <c r="F932" s="3">
        <v>2689200</v>
      </c>
      <c r="G932" s="7">
        <f>IF(Tabla1[[#This Row],[Fecha]]="","",G931+Tabla1[[#This Row],[ingreso]]-Tabla1[[#This Row],[egreso]])</f>
        <v>6385931.1442999989</v>
      </c>
      <c r="H932" s="7">
        <v>3000</v>
      </c>
      <c r="I932" s="7" t="s">
        <v>329</v>
      </c>
      <c r="J932" s="4"/>
      <c r="K932">
        <f>Tabla1[[#This Row],[ingreso]]/Tabla1[[#This Row],[Tipo]]</f>
        <v>896.4</v>
      </c>
    </row>
    <row r="933" spans="1:11" x14ac:dyDescent="0.2">
      <c r="A933">
        <f>COUNTIF($I$2:I933,'[1]Detalle Pilotos'!$G$3)</f>
        <v>0</v>
      </c>
      <c r="B933">
        <f t="shared" si="14"/>
        <v>932</v>
      </c>
      <c r="C933" s="9">
        <v>44882</v>
      </c>
      <c r="D933" s="4" t="s">
        <v>436</v>
      </c>
      <c r="E933" s="8">
        <v>5000000</v>
      </c>
      <c r="F933" s="3"/>
      <c r="G933" s="7">
        <f>IF(Tabla1[[#This Row],[Fecha]]="","",G932+Tabla1[[#This Row],[ingreso]]-Tabla1[[#This Row],[egreso]])</f>
        <v>1385931.1442999989</v>
      </c>
      <c r="H933" s="7"/>
      <c r="I933" s="7"/>
      <c r="J933" s="4"/>
    </row>
    <row r="934" spans="1:11" x14ac:dyDescent="0.2">
      <c r="A934">
        <f>COUNTIF($I$2:I934,'[1]Detalle Pilotos'!$G$3)</f>
        <v>0</v>
      </c>
      <c r="B934">
        <f t="shared" si="14"/>
        <v>933</v>
      </c>
      <c r="C934" s="9">
        <v>44882</v>
      </c>
      <c r="D934" s="4" t="s">
        <v>237</v>
      </c>
      <c r="E934" s="8"/>
      <c r="F934" s="3">
        <v>2707350</v>
      </c>
      <c r="G934" s="7">
        <f>IF(Tabla1[[#This Row],[Fecha]]="","",G933+Tabla1[[#This Row],[ingreso]]-Tabla1[[#This Row],[egreso]])</f>
        <v>4093281.1442999989</v>
      </c>
      <c r="H934" s="7">
        <v>3000</v>
      </c>
      <c r="I934" s="7" t="s">
        <v>329</v>
      </c>
      <c r="J934" s="4"/>
      <c r="K934">
        <f>Tabla1[[#This Row],[ingreso]]/Tabla1[[#This Row],[Tipo]]</f>
        <v>902.45</v>
      </c>
    </row>
    <row r="935" spans="1:11" x14ac:dyDescent="0.2">
      <c r="A935">
        <f>COUNTIF($I$2:I935,'[1]Detalle Pilotos'!$G$3)</f>
        <v>0</v>
      </c>
      <c r="B935">
        <f t="shared" si="14"/>
        <v>934</v>
      </c>
      <c r="C935" s="9">
        <v>44882</v>
      </c>
      <c r="D935" s="4" t="s">
        <v>443</v>
      </c>
      <c r="E935" s="8"/>
      <c r="F935" s="3">
        <v>141005</v>
      </c>
      <c r="G935" s="7">
        <f>IF(Tabla1[[#This Row],[Fecha]]="","",G934+Tabla1[[#This Row],[ingreso]]-Tabla1[[#This Row],[egreso]])</f>
        <v>4234286.1442999989</v>
      </c>
      <c r="H935" s="7"/>
      <c r="I935" s="7" t="s">
        <v>13</v>
      </c>
      <c r="J935" s="4"/>
    </row>
    <row r="936" spans="1:11" x14ac:dyDescent="0.2">
      <c r="A936">
        <f>COUNTIF($I$2:I936,'[1]Detalle Pilotos'!$G$3)</f>
        <v>0</v>
      </c>
      <c r="B936">
        <f t="shared" si="14"/>
        <v>935</v>
      </c>
      <c r="C936" s="9">
        <v>44883</v>
      </c>
      <c r="D936" s="4" t="s">
        <v>356</v>
      </c>
      <c r="E936" s="39">
        <v>2424279</v>
      </c>
      <c r="F936" s="3"/>
      <c r="G936" s="7">
        <f>IF(Tabla1[[#This Row],[Fecha]]="","",G935+Tabla1[[#This Row],[ingreso]]-Tabla1[[#This Row],[egreso]])</f>
        <v>1810007.1442999989</v>
      </c>
      <c r="H936" s="7"/>
      <c r="I936" s="7"/>
      <c r="J936" s="4"/>
    </row>
    <row r="937" spans="1:11" x14ac:dyDescent="0.2">
      <c r="A937">
        <f>COUNTIF($I$2:I937,'[1]Detalle Pilotos'!$G$3)</f>
        <v>0</v>
      </c>
      <c r="B937">
        <f t="shared" si="14"/>
        <v>936</v>
      </c>
      <c r="C937" s="9">
        <v>44883</v>
      </c>
      <c r="D937" s="4" t="s">
        <v>437</v>
      </c>
      <c r="E937" s="39">
        <v>88458</v>
      </c>
      <c r="F937" s="3"/>
      <c r="G937" s="7">
        <f>IF(Tabla1[[#This Row],[Fecha]]="","",G936+Tabla1[[#This Row],[ingreso]]-Tabla1[[#This Row],[egreso]])</f>
        <v>1721549.1442999989</v>
      </c>
      <c r="H937" s="7"/>
      <c r="I937" s="7"/>
      <c r="J937" s="4"/>
    </row>
    <row r="938" spans="1:11" x14ac:dyDescent="0.2">
      <c r="A938">
        <f>COUNTIF($I$2:I938,'[1]Detalle Pilotos'!$G$3)</f>
        <v>0</v>
      </c>
      <c r="B938">
        <f t="shared" si="14"/>
        <v>937</v>
      </c>
      <c r="C938" s="9">
        <v>44883</v>
      </c>
      <c r="D938" s="4" t="s">
        <v>437</v>
      </c>
      <c r="E938" s="39">
        <v>123072</v>
      </c>
      <c r="F938" s="3"/>
      <c r="G938" s="7">
        <f>IF(Tabla1[[#This Row],[Fecha]]="","",G937+Tabla1[[#This Row],[ingreso]]-Tabla1[[#This Row],[egreso]])</f>
        <v>1598477.1442999989</v>
      </c>
      <c r="H938" s="7"/>
      <c r="I938" s="7"/>
      <c r="J938" s="4"/>
    </row>
    <row r="939" spans="1:11" x14ac:dyDescent="0.2">
      <c r="A939">
        <f>COUNTIF($I$2:I939,'[1]Detalle Pilotos'!$G$3)</f>
        <v>0</v>
      </c>
      <c r="B939">
        <f t="shared" si="14"/>
        <v>938</v>
      </c>
      <c r="C939" s="9">
        <v>44883</v>
      </c>
      <c r="D939" s="4" t="s">
        <v>444</v>
      </c>
      <c r="E939" s="39">
        <v>128700</v>
      </c>
      <c r="F939" s="3"/>
      <c r="G939" s="7">
        <f>IF(Tabla1[[#This Row],[Fecha]]="","",G938+Tabla1[[#This Row],[ingreso]]-Tabla1[[#This Row],[egreso]])</f>
        <v>1469777.1442999989</v>
      </c>
      <c r="H939" s="7"/>
      <c r="I939" s="7"/>
      <c r="J939" s="4"/>
    </row>
    <row r="940" spans="1:11" x14ac:dyDescent="0.2">
      <c r="A940">
        <f>COUNTIF($I$2:I940,'[1]Detalle Pilotos'!$G$3)</f>
        <v>0</v>
      </c>
      <c r="B940">
        <f t="shared" si="14"/>
        <v>939</v>
      </c>
      <c r="C940" s="9">
        <v>44886</v>
      </c>
      <c r="D940" s="4" t="s">
        <v>437</v>
      </c>
      <c r="E940" s="39">
        <v>57690</v>
      </c>
      <c r="F940" s="3"/>
      <c r="G940" s="7">
        <f>IF(Tabla1[[#This Row],[Fecha]]="","",G939+Tabla1[[#This Row],[ingreso]]-Tabla1[[#This Row],[egreso]])</f>
        <v>1412087.1442999989</v>
      </c>
      <c r="H940" s="7"/>
      <c r="I940" s="7"/>
      <c r="J940" s="4"/>
    </row>
    <row r="941" spans="1:11" x14ac:dyDescent="0.2">
      <c r="A941">
        <f>COUNTIF($I$2:I941,'[1]Detalle Pilotos'!$G$3)</f>
        <v>0</v>
      </c>
      <c r="B941">
        <f t="shared" si="14"/>
        <v>940</v>
      </c>
      <c r="C941" s="9">
        <v>44886</v>
      </c>
      <c r="D941" s="4" t="s">
        <v>445</v>
      </c>
      <c r="E941" s="8"/>
      <c r="F941" s="3">
        <v>255000</v>
      </c>
      <c r="G941" s="7">
        <f>IF(Tabla1[[#This Row],[Fecha]]="","",G940+Tabla1[[#This Row],[ingreso]]-Tabla1[[#This Row],[egreso]])</f>
        <v>1667087.1442999989</v>
      </c>
      <c r="H941" s="7"/>
      <c r="I941" s="7" t="s">
        <v>446</v>
      </c>
      <c r="J941" s="4"/>
    </row>
    <row r="942" spans="1:11" x14ac:dyDescent="0.2">
      <c r="A942">
        <f>COUNTIF($I$2:I942,'[1]Detalle Pilotos'!$G$3)</f>
        <v>0</v>
      </c>
      <c r="B942">
        <f t="shared" si="14"/>
        <v>941</v>
      </c>
      <c r="C942" s="9">
        <v>44886</v>
      </c>
      <c r="D942" s="4" t="s">
        <v>325</v>
      </c>
      <c r="E942" s="39">
        <v>116460</v>
      </c>
      <c r="F942" s="3"/>
      <c r="G942" s="7">
        <f>IF(Tabla1[[#This Row],[Fecha]]="","",G941+Tabla1[[#This Row],[ingreso]]-Tabla1[[#This Row],[egreso]])</f>
        <v>1550627.1442999989</v>
      </c>
      <c r="H942" s="7"/>
      <c r="I942" s="7"/>
      <c r="J942" s="4"/>
    </row>
    <row r="943" spans="1:11" x14ac:dyDescent="0.2">
      <c r="A943">
        <f>COUNTIF($I$2:I943,'[1]Detalle Pilotos'!$G$3)</f>
        <v>0</v>
      </c>
      <c r="B943">
        <f t="shared" si="14"/>
        <v>942</v>
      </c>
      <c r="C943" s="9">
        <v>44887</v>
      </c>
      <c r="D943" s="4" t="s">
        <v>447</v>
      </c>
      <c r="E943" s="39">
        <v>217800</v>
      </c>
      <c r="F943" s="3"/>
      <c r="G943" s="7">
        <f>IF(Tabla1[[#This Row],[Fecha]]="","",G942+Tabla1[[#This Row],[ingreso]]-Tabla1[[#This Row],[egreso]])</f>
        <v>1332827.1442999989</v>
      </c>
      <c r="H943" s="7"/>
      <c r="I943" s="7"/>
      <c r="J943" s="4"/>
    </row>
    <row r="944" spans="1:11" x14ac:dyDescent="0.2">
      <c r="A944">
        <f>COUNTIF($I$2:I944,'[1]Detalle Pilotos'!$G$3)</f>
        <v>0</v>
      </c>
      <c r="B944">
        <f t="shared" si="14"/>
        <v>943</v>
      </c>
      <c r="C944" s="9">
        <v>44887</v>
      </c>
      <c r="D944" s="4" t="s">
        <v>157</v>
      </c>
      <c r="E944" s="8"/>
      <c r="F944" s="3">
        <v>225000</v>
      </c>
      <c r="G944" s="7">
        <f>IF(Tabla1[[#This Row],[Fecha]]="","",G943+Tabla1[[#This Row],[ingreso]]-Tabla1[[#This Row],[egreso]])</f>
        <v>1557827.1442999989</v>
      </c>
      <c r="H944" s="7"/>
      <c r="I944" s="7" t="s">
        <v>158</v>
      </c>
      <c r="J944" s="4"/>
    </row>
    <row r="945" spans="1:11" x14ac:dyDescent="0.2">
      <c r="A945">
        <f>COUNTIF($I$2:I945,'[1]Detalle Pilotos'!$G$3)</f>
        <v>0</v>
      </c>
      <c r="B945">
        <f t="shared" si="14"/>
        <v>944</v>
      </c>
      <c r="C945" s="9">
        <v>44890</v>
      </c>
      <c r="D945" s="4" t="s">
        <v>448</v>
      </c>
      <c r="E945" s="39">
        <v>25000</v>
      </c>
      <c r="F945" s="3"/>
      <c r="G945" s="7">
        <f>IF(Tabla1[[#This Row],[Fecha]]="","",G944+Tabla1[[#This Row],[ingreso]]-Tabla1[[#This Row],[egreso]])</f>
        <v>1532827.1442999989</v>
      </c>
      <c r="H945" s="7"/>
      <c r="I945" s="7"/>
      <c r="J945" s="4"/>
    </row>
    <row r="946" spans="1:11" x14ac:dyDescent="0.2">
      <c r="A946">
        <f>COUNTIF($I$2:I946,'[1]Detalle Pilotos'!$G$3)</f>
        <v>0</v>
      </c>
      <c r="B946">
        <f t="shared" si="14"/>
        <v>945</v>
      </c>
      <c r="C946" s="9">
        <v>44890</v>
      </c>
      <c r="D946" s="4" t="s">
        <v>29</v>
      </c>
      <c r="E946" s="39">
        <v>648000</v>
      </c>
      <c r="F946" s="3"/>
      <c r="G946" s="7">
        <f>IF(Tabla1[[#This Row],[Fecha]]="","",G945+Tabla1[[#This Row],[ingreso]]-Tabla1[[#This Row],[egreso]])</f>
        <v>884827.14429999888</v>
      </c>
      <c r="H946" s="7"/>
      <c r="I946" s="7"/>
      <c r="J946" s="4"/>
    </row>
    <row r="947" spans="1:11" x14ac:dyDescent="0.2">
      <c r="A947">
        <f>COUNTIF($I$2:I947,'[1]Detalle Pilotos'!$G$3)</f>
        <v>0</v>
      </c>
      <c r="B947">
        <f t="shared" si="14"/>
        <v>946</v>
      </c>
      <c r="C947" s="9">
        <v>44890</v>
      </c>
      <c r="D947" s="4" t="s">
        <v>237</v>
      </c>
      <c r="E947" s="8"/>
      <c r="F947" s="3">
        <v>1804000</v>
      </c>
      <c r="G947" s="7">
        <f>IF(Tabla1[[#This Row],[Fecha]]="","",G946+Tabla1[[#This Row],[ingreso]]-Tabla1[[#This Row],[egreso]])</f>
        <v>2688827.1442999989</v>
      </c>
      <c r="H947" s="7">
        <v>2000</v>
      </c>
      <c r="I947" s="7" t="s">
        <v>329</v>
      </c>
      <c r="J947" s="4"/>
      <c r="K947">
        <f>IF(Tabla1[[#This Row],[Tipo]]="","",Tabla1[[#This Row],[ingreso]]/Tabla1[[#This Row],[Tipo]])</f>
        <v>902</v>
      </c>
    </row>
    <row r="948" spans="1:11" x14ac:dyDescent="0.2">
      <c r="A948">
        <f>COUNTIF($I$2:I948,'[1]Detalle Pilotos'!$G$3)</f>
        <v>0</v>
      </c>
      <c r="B948">
        <f t="shared" si="14"/>
        <v>947</v>
      </c>
      <c r="C948" s="9">
        <v>44890</v>
      </c>
      <c r="D948" s="4" t="s">
        <v>449</v>
      </c>
      <c r="E948" s="39">
        <v>160000</v>
      </c>
      <c r="F948" s="3"/>
      <c r="G948" s="7">
        <f>IF(Tabla1[[#This Row],[Fecha]]="","",G947+Tabla1[[#This Row],[ingreso]]-Tabla1[[#This Row],[egreso]])</f>
        <v>2528827.1442999989</v>
      </c>
      <c r="H948" s="7"/>
      <c r="I948" s="7"/>
      <c r="J948" s="4"/>
      <c r="K948" t="str">
        <f>IF(Tabla1[[#This Row],[Tipo]]="","",Tabla1[[#This Row],[ingreso]]/Tabla1[[#This Row],[Tipo]])</f>
        <v/>
      </c>
    </row>
    <row r="949" spans="1:11" x14ac:dyDescent="0.2">
      <c r="A949">
        <f>COUNTIF($I$2:I949,'[1]Detalle Pilotos'!$G$3)</f>
        <v>0</v>
      </c>
      <c r="B949">
        <f t="shared" si="14"/>
        <v>948</v>
      </c>
      <c r="C949" s="9">
        <v>44890</v>
      </c>
      <c r="D949" s="4" t="s">
        <v>450</v>
      </c>
      <c r="E949" s="39">
        <v>235000</v>
      </c>
      <c r="F949" s="3"/>
      <c r="G949" s="7">
        <f>IF(Tabla1[[#This Row],[Fecha]]="","",G948+Tabla1[[#This Row],[ingreso]]-Tabla1[[#This Row],[egreso]])</f>
        <v>2293827.1442999989</v>
      </c>
      <c r="H949" s="7"/>
      <c r="I949" s="7"/>
      <c r="J949" s="4"/>
      <c r="K949" t="str">
        <f>IF(Tabla1[[#This Row],[Tipo]]="","",Tabla1[[#This Row],[ingreso]]/Tabla1[[#This Row],[Tipo]])</f>
        <v/>
      </c>
    </row>
    <row r="950" spans="1:11" x14ac:dyDescent="0.2">
      <c r="A950">
        <f>COUNTIF($I$2:I950,'[1]Detalle Pilotos'!$G$3)</f>
        <v>0</v>
      </c>
      <c r="B950">
        <f t="shared" si="14"/>
        <v>949</v>
      </c>
      <c r="C950" s="9">
        <v>44890</v>
      </c>
      <c r="D950" s="4" t="s">
        <v>451</v>
      </c>
      <c r="E950" s="39">
        <v>170000</v>
      </c>
      <c r="F950" s="3"/>
      <c r="G950" s="7">
        <f>IF(Tabla1[[#This Row],[Fecha]]="","",G949+Tabla1[[#This Row],[ingreso]]-Tabla1[[#This Row],[egreso]])</f>
        <v>2123827.1442999989</v>
      </c>
      <c r="H950" s="7"/>
      <c r="I950" s="7"/>
      <c r="J950" s="4"/>
      <c r="K950" t="str">
        <f>IF(Tabla1[[#This Row],[Tipo]]="","",Tabla1[[#This Row],[ingreso]]/Tabla1[[#This Row],[Tipo]])</f>
        <v/>
      </c>
    </row>
    <row r="951" spans="1:11" x14ac:dyDescent="0.2">
      <c r="A951">
        <f>COUNTIF($I$2:I951,'[1]Detalle Pilotos'!$G$3)</f>
        <v>0</v>
      </c>
      <c r="B951">
        <f t="shared" si="14"/>
        <v>950</v>
      </c>
      <c r="C951" s="9">
        <v>44891</v>
      </c>
      <c r="D951" s="4" t="s">
        <v>437</v>
      </c>
      <c r="E951" s="39">
        <v>157686</v>
      </c>
      <c r="F951" s="3"/>
      <c r="G951" s="7">
        <f>IF(Tabla1[[#This Row],[Fecha]]="","",G950+Tabla1[[#This Row],[ingreso]]-Tabla1[[#This Row],[egreso]])</f>
        <v>1966141.1442999989</v>
      </c>
      <c r="H951" s="7"/>
      <c r="I951" s="7"/>
      <c r="J951" s="4"/>
      <c r="K951" t="str">
        <f>IF(Tabla1[[#This Row],[Tipo]]="","",Tabla1[[#This Row],[ingreso]]/Tabla1[[#This Row],[Tipo]])</f>
        <v/>
      </c>
    </row>
    <row r="952" spans="1:11" x14ac:dyDescent="0.2">
      <c r="A952">
        <f>COUNTIF($I$2:I952,'[1]Detalle Pilotos'!$G$3)</f>
        <v>0</v>
      </c>
      <c r="B952">
        <f t="shared" si="14"/>
        <v>951</v>
      </c>
      <c r="C952" s="9">
        <v>44892</v>
      </c>
      <c r="D952" s="4" t="s">
        <v>452</v>
      </c>
      <c r="E952" s="39">
        <v>208000</v>
      </c>
      <c r="F952" s="3"/>
      <c r="G952" s="7">
        <f>IF(Tabla1[[#This Row],[Fecha]]="","",G951+Tabla1[[#This Row],[ingreso]]-Tabla1[[#This Row],[egreso]])</f>
        <v>1758141.1442999989</v>
      </c>
      <c r="H952" s="7"/>
      <c r="I952" s="7"/>
      <c r="J952" s="4"/>
      <c r="K952" t="str">
        <f>IF(Tabla1[[#This Row],[Tipo]]="","",Tabla1[[#This Row],[ingreso]]/Tabla1[[#This Row],[Tipo]])</f>
        <v/>
      </c>
    </row>
    <row r="953" spans="1:11" x14ac:dyDescent="0.2">
      <c r="A953">
        <f>COUNTIF($I$2:I953,'[1]Detalle Pilotos'!$G$3)</f>
        <v>0</v>
      </c>
      <c r="B953">
        <f t="shared" si="14"/>
        <v>952</v>
      </c>
      <c r="C953" s="9">
        <v>44894</v>
      </c>
      <c r="D953" s="4" t="s">
        <v>453</v>
      </c>
      <c r="E953" s="39">
        <v>250000</v>
      </c>
      <c r="F953" s="3"/>
      <c r="G953" s="7">
        <f>IF(Tabla1[[#This Row],[Fecha]]="","",G952+Tabla1[[#This Row],[ingreso]]-Tabla1[[#This Row],[egreso]])</f>
        <v>1508141.1442999989</v>
      </c>
      <c r="H953" s="7"/>
      <c r="I953" s="7"/>
      <c r="J953" s="4"/>
      <c r="K953" t="str">
        <f>IF(Tabla1[[#This Row],[Tipo]]="","",Tabla1[[#This Row],[ingreso]]/Tabla1[[#This Row],[Tipo]])</f>
        <v/>
      </c>
    </row>
    <row r="954" spans="1:11" x14ac:dyDescent="0.2">
      <c r="A954">
        <f>COUNTIF($I$2:I954,'[1]Detalle Pilotos'!$G$3)</f>
        <v>0</v>
      </c>
      <c r="B954">
        <f t="shared" si="14"/>
        <v>953</v>
      </c>
      <c r="C954" s="9">
        <v>44894</v>
      </c>
      <c r="D954" s="4" t="s">
        <v>454</v>
      </c>
      <c r="E954" s="39">
        <v>167196</v>
      </c>
      <c r="F954" s="3"/>
      <c r="G954" s="7">
        <f>IF(Tabla1[[#This Row],[Fecha]]="","",G953+Tabla1[[#This Row],[ingreso]]-Tabla1[[#This Row],[egreso]])</f>
        <v>1340945.1442999989</v>
      </c>
      <c r="H954" s="7"/>
      <c r="I954" s="7"/>
      <c r="J954" s="4"/>
      <c r="K954" t="str">
        <f>IF(Tabla1[[#This Row],[Tipo]]="","",Tabla1[[#This Row],[ingreso]]/Tabla1[[#This Row],[Tipo]])</f>
        <v/>
      </c>
    </row>
    <row r="955" spans="1:11" x14ac:dyDescent="0.2">
      <c r="A955">
        <f>COUNTIF($I$2:I955,'[1]Detalle Pilotos'!$G$3)</f>
        <v>0</v>
      </c>
      <c r="B955">
        <f t="shared" si="14"/>
        <v>954</v>
      </c>
      <c r="C955" s="9">
        <v>44895</v>
      </c>
      <c r="D955" s="4" t="s">
        <v>455</v>
      </c>
      <c r="E955" s="39">
        <v>43899</v>
      </c>
      <c r="F955" s="3"/>
      <c r="G955" s="7">
        <f>IF(Tabla1[[#This Row],[Fecha]]="","",G954+Tabla1[[#This Row],[ingreso]]-Tabla1[[#This Row],[egreso]])</f>
        <v>1297046.1442999989</v>
      </c>
      <c r="H955" s="7"/>
      <c r="I955" s="7"/>
      <c r="J955" s="4"/>
      <c r="K955" t="str">
        <f>IF(Tabla1[[#This Row],[Tipo]]="","",Tabla1[[#This Row],[ingreso]]/Tabla1[[#This Row],[Tipo]])</f>
        <v/>
      </c>
    </row>
    <row r="956" spans="1:11" x14ac:dyDescent="0.2">
      <c r="A956">
        <f>COUNTIF($I$2:I956,'[1]Detalle Pilotos'!$G$3)</f>
        <v>0</v>
      </c>
      <c r="B956">
        <f t="shared" si="14"/>
        <v>955</v>
      </c>
      <c r="C956" s="9">
        <v>44895</v>
      </c>
      <c r="D956" s="4" t="s">
        <v>456</v>
      </c>
      <c r="E956" s="39">
        <v>146506</v>
      </c>
      <c r="F956" s="3"/>
      <c r="G956" s="7">
        <f>IF(Tabla1[[#This Row],[Fecha]]="","",G955+Tabla1[[#This Row],[ingreso]]-Tabla1[[#This Row],[egreso]])</f>
        <v>1150540.1442999989</v>
      </c>
      <c r="H956" s="7"/>
      <c r="I956" s="7"/>
      <c r="J956" s="4"/>
      <c r="K956" t="str">
        <f>IF(Tabla1[[#This Row],[Tipo]]="","",Tabla1[[#This Row],[ingreso]]/Tabla1[[#This Row],[Tipo]])</f>
        <v/>
      </c>
    </row>
    <row r="957" spans="1:11" x14ac:dyDescent="0.2">
      <c r="A957">
        <f>COUNTIF($I$2:I957,'[1]Detalle Pilotos'!$G$3)</f>
        <v>0</v>
      </c>
      <c r="B957">
        <f t="shared" si="14"/>
        <v>956</v>
      </c>
      <c r="C957" s="9">
        <v>44895</v>
      </c>
      <c r="D957" s="4" t="s">
        <v>457</v>
      </c>
      <c r="E957" s="8">
        <v>89190</v>
      </c>
      <c r="F957" s="3"/>
      <c r="G957" s="7">
        <f>IF(Tabla1[[#This Row],[Fecha]]="","",G956+Tabla1[[#This Row],[ingreso]]-Tabla1[[#This Row],[egreso]])</f>
        <v>1061350.1442999989</v>
      </c>
      <c r="H957" s="7"/>
      <c r="I957" s="7"/>
      <c r="J957" s="4"/>
      <c r="K957" t="str">
        <f>IF(Tabla1[[#This Row],[Tipo]]="","",Tabla1[[#This Row],[ingreso]]/Tabla1[[#This Row],[Tipo]])</f>
        <v/>
      </c>
    </row>
    <row r="958" spans="1:11" x14ac:dyDescent="0.2">
      <c r="A958">
        <f>COUNTIF($I$2:I958,'[1]Detalle Pilotos'!$G$3)</f>
        <v>0</v>
      </c>
      <c r="B958">
        <f t="shared" si="14"/>
        <v>957</v>
      </c>
      <c r="C958" s="9">
        <v>44895</v>
      </c>
      <c r="D958" s="4" t="s">
        <v>458</v>
      </c>
      <c r="E958" s="8">
        <v>23970</v>
      </c>
      <c r="F958" s="3"/>
      <c r="G958" s="7">
        <f>IF(Tabla1[[#This Row],[Fecha]]="","",G957+Tabla1[[#This Row],[ingreso]]-Tabla1[[#This Row],[egreso]])</f>
        <v>1037380.1442999989</v>
      </c>
      <c r="H958" s="7"/>
      <c r="I958" s="7"/>
      <c r="J958" s="4"/>
      <c r="K958" t="str">
        <f>IF(Tabla1[[#This Row],[Tipo]]="","",Tabla1[[#This Row],[ingreso]]/Tabla1[[#This Row],[Tipo]])</f>
        <v/>
      </c>
    </row>
    <row r="959" spans="1:11" x14ac:dyDescent="0.2">
      <c r="A959">
        <f>COUNTIF($I$2:I959,'[1]Detalle Pilotos'!$G$3)</f>
        <v>0</v>
      </c>
      <c r="B959">
        <f t="shared" si="14"/>
        <v>958</v>
      </c>
      <c r="C959" s="9">
        <v>44895</v>
      </c>
      <c r="D959" s="4" t="s">
        <v>459</v>
      </c>
      <c r="E959" s="8">
        <v>51551</v>
      </c>
      <c r="F959" s="3"/>
      <c r="G959" s="7">
        <f>IF(Tabla1[[#This Row],[Fecha]]="","",G958+Tabla1[[#This Row],[ingreso]]-Tabla1[[#This Row],[egreso]])</f>
        <v>985829.14429999888</v>
      </c>
      <c r="H959" s="7"/>
      <c r="I959" s="7"/>
      <c r="J959" s="4"/>
      <c r="K959" t="str">
        <f>IF(Tabla1[[#This Row],[Tipo]]="","",Tabla1[[#This Row],[ingreso]]/Tabla1[[#This Row],[Tipo]])</f>
        <v/>
      </c>
    </row>
    <row r="960" spans="1:11" x14ac:dyDescent="0.2">
      <c r="A960">
        <f>COUNTIF($I$2:I960,'[1]Detalle Pilotos'!$G$3)</f>
        <v>0</v>
      </c>
      <c r="B960">
        <f t="shared" si="14"/>
        <v>959</v>
      </c>
      <c r="C960" s="9">
        <v>44895</v>
      </c>
      <c r="D960" s="4" t="s">
        <v>458</v>
      </c>
      <c r="E960" s="8">
        <v>19990</v>
      </c>
      <c r="F960" s="3"/>
      <c r="G960" s="7">
        <f>IF(Tabla1[[#This Row],[Fecha]]="","",G959+Tabla1[[#This Row],[ingreso]]-Tabla1[[#This Row],[egreso]])</f>
        <v>965839.14429999888</v>
      </c>
      <c r="H960" s="7"/>
      <c r="I960" s="7"/>
      <c r="J960" s="4"/>
      <c r="K960" t="str">
        <f>IF(Tabla1[[#This Row],[Tipo]]="","",Tabla1[[#This Row],[ingreso]]/Tabla1[[#This Row],[Tipo]])</f>
        <v/>
      </c>
    </row>
    <row r="961" spans="1:11" x14ac:dyDescent="0.2">
      <c r="A961">
        <f>COUNTIF($I$2:I961,'[1]Detalle Pilotos'!$G$3)</f>
        <v>0</v>
      </c>
      <c r="B961">
        <f t="shared" si="14"/>
        <v>960</v>
      </c>
      <c r="C961" s="9">
        <v>44895</v>
      </c>
      <c r="D961" s="4" t="s">
        <v>460</v>
      </c>
      <c r="E961" s="8">
        <v>150993</v>
      </c>
      <c r="F961" s="3"/>
      <c r="G961" s="7">
        <f>IF(Tabla1[[#This Row],[Fecha]]="","",G960+Tabla1[[#This Row],[ingreso]]-Tabla1[[#This Row],[egreso]])</f>
        <v>814846.14429999888</v>
      </c>
      <c r="H961" s="7"/>
      <c r="I961" s="7"/>
      <c r="J961" s="4"/>
      <c r="K961" t="str">
        <f>IF(Tabla1[[#This Row],[Tipo]]="","",Tabla1[[#This Row],[ingreso]]/Tabla1[[#This Row],[Tipo]])</f>
        <v/>
      </c>
    </row>
    <row r="962" spans="1:11" x14ac:dyDescent="0.2">
      <c r="A962">
        <f>COUNTIF($I$2:I962,'[1]Detalle Pilotos'!$G$3)</f>
        <v>0</v>
      </c>
      <c r="B962">
        <f t="shared" si="14"/>
        <v>961</v>
      </c>
      <c r="C962" s="9">
        <v>44895</v>
      </c>
      <c r="D962" s="4" t="s">
        <v>460</v>
      </c>
      <c r="E962" s="8">
        <v>147524</v>
      </c>
      <c r="F962" s="3"/>
      <c r="G962" s="7">
        <f>IF(Tabla1[[#This Row],[Fecha]]="","",G961+Tabla1[[#This Row],[ingreso]]-Tabla1[[#This Row],[egreso]])</f>
        <v>667322.14429999888</v>
      </c>
      <c r="H962" s="7"/>
      <c r="I962" s="7"/>
      <c r="J962" s="4"/>
      <c r="K962" t="str">
        <f>IF(Tabla1[[#This Row],[Tipo]]="","",Tabla1[[#This Row],[ingreso]]/Tabla1[[#This Row],[Tipo]])</f>
        <v/>
      </c>
    </row>
    <row r="963" spans="1:11" x14ac:dyDescent="0.2">
      <c r="A963">
        <f>COUNTIF($I$2:I963,'[1]Detalle Pilotos'!$G$3)</f>
        <v>0</v>
      </c>
      <c r="B963">
        <f t="shared" si="14"/>
        <v>962</v>
      </c>
      <c r="C963" s="9">
        <v>44895</v>
      </c>
      <c r="D963" s="4" t="s">
        <v>458</v>
      </c>
      <c r="E963" s="8">
        <v>55930</v>
      </c>
      <c r="F963" s="3"/>
      <c r="G963" s="7">
        <f>IF(Tabla1[[#This Row],[Fecha]]="","",G962+Tabla1[[#This Row],[ingreso]]-Tabla1[[#This Row],[egreso]])</f>
        <v>611392.14429999888</v>
      </c>
      <c r="H963" s="7"/>
      <c r="I963" s="7"/>
      <c r="J963" s="4"/>
      <c r="K963" t="str">
        <f>IF(Tabla1[[#This Row],[Tipo]]="","",Tabla1[[#This Row],[ingreso]]/Tabla1[[#This Row],[Tipo]])</f>
        <v/>
      </c>
    </row>
    <row r="964" spans="1:11" x14ac:dyDescent="0.2">
      <c r="A964">
        <f>COUNTIF($I$2:I964,'[1]Detalle Pilotos'!$G$3)</f>
        <v>0</v>
      </c>
      <c r="B964">
        <f t="shared" ref="B964:B1027" si="15">IF(C964="","",1+B963)</f>
        <v>963</v>
      </c>
      <c r="C964" s="9">
        <v>44895</v>
      </c>
      <c r="D964" s="4" t="s">
        <v>237</v>
      </c>
      <c r="E964" s="8"/>
      <c r="F964" s="3">
        <v>2613000</v>
      </c>
      <c r="G964" s="7">
        <f>IF(Tabla1[[#This Row],[Fecha]]="","",G963+Tabla1[[#This Row],[ingreso]]-Tabla1[[#This Row],[egreso]])</f>
        <v>3224392.1442999989</v>
      </c>
      <c r="H964" s="7">
        <v>3000</v>
      </c>
      <c r="I964" s="7" t="s">
        <v>329</v>
      </c>
      <c r="J964" s="4"/>
      <c r="K964">
        <f>IF(Tabla1[[#This Row],[Tipo]]="","",Tabla1[[#This Row],[ingreso]]/Tabla1[[#This Row],[Tipo]])</f>
        <v>871</v>
      </c>
    </row>
    <row r="965" spans="1:11" x14ac:dyDescent="0.2">
      <c r="A965">
        <f>COUNTIF($I$2:I965,'[1]Detalle Pilotos'!$G$3)</f>
        <v>0</v>
      </c>
      <c r="B965">
        <f t="shared" si="15"/>
        <v>964</v>
      </c>
      <c r="C965" s="9">
        <v>44895</v>
      </c>
      <c r="D965" s="4" t="s">
        <v>461</v>
      </c>
      <c r="E965" s="8">
        <f>2830096-E953</f>
        <v>2580096</v>
      </c>
      <c r="F965" s="3"/>
      <c r="G965" s="7">
        <f>IF(Tabla1[[#This Row],[Fecha]]="","",G964+Tabla1[[#This Row],[ingreso]]-Tabla1[[#This Row],[egreso]])</f>
        <v>644296.14429999888</v>
      </c>
      <c r="H965" s="7"/>
      <c r="I965" s="7"/>
      <c r="J965" s="4"/>
      <c r="K965" t="str">
        <f>IF(Tabla1[[#This Row],[Tipo]]="","",Tabla1[[#This Row],[ingreso]]/Tabla1[[#This Row],[Tipo]])</f>
        <v/>
      </c>
    </row>
    <row r="966" spans="1:11" x14ac:dyDescent="0.2">
      <c r="A966">
        <f>COUNTIF($I$2:I966,'[1]Detalle Pilotos'!$G$3)</f>
        <v>0</v>
      </c>
      <c r="B966">
        <f t="shared" si="15"/>
        <v>965</v>
      </c>
      <c r="C966" s="9">
        <v>44895</v>
      </c>
      <c r="D966" s="4" t="s">
        <v>462</v>
      </c>
      <c r="E966" s="8">
        <v>75900</v>
      </c>
      <c r="F966" s="3"/>
      <c r="G966" s="7">
        <f>IF(Tabla1[[#This Row],[Fecha]]="","",G965+Tabla1[[#This Row],[ingreso]]-Tabla1[[#This Row],[egreso]])</f>
        <v>568396.14429999888</v>
      </c>
      <c r="H966" s="7"/>
      <c r="I966" s="7"/>
      <c r="J966" s="4"/>
      <c r="K966" t="str">
        <f>IF(Tabla1[[#This Row],[Tipo]]="","",Tabla1[[#This Row],[ingreso]]/Tabla1[[#This Row],[Tipo]])</f>
        <v/>
      </c>
    </row>
    <row r="967" spans="1:11" x14ac:dyDescent="0.2">
      <c r="A967">
        <f>COUNTIF($I$2:I967,'[1]Detalle Pilotos'!$G$3)</f>
        <v>0</v>
      </c>
      <c r="B967">
        <f t="shared" si="15"/>
        <v>966</v>
      </c>
      <c r="C967" s="9">
        <v>44896</v>
      </c>
      <c r="D967" s="4" t="s">
        <v>463</v>
      </c>
      <c r="E967" s="8">
        <v>394599</v>
      </c>
      <c r="F967" s="3"/>
      <c r="G967" s="7">
        <f>IF(Tabla1[[#This Row],[Fecha]]="","",G966+Tabla1[[#This Row],[ingreso]]-Tabla1[[#This Row],[egreso]])</f>
        <v>173797.14429999888</v>
      </c>
      <c r="H967" s="7"/>
      <c r="I967" s="7"/>
      <c r="J967" s="4"/>
      <c r="K967" t="str">
        <f>IF(Tabla1[[#This Row],[Tipo]]="","",Tabla1[[#This Row],[ingreso]]/Tabla1[[#This Row],[Tipo]])</f>
        <v/>
      </c>
    </row>
    <row r="968" spans="1:11" x14ac:dyDescent="0.2">
      <c r="A968">
        <f>COUNTIF($I$2:I968,'[1]Detalle Pilotos'!$G$3)</f>
        <v>0</v>
      </c>
      <c r="B968">
        <f t="shared" si="15"/>
        <v>967</v>
      </c>
      <c r="C968" s="9">
        <v>44664</v>
      </c>
      <c r="D968" s="4" t="s">
        <v>186</v>
      </c>
      <c r="E968" s="8"/>
      <c r="F968" s="3">
        <v>10000</v>
      </c>
      <c r="G968" s="7">
        <f>IF(Tabla1[[#This Row],[Fecha]]="","",G967+Tabla1[[#This Row],[ingreso]]-Tabla1[[#This Row],[egreso]])</f>
        <v>183797.14429999888</v>
      </c>
      <c r="H968" s="7"/>
      <c r="I968" s="7" t="s">
        <v>187</v>
      </c>
      <c r="J968" s="4"/>
      <c r="K968" t="str">
        <f>IF(Tabla1[[#This Row],[Tipo]]="","",Tabla1[[#This Row],[ingreso]]/Tabla1[[#This Row],[Tipo]])</f>
        <v/>
      </c>
    </row>
    <row r="969" spans="1:11" x14ac:dyDescent="0.2">
      <c r="A969">
        <f>COUNTIF($I$2:I969,'[1]Detalle Pilotos'!$G$3)</f>
        <v>0</v>
      </c>
      <c r="B969">
        <f t="shared" si="15"/>
        <v>968</v>
      </c>
      <c r="C969" s="9">
        <v>44664</v>
      </c>
      <c r="D969" s="4" t="s">
        <v>464</v>
      </c>
      <c r="E969" s="8">
        <v>10000</v>
      </c>
      <c r="F969" s="3"/>
      <c r="G969" s="7">
        <f>IF(Tabla1[[#This Row],[Fecha]]="","",G968+Tabla1[[#This Row],[ingreso]]-Tabla1[[#This Row],[egreso]])</f>
        <v>173797.14429999888</v>
      </c>
      <c r="H969" s="7"/>
      <c r="I969" s="7"/>
      <c r="J969" s="4"/>
      <c r="K969" t="str">
        <f>IF(Tabla1[[#This Row],[Tipo]]="","",Tabla1[[#This Row],[ingreso]]/Tabla1[[#This Row],[Tipo]])</f>
        <v/>
      </c>
    </row>
    <row r="970" spans="1:11" x14ac:dyDescent="0.2">
      <c r="A970">
        <f>COUNTIF($I$2:I970,'[1]Detalle Pilotos'!$G$3)</f>
        <v>0</v>
      </c>
      <c r="B970">
        <f t="shared" si="15"/>
        <v>969</v>
      </c>
      <c r="C970" s="9">
        <v>44896</v>
      </c>
      <c r="D970" s="4" t="s">
        <v>465</v>
      </c>
      <c r="E970" s="8"/>
      <c r="F970" s="3">
        <v>125000</v>
      </c>
      <c r="G970" s="7">
        <f>IF(Tabla1[[#This Row],[Fecha]]="","",G969+Tabla1[[#This Row],[ingreso]]-Tabla1[[#This Row],[egreso]])</f>
        <v>298797.14429999888</v>
      </c>
      <c r="H970" s="7"/>
      <c r="I970" s="7"/>
      <c r="J970" s="4"/>
      <c r="K970" t="str">
        <f>IF(Tabla1[[#This Row],[Tipo]]="","",Tabla1[[#This Row],[ingreso]]/Tabla1[[#This Row],[Tipo]])</f>
        <v/>
      </c>
    </row>
    <row r="971" spans="1:11" x14ac:dyDescent="0.2">
      <c r="A971">
        <f>COUNTIF($I$2:I971,'[1]Detalle Pilotos'!$G$3)</f>
        <v>0</v>
      </c>
      <c r="B971">
        <f t="shared" si="15"/>
        <v>970</v>
      </c>
      <c r="C971" s="9">
        <v>44898</v>
      </c>
      <c r="D971" s="4" t="s">
        <v>437</v>
      </c>
      <c r="E971" s="8">
        <v>171147</v>
      </c>
      <c r="F971" s="3"/>
      <c r="G971" s="7">
        <f>IF(Tabla1[[#This Row],[Fecha]]="","",G970+Tabla1[[#This Row],[ingreso]]-Tabla1[[#This Row],[egreso]])</f>
        <v>127650.14429999888</v>
      </c>
      <c r="H971" s="7"/>
      <c r="I971" s="7"/>
      <c r="J971" s="4"/>
      <c r="K971" t="str">
        <f>IF(Tabla1[[#This Row],[Tipo]]="","",Tabla1[[#This Row],[ingreso]]/Tabla1[[#This Row],[Tipo]])</f>
        <v/>
      </c>
    </row>
    <row r="972" spans="1:11" x14ac:dyDescent="0.2">
      <c r="A972">
        <f>COUNTIF($I$2:I972,'[1]Detalle Pilotos'!$G$3)</f>
        <v>0</v>
      </c>
      <c r="B972">
        <f t="shared" si="15"/>
        <v>971</v>
      </c>
      <c r="C972" s="9">
        <v>44921</v>
      </c>
      <c r="D972" s="4" t="s">
        <v>466</v>
      </c>
      <c r="E972" s="8">
        <v>489829</v>
      </c>
      <c r="F972" s="3"/>
      <c r="G972" s="7">
        <f>IF(Tabla1[[#This Row],[Fecha]]="","",G971+Tabla1[[#This Row],[ingreso]]-Tabla1[[#This Row],[egreso]])</f>
        <v>-362178.85570000112</v>
      </c>
      <c r="H972" s="7"/>
      <c r="I972" s="7"/>
      <c r="J972" s="4"/>
      <c r="K972" t="str">
        <f>IF(Tabla1[[#This Row],[Tipo]]="","",Tabla1[[#This Row],[ingreso]]/Tabla1[[#This Row],[Tipo]])</f>
        <v/>
      </c>
    </row>
    <row r="973" spans="1:11" x14ac:dyDescent="0.2">
      <c r="A973">
        <f>COUNTIF($I$2:I973,'[1]Detalle Pilotos'!$G$3)</f>
        <v>0</v>
      </c>
      <c r="B973">
        <f t="shared" si="15"/>
        <v>972</v>
      </c>
      <c r="C973" s="9">
        <v>44921</v>
      </c>
      <c r="D973" s="4" t="s">
        <v>15</v>
      </c>
      <c r="E973" s="8"/>
      <c r="F973" s="3">
        <f>E972</f>
        <v>489829</v>
      </c>
      <c r="G973" s="7">
        <f>IF(Tabla1[[#This Row],[Fecha]]="","",G972+Tabla1[[#This Row],[ingreso]]-Tabla1[[#This Row],[egreso]])</f>
        <v>127650.14429999888</v>
      </c>
      <c r="H973" s="7"/>
      <c r="I973" s="7" t="s">
        <v>16</v>
      </c>
      <c r="J973" s="4"/>
      <c r="K973" t="str">
        <f>IF(Tabla1[[#This Row],[Tipo]]="","",Tabla1[[#This Row],[ingreso]]/Tabla1[[#This Row],[Tipo]])</f>
        <v/>
      </c>
    </row>
    <row r="974" spans="1:11" x14ac:dyDescent="0.2">
      <c r="A974">
        <f>COUNTIF($I$2:I974,'[1]Detalle Pilotos'!$G$3)</f>
        <v>0</v>
      </c>
      <c r="B974">
        <f t="shared" si="15"/>
        <v>973</v>
      </c>
      <c r="C974" s="9">
        <v>44900</v>
      </c>
      <c r="D974" s="4" t="s">
        <v>237</v>
      </c>
      <c r="E974" s="8"/>
      <c r="F974" s="3">
        <v>1726100</v>
      </c>
      <c r="G974" s="7">
        <f>IF(Tabla1[[#This Row],[Fecha]]="","",G973+Tabla1[[#This Row],[ingreso]]-Tabla1[[#This Row],[egreso]])</f>
        <v>1853750.1442999989</v>
      </c>
      <c r="H974" s="7">
        <v>2000</v>
      </c>
      <c r="I974" s="7" t="s">
        <v>329</v>
      </c>
      <c r="J974" s="4"/>
      <c r="K974">
        <f>IF(Tabla1[[#This Row],[Tipo]]="","",Tabla1[[#This Row],[ingreso]]/Tabla1[[#This Row],[Tipo]])</f>
        <v>863.05</v>
      </c>
    </row>
    <row r="975" spans="1:11" x14ac:dyDescent="0.2">
      <c r="A975">
        <f>COUNTIF($I$2:I975,'[1]Detalle Pilotos'!$G$3)</f>
        <v>0</v>
      </c>
      <c r="B975">
        <f t="shared" si="15"/>
        <v>974</v>
      </c>
      <c r="C975" s="9">
        <v>44899</v>
      </c>
      <c r="D975" s="4" t="s">
        <v>467</v>
      </c>
      <c r="E975" s="8">
        <v>155100</v>
      </c>
      <c r="F975" s="3"/>
      <c r="G975" s="7">
        <f>IF(Tabla1[[#This Row],[Fecha]]="","",G974+Tabla1[[#This Row],[ingreso]]-Tabla1[[#This Row],[egreso]])</f>
        <v>1698650.1442999989</v>
      </c>
      <c r="H975" s="7"/>
      <c r="I975" s="7"/>
      <c r="J975" s="4"/>
      <c r="K975" t="str">
        <f>IF(Tabla1[[#This Row],[Tipo]]="","",Tabla1[[#This Row],[ingreso]]/Tabla1[[#This Row],[Tipo]])</f>
        <v/>
      </c>
    </row>
    <row r="976" spans="1:11" x14ac:dyDescent="0.2">
      <c r="A976">
        <f>COUNTIF($I$2:I976,'[1]Detalle Pilotos'!$G$3)</f>
        <v>0</v>
      </c>
      <c r="B976">
        <f t="shared" si="15"/>
        <v>975</v>
      </c>
      <c r="C976" s="9">
        <v>44899</v>
      </c>
      <c r="D976" s="4" t="s">
        <v>416</v>
      </c>
      <c r="E976" s="8">
        <v>141900</v>
      </c>
      <c r="F976" s="3"/>
      <c r="G976" s="7">
        <f>IF(Tabla1[[#This Row],[Fecha]]="","",G975+Tabla1[[#This Row],[ingreso]]-Tabla1[[#This Row],[egreso]])</f>
        <v>1556750.1442999989</v>
      </c>
      <c r="H976" s="7"/>
      <c r="I976" s="7"/>
      <c r="J976" s="4"/>
      <c r="K976" t="str">
        <f>IF(Tabla1[[#This Row],[Tipo]]="","",Tabla1[[#This Row],[ingreso]]/Tabla1[[#This Row],[Tipo]])</f>
        <v/>
      </c>
    </row>
    <row r="977" spans="1:11" x14ac:dyDescent="0.2">
      <c r="A977">
        <f>COUNTIF($I$2:I977,'[1]Detalle Pilotos'!$G$3)</f>
        <v>0</v>
      </c>
      <c r="B977">
        <f t="shared" si="15"/>
        <v>976</v>
      </c>
      <c r="C977" s="9">
        <v>44900</v>
      </c>
      <c r="D977" s="4" t="s">
        <v>237</v>
      </c>
      <c r="E977" s="8"/>
      <c r="F977" s="3">
        <v>3504200</v>
      </c>
      <c r="G977" s="7">
        <f>IF(Tabla1[[#This Row],[Fecha]]="","",G976+Tabla1[[#This Row],[ingreso]]-Tabla1[[#This Row],[egreso]])</f>
        <v>5060950.1442999989</v>
      </c>
      <c r="H977" s="7">
        <v>4000</v>
      </c>
      <c r="I977" s="7" t="s">
        <v>329</v>
      </c>
      <c r="J977" s="4"/>
      <c r="K977">
        <f>IF(Tabla1[[#This Row],[Tipo]]="","",Tabla1[[#This Row],[ingreso]]/Tabla1[[#This Row],[Tipo]])</f>
        <v>876.05</v>
      </c>
    </row>
    <row r="978" spans="1:11" x14ac:dyDescent="0.2">
      <c r="A978">
        <f>COUNTIF($I$2:I978,'[1]Detalle Pilotos'!$G$3)</f>
        <v>0</v>
      </c>
      <c r="B978">
        <f t="shared" si="15"/>
        <v>977</v>
      </c>
      <c r="C978" s="9">
        <v>44900</v>
      </c>
      <c r="D978" s="4" t="s">
        <v>468</v>
      </c>
      <c r="E978" s="8"/>
      <c r="F978" s="3">
        <v>1437500</v>
      </c>
      <c r="G978" s="7">
        <f>IF(Tabla1[[#This Row],[Fecha]]="","",G977+Tabla1[[#This Row],[ingreso]]-Tabla1[[#This Row],[egreso]])</f>
        <v>6498450.1442999989</v>
      </c>
      <c r="H978" s="7"/>
      <c r="I978" s="7" t="s">
        <v>230</v>
      </c>
      <c r="J978" s="4"/>
      <c r="K978" t="str">
        <f>IF(Tabla1[[#This Row],[Tipo]]="","",Tabla1[[#This Row],[ingreso]]/Tabla1[[#This Row],[Tipo]])</f>
        <v/>
      </c>
    </row>
    <row r="979" spans="1:11" x14ac:dyDescent="0.2">
      <c r="A979">
        <f>COUNTIF($I$2:I979,'[1]Detalle Pilotos'!$G$3)</f>
        <v>0</v>
      </c>
      <c r="B979">
        <f t="shared" si="15"/>
        <v>978</v>
      </c>
      <c r="C979" s="9">
        <v>44900</v>
      </c>
      <c r="D979" s="4" t="s">
        <v>469</v>
      </c>
      <c r="E979" s="8">
        <v>4500000</v>
      </c>
      <c r="F979" s="3"/>
      <c r="G979" s="7">
        <f>IF(Tabla1[[#This Row],[Fecha]]="","",G978+Tabla1[[#This Row],[ingreso]]-Tabla1[[#This Row],[egreso]])</f>
        <v>1998450.1442999989</v>
      </c>
      <c r="H979" s="7"/>
      <c r="I979" s="7"/>
      <c r="J979" s="4"/>
      <c r="K979" t="str">
        <f>IF(Tabla1[[#This Row],[Tipo]]="","",Tabla1[[#This Row],[ingreso]]/Tabla1[[#This Row],[Tipo]])</f>
        <v/>
      </c>
    </row>
    <row r="980" spans="1:11" x14ac:dyDescent="0.2">
      <c r="A980">
        <f>COUNTIF($I$2:I980,'[1]Detalle Pilotos'!$G$3)</f>
        <v>0</v>
      </c>
      <c r="B980">
        <f t="shared" si="15"/>
        <v>979</v>
      </c>
      <c r="C980" s="9">
        <v>44900</v>
      </c>
      <c r="D980" s="4" t="s">
        <v>470</v>
      </c>
      <c r="E980" s="8">
        <v>217800</v>
      </c>
      <c r="F980" s="3"/>
      <c r="G980" s="7">
        <f>IF(Tabla1[[#This Row],[Fecha]]="","",G979+Tabla1[[#This Row],[ingreso]]-Tabla1[[#This Row],[egreso]])</f>
        <v>1780650.1442999989</v>
      </c>
      <c r="H980" s="7"/>
      <c r="I980" s="7"/>
      <c r="J980" s="4"/>
      <c r="K980" t="str">
        <f>IF(Tabla1[[#This Row],[Tipo]]="","",Tabla1[[#This Row],[ingreso]]/Tabla1[[#This Row],[Tipo]])</f>
        <v/>
      </c>
    </row>
    <row r="981" spans="1:11" x14ac:dyDescent="0.2">
      <c r="A981">
        <f>COUNTIF($I$2:I981,'[1]Detalle Pilotos'!$G$3)</f>
        <v>0</v>
      </c>
      <c r="B981">
        <f t="shared" si="15"/>
        <v>980</v>
      </c>
      <c r="C981" s="9">
        <v>44901</v>
      </c>
      <c r="D981" s="4" t="s">
        <v>186</v>
      </c>
      <c r="E981" s="8"/>
      <c r="F981" s="3">
        <v>330000</v>
      </c>
      <c r="G981" s="7">
        <f>IF(Tabla1[[#This Row],[Fecha]]="","",G980+Tabla1[[#This Row],[ingreso]]-Tabla1[[#This Row],[egreso]])</f>
        <v>2110650.1442999989</v>
      </c>
      <c r="H981" s="7"/>
      <c r="I981" s="7" t="s">
        <v>187</v>
      </c>
      <c r="J981" s="4"/>
      <c r="K981" t="str">
        <f>IF(Tabla1[[#This Row],[Tipo]]="","",Tabla1[[#This Row],[ingreso]]/Tabla1[[#This Row],[Tipo]])</f>
        <v/>
      </c>
    </row>
    <row r="982" spans="1:11" x14ac:dyDescent="0.2">
      <c r="A982">
        <f>COUNTIF($I$2:I982,'[1]Detalle Pilotos'!$G$3)</f>
        <v>0</v>
      </c>
      <c r="B982">
        <f t="shared" si="15"/>
        <v>981</v>
      </c>
      <c r="C982" s="9">
        <v>44902</v>
      </c>
      <c r="D982" s="22" t="s">
        <v>471</v>
      </c>
      <c r="E982" s="8">
        <v>207900</v>
      </c>
      <c r="F982" s="3"/>
      <c r="G982" s="7">
        <f>IF(Tabla1[[#This Row],[Fecha]]="","",G981+Tabla1[[#This Row],[ingreso]]-Tabla1[[#This Row],[egreso]])</f>
        <v>1902750.1442999989</v>
      </c>
      <c r="H982" s="7"/>
      <c r="I982" s="7"/>
      <c r="J982" s="4"/>
      <c r="K982" t="str">
        <f>IF(Tabla1[[#This Row],[Tipo]]="","",Tabla1[[#This Row],[ingreso]]/Tabla1[[#This Row],[Tipo]])</f>
        <v/>
      </c>
    </row>
    <row r="983" spans="1:11" x14ac:dyDescent="0.2">
      <c r="A983">
        <f>COUNTIF($I$2:I983,'[1]Detalle Pilotos'!$G$3)</f>
        <v>0</v>
      </c>
      <c r="B983">
        <f t="shared" si="15"/>
        <v>982</v>
      </c>
      <c r="C983" s="9">
        <v>44902</v>
      </c>
      <c r="D983" s="4" t="s">
        <v>472</v>
      </c>
      <c r="E983" s="8">
        <v>110560</v>
      </c>
      <c r="F983" s="3"/>
      <c r="G983" s="7">
        <f>IF(Tabla1[[#This Row],[Fecha]]="","",G982+Tabla1[[#This Row],[ingreso]]-Tabla1[[#This Row],[egreso]])</f>
        <v>1792190.1442999989</v>
      </c>
      <c r="H983" s="7"/>
      <c r="I983" s="7"/>
      <c r="J983" s="4"/>
      <c r="K983" t="str">
        <f>IF(Tabla1[[#This Row],[Tipo]]="","",Tabla1[[#This Row],[ingreso]]/Tabla1[[#This Row],[Tipo]])</f>
        <v/>
      </c>
    </row>
    <row r="984" spans="1:11" x14ac:dyDescent="0.2">
      <c r="A984">
        <f>COUNTIF($I$2:I984,'[1]Detalle Pilotos'!$G$3)</f>
        <v>0</v>
      </c>
      <c r="B984">
        <f t="shared" si="15"/>
        <v>983</v>
      </c>
      <c r="C984" s="9">
        <v>44902</v>
      </c>
      <c r="D984" s="22" t="s">
        <v>473</v>
      </c>
      <c r="E984" s="8">
        <v>310200</v>
      </c>
      <c r="F984" s="3"/>
      <c r="G984" s="7">
        <f>IF(Tabla1[[#This Row],[Fecha]]="","",G983+Tabla1[[#This Row],[ingreso]]-Tabla1[[#This Row],[egreso]])</f>
        <v>1481990.1442999989</v>
      </c>
      <c r="H984" s="7"/>
      <c r="I984" s="7"/>
      <c r="J984" s="4"/>
      <c r="K984" t="str">
        <f>IF(Tabla1[[#This Row],[Tipo]]="","",Tabla1[[#This Row],[ingreso]]/Tabla1[[#This Row],[Tipo]])</f>
        <v/>
      </c>
    </row>
    <row r="985" spans="1:11" x14ac:dyDescent="0.2">
      <c r="A985">
        <f>COUNTIF($I$2:I985,'[1]Detalle Pilotos'!$G$3)</f>
        <v>0</v>
      </c>
      <c r="B985">
        <f t="shared" si="15"/>
        <v>984</v>
      </c>
      <c r="C985" s="9">
        <v>44904</v>
      </c>
      <c r="D985" s="4" t="s">
        <v>237</v>
      </c>
      <c r="E985" s="8"/>
      <c r="F985" s="3">
        <v>1681700</v>
      </c>
      <c r="G985" s="7">
        <f>IF(Tabla1[[#This Row],[Fecha]]="","",G984+Tabla1[[#This Row],[ingreso]]-Tabla1[[#This Row],[egreso]])</f>
        <v>3163690.1442999989</v>
      </c>
      <c r="H985" s="7">
        <v>2000</v>
      </c>
      <c r="I985" s="7" t="s">
        <v>329</v>
      </c>
      <c r="J985" s="4"/>
      <c r="K985">
        <f>IF(Tabla1[[#This Row],[Tipo]]="","",Tabla1[[#This Row],[ingreso]]/Tabla1[[#This Row],[Tipo]])</f>
        <v>840.85</v>
      </c>
    </row>
    <row r="986" spans="1:11" x14ac:dyDescent="0.2">
      <c r="A986">
        <f>COUNTIF($I$2:I986,'[1]Detalle Pilotos'!$G$3)</f>
        <v>0</v>
      </c>
      <c r="B986">
        <f t="shared" si="15"/>
        <v>985</v>
      </c>
      <c r="C986" s="9">
        <v>44904</v>
      </c>
      <c r="D986" s="4" t="s">
        <v>474</v>
      </c>
      <c r="E986" s="8">
        <v>3000000</v>
      </c>
      <c r="F986" s="3"/>
      <c r="G986" s="7">
        <f>IF(Tabla1[[#This Row],[Fecha]]="","",G985+Tabla1[[#This Row],[ingreso]]-Tabla1[[#This Row],[egreso]])</f>
        <v>163690.14429999888</v>
      </c>
      <c r="H986" s="7"/>
      <c r="I986" s="7"/>
      <c r="J986" s="4"/>
      <c r="K986" t="str">
        <f>IF(Tabla1[[#This Row],[Tipo]]="","",Tabla1[[#This Row],[ingreso]]/Tabla1[[#This Row],[Tipo]])</f>
        <v/>
      </c>
    </row>
    <row r="987" spans="1:11" x14ac:dyDescent="0.2">
      <c r="A987">
        <f>COUNTIF($I$2:I987,'[1]Detalle Pilotos'!$G$3)</f>
        <v>0</v>
      </c>
      <c r="B987">
        <f t="shared" si="15"/>
        <v>986</v>
      </c>
      <c r="C987" s="9">
        <v>44907</v>
      </c>
      <c r="D987" s="4" t="s">
        <v>237</v>
      </c>
      <c r="E987" s="8"/>
      <c r="F987" s="3">
        <v>4231750</v>
      </c>
      <c r="G987" s="7">
        <f>IF(Tabla1[[#This Row],[Fecha]]="","",G986+Tabla1[[#This Row],[ingreso]]-Tabla1[[#This Row],[egreso]])</f>
        <v>4395440.1442999989</v>
      </c>
      <c r="H987" s="7">
        <v>5000</v>
      </c>
      <c r="I987" s="7" t="s">
        <v>329</v>
      </c>
      <c r="J987" s="4"/>
      <c r="K987">
        <f>IF(Tabla1[[#This Row],[Tipo]]="","",Tabla1[[#This Row],[ingreso]]/Tabla1[[#This Row],[Tipo]])</f>
        <v>846.35</v>
      </c>
    </row>
    <row r="988" spans="1:11" x14ac:dyDescent="0.2">
      <c r="A988">
        <f>COUNTIF($I$2:I988,'[1]Detalle Pilotos'!$G$3)</f>
        <v>0</v>
      </c>
      <c r="B988">
        <f t="shared" si="15"/>
        <v>987</v>
      </c>
      <c r="C988" s="9">
        <v>44907</v>
      </c>
      <c r="D988" s="4" t="s">
        <v>475</v>
      </c>
      <c r="E988" s="8">
        <v>4000000</v>
      </c>
      <c r="F988" s="3"/>
      <c r="G988" s="7">
        <f>IF(Tabla1[[#This Row],[Fecha]]="","",G987+Tabla1[[#This Row],[ingreso]]-Tabla1[[#This Row],[egreso]])</f>
        <v>395440.14429999888</v>
      </c>
      <c r="H988" s="7"/>
      <c r="I988" s="7"/>
      <c r="J988" s="4"/>
      <c r="K988" t="str">
        <f>IF(Tabla1[[#This Row],[Tipo]]="","",Tabla1[[#This Row],[ingreso]]/Tabla1[[#This Row],[Tipo]])</f>
        <v/>
      </c>
    </row>
    <row r="989" spans="1:11" x14ac:dyDescent="0.2">
      <c r="A989">
        <f>COUNTIF($I$2:I989,'[1]Detalle Pilotos'!$G$3)</f>
        <v>0</v>
      </c>
      <c r="B989">
        <f t="shared" si="15"/>
        <v>988</v>
      </c>
      <c r="C989" s="9">
        <v>44908</v>
      </c>
      <c r="D989" s="4" t="s">
        <v>476</v>
      </c>
      <c r="E989" s="8">
        <v>382800</v>
      </c>
      <c r="F989" s="3"/>
      <c r="G989" s="7">
        <f>IF(Tabla1[[#This Row],[Fecha]]="","",G988+Tabla1[[#This Row],[ingreso]]-Tabla1[[#This Row],[egreso]])</f>
        <v>12640.144299998879</v>
      </c>
      <c r="H989" s="7"/>
      <c r="I989" s="7"/>
      <c r="J989" s="4"/>
      <c r="K989" t="str">
        <f>IF(Tabla1[[#This Row],[Tipo]]="","",Tabla1[[#This Row],[ingreso]]/Tabla1[[#This Row],[Tipo]])</f>
        <v/>
      </c>
    </row>
    <row r="990" spans="1:11" x14ac:dyDescent="0.2">
      <c r="A990">
        <f>COUNTIF($I$2:I990,'[1]Detalle Pilotos'!$G$3)</f>
        <v>0</v>
      </c>
      <c r="B990">
        <f t="shared" si="15"/>
        <v>989</v>
      </c>
      <c r="C990" s="9">
        <v>44909</v>
      </c>
      <c r="D990" s="4" t="s">
        <v>237</v>
      </c>
      <c r="E990" s="8"/>
      <c r="F990" s="3">
        <v>847850</v>
      </c>
      <c r="G990" s="7">
        <f>IF(Tabla1[[#This Row],[Fecha]]="","",G989+Tabla1[[#This Row],[ingreso]]-Tabla1[[#This Row],[egreso]])</f>
        <v>860490.14429999888</v>
      </c>
      <c r="H990" s="7">
        <v>1000</v>
      </c>
      <c r="I990" s="7" t="s">
        <v>329</v>
      </c>
      <c r="J990" s="4"/>
      <c r="K990">
        <f>IF(Tabla1[[#This Row],[Tipo]]="","",Tabla1[[#This Row],[ingreso]]/Tabla1[[#This Row],[Tipo]])</f>
        <v>847.85</v>
      </c>
    </row>
    <row r="991" spans="1:11" x14ac:dyDescent="0.2">
      <c r="A991">
        <f>COUNTIF($I$2:I991,'[1]Detalle Pilotos'!$G$3)</f>
        <v>0</v>
      </c>
      <c r="B991">
        <f t="shared" si="15"/>
        <v>990</v>
      </c>
      <c r="C991" s="9">
        <v>44909</v>
      </c>
      <c r="D991" s="38" t="s">
        <v>477</v>
      </c>
      <c r="E991" s="8">
        <v>178200</v>
      </c>
      <c r="F991" s="3"/>
      <c r="G991" s="7">
        <f>IF(Tabla1[[#This Row],[Fecha]]="","",G990+Tabla1[[#This Row],[ingreso]]-Tabla1[[#This Row],[egreso]])</f>
        <v>682290.14429999888</v>
      </c>
      <c r="H991" s="7"/>
      <c r="I991" s="7"/>
      <c r="J991" s="4"/>
      <c r="K991" t="str">
        <f>IF(Tabla1[[#This Row],[Tipo]]="","",Tabla1[[#This Row],[ingreso]]/Tabla1[[#This Row],[Tipo]])</f>
        <v/>
      </c>
    </row>
    <row r="992" spans="1:11" x14ac:dyDescent="0.2">
      <c r="A992">
        <f>COUNTIF($I$2:I992,'[1]Detalle Pilotos'!$G$3)</f>
        <v>0</v>
      </c>
      <c r="B992">
        <f t="shared" si="15"/>
        <v>991</v>
      </c>
      <c r="C992" s="9">
        <v>44910</v>
      </c>
      <c r="D992" s="4" t="s">
        <v>237</v>
      </c>
      <c r="E992" s="8"/>
      <c r="F992" s="3">
        <v>4724775</v>
      </c>
      <c r="G992" s="7">
        <f>IF(Tabla1[[#This Row],[Fecha]]="","",G991+Tabla1[[#This Row],[ingreso]]-Tabla1[[#This Row],[egreso]])</f>
        <v>5407065.1442999989</v>
      </c>
      <c r="H992" s="7">
        <v>5500</v>
      </c>
      <c r="I992" s="7" t="s">
        <v>329</v>
      </c>
      <c r="J992" s="4"/>
      <c r="K992">
        <f>IF(Tabla1[[#This Row],[Tipo]]="","",Tabla1[[#This Row],[ingreso]]/Tabla1[[#This Row],[Tipo]])</f>
        <v>859.05</v>
      </c>
    </row>
    <row r="993" spans="1:11" x14ac:dyDescent="0.2">
      <c r="A993">
        <f>COUNTIF($I$2:I993,'[1]Detalle Pilotos'!$G$3)</f>
        <v>0</v>
      </c>
      <c r="B993">
        <f t="shared" si="15"/>
        <v>992</v>
      </c>
      <c r="C993" s="9">
        <v>44910</v>
      </c>
      <c r="D993" s="4" t="s">
        <v>478</v>
      </c>
      <c r="E993" s="8">
        <v>4283321</v>
      </c>
      <c r="F993" s="3"/>
      <c r="G993" s="7">
        <f>IF(Tabla1[[#This Row],[Fecha]]="","",G992+Tabla1[[#This Row],[ingreso]]-Tabla1[[#This Row],[egreso]])</f>
        <v>1123744.1442999989</v>
      </c>
      <c r="H993" s="7"/>
      <c r="I993" s="7"/>
      <c r="J993" s="4"/>
      <c r="K993" t="str">
        <f>IF(Tabla1[[#This Row],[Tipo]]="","",Tabla1[[#This Row],[ingreso]]/Tabla1[[#This Row],[Tipo]])</f>
        <v/>
      </c>
    </row>
    <row r="994" spans="1:11" x14ac:dyDescent="0.2">
      <c r="A994">
        <f>COUNTIF($I$2:I994,'[1]Detalle Pilotos'!$G$3)</f>
        <v>0</v>
      </c>
      <c r="B994">
        <f t="shared" si="15"/>
        <v>993</v>
      </c>
      <c r="C994" s="9">
        <v>44911</v>
      </c>
      <c r="D994" s="4" t="s">
        <v>266</v>
      </c>
      <c r="E994" s="8">
        <v>96342</v>
      </c>
      <c r="F994" s="3"/>
      <c r="G994" s="7">
        <f>IF(Tabla1[[#This Row],[Fecha]]="","",G993+Tabla1[[#This Row],[ingreso]]-Tabla1[[#This Row],[egreso]])</f>
        <v>1027402.1442999989</v>
      </c>
      <c r="H994" s="7"/>
      <c r="I994" s="7"/>
      <c r="J994" s="4"/>
      <c r="K994" t="str">
        <f>IF(Tabla1[[#This Row],[Tipo]]="","",Tabla1[[#This Row],[ingreso]]/Tabla1[[#This Row],[Tipo]])</f>
        <v/>
      </c>
    </row>
    <row r="995" spans="1:11" x14ac:dyDescent="0.2">
      <c r="A995">
        <f>COUNTIF($I$2:I995,'[1]Detalle Pilotos'!$G$3)</f>
        <v>0</v>
      </c>
      <c r="B995">
        <f t="shared" si="15"/>
        <v>994</v>
      </c>
      <c r="C995" s="9">
        <v>44911</v>
      </c>
      <c r="D995" s="4" t="s">
        <v>479</v>
      </c>
      <c r="E995" s="8">
        <v>181500</v>
      </c>
      <c r="F995" s="3"/>
      <c r="G995" s="7">
        <f>IF(Tabla1[[#This Row],[Fecha]]="","",G994+Tabla1[[#This Row],[ingreso]]-Tabla1[[#This Row],[egreso]])</f>
        <v>845902.14429999888</v>
      </c>
      <c r="H995" s="7"/>
      <c r="I995" s="7"/>
      <c r="J995" s="4"/>
      <c r="K995" t="str">
        <f>IF(Tabla1[[#This Row],[Tipo]]="","",Tabla1[[#This Row],[ingreso]]/Tabla1[[#This Row],[Tipo]])</f>
        <v/>
      </c>
    </row>
    <row r="996" spans="1:11" x14ac:dyDescent="0.2">
      <c r="A996">
        <f>COUNTIF($I$2:I996,'[1]Detalle Pilotos'!$G$3)</f>
        <v>0</v>
      </c>
      <c r="B996">
        <f t="shared" si="15"/>
        <v>995</v>
      </c>
      <c r="C996" s="9">
        <v>44911</v>
      </c>
      <c r="D996" s="4" t="s">
        <v>480</v>
      </c>
      <c r="E996" s="8">
        <v>125400</v>
      </c>
      <c r="F996" s="3"/>
      <c r="G996" s="7">
        <f>IF(Tabla1[[#This Row],[Fecha]]="","",G995+Tabla1[[#This Row],[ingreso]]-Tabla1[[#This Row],[egreso]])</f>
        <v>720502.14429999888</v>
      </c>
      <c r="H996" s="7"/>
      <c r="I996" s="7"/>
      <c r="J996" s="4"/>
      <c r="K996" t="str">
        <f>IF(Tabla1[[#This Row],[Tipo]]="","",Tabla1[[#This Row],[ingreso]]/Tabla1[[#This Row],[Tipo]])</f>
        <v/>
      </c>
    </row>
    <row r="997" spans="1:11" x14ac:dyDescent="0.2">
      <c r="A997">
        <f>COUNTIF($I$2:I997,'[1]Detalle Pilotos'!$G$3)</f>
        <v>0</v>
      </c>
      <c r="B997">
        <f t="shared" si="15"/>
        <v>996</v>
      </c>
      <c r="C997" s="9">
        <v>44911</v>
      </c>
      <c r="D997" s="4" t="s">
        <v>481</v>
      </c>
      <c r="E997" s="8">
        <v>270600</v>
      </c>
      <c r="F997" s="3"/>
      <c r="G997" s="7">
        <f>IF(Tabla1[[#This Row],[Fecha]]="","",G996+Tabla1[[#This Row],[ingreso]]-Tabla1[[#This Row],[egreso]])</f>
        <v>449902.14429999888</v>
      </c>
      <c r="H997" s="7"/>
      <c r="I997" s="7"/>
      <c r="J997" s="4"/>
      <c r="K997" t="str">
        <f>IF(Tabla1[[#This Row],[Tipo]]="","",Tabla1[[#This Row],[ingreso]]/Tabla1[[#This Row],[Tipo]])</f>
        <v/>
      </c>
    </row>
    <row r="998" spans="1:11" x14ac:dyDescent="0.2">
      <c r="A998">
        <f>COUNTIF($I$2:I998,'[1]Detalle Pilotos'!$G$3)</f>
        <v>0</v>
      </c>
      <c r="B998">
        <f t="shared" si="15"/>
        <v>997</v>
      </c>
      <c r="C998" s="9">
        <v>44913</v>
      </c>
      <c r="D998" s="4" t="s">
        <v>381</v>
      </c>
      <c r="E998" s="8">
        <v>115500</v>
      </c>
      <c r="F998" s="3"/>
      <c r="G998" s="7">
        <f>IF(Tabla1[[#This Row],[Fecha]]="","",G997+Tabla1[[#This Row],[ingreso]]-Tabla1[[#This Row],[egreso]])</f>
        <v>334402.14429999888</v>
      </c>
      <c r="H998" s="7"/>
      <c r="I998" s="7"/>
      <c r="J998" s="4"/>
      <c r="K998" t="str">
        <f>IF(Tabla1[[#This Row],[Tipo]]="","",Tabla1[[#This Row],[ingreso]]/Tabla1[[#This Row],[Tipo]])</f>
        <v/>
      </c>
    </row>
    <row r="999" spans="1:11" x14ac:dyDescent="0.2">
      <c r="A999">
        <f>COUNTIF($I$2:I999,'[1]Detalle Pilotos'!$G$3)</f>
        <v>0</v>
      </c>
      <c r="B999">
        <f t="shared" si="15"/>
        <v>998</v>
      </c>
      <c r="C999" s="9">
        <v>44914</v>
      </c>
      <c r="D999" s="4" t="s">
        <v>266</v>
      </c>
      <c r="E999" s="8">
        <v>88458</v>
      </c>
      <c r="F999" s="3"/>
      <c r="G999" s="7">
        <f>IF(Tabla1[[#This Row],[Fecha]]="","",G998+Tabla1[[#This Row],[ingreso]]-Tabla1[[#This Row],[egreso]])</f>
        <v>245944.14429999888</v>
      </c>
      <c r="H999" s="7"/>
      <c r="I999" s="7"/>
      <c r="J999" s="4"/>
      <c r="K999" t="str">
        <f>IF(Tabla1[[#This Row],[Tipo]]="","",Tabla1[[#This Row],[ingreso]]/Tabla1[[#This Row],[Tipo]])</f>
        <v/>
      </c>
    </row>
    <row r="1000" spans="1:11" x14ac:dyDescent="0.2">
      <c r="A1000">
        <f>COUNTIF($I$2:I1000,'[1]Detalle Pilotos'!$G$3)</f>
        <v>0</v>
      </c>
      <c r="B1000">
        <f t="shared" si="15"/>
        <v>999</v>
      </c>
      <c r="C1000" s="9">
        <v>44914</v>
      </c>
      <c r="D1000" s="4" t="s">
        <v>237</v>
      </c>
      <c r="E1000" s="8"/>
      <c r="F1000" s="3">
        <v>4340250</v>
      </c>
      <c r="G1000" s="7">
        <f>IF(Tabla1[[#This Row],[Fecha]]="","",G999+Tabla1[[#This Row],[ingreso]]-Tabla1[[#This Row],[egreso]])</f>
        <v>4586194.1442999989</v>
      </c>
      <c r="H1000" s="7">
        <v>5000</v>
      </c>
      <c r="I1000" s="7" t="s">
        <v>329</v>
      </c>
      <c r="J1000" s="4"/>
      <c r="K1000">
        <f>IF(Tabla1[[#This Row],[Tipo]]="","",Tabla1[[#This Row],[ingreso]]/Tabla1[[#This Row],[Tipo]])</f>
        <v>868.05</v>
      </c>
    </row>
    <row r="1001" spans="1:11" x14ac:dyDescent="0.2">
      <c r="A1001">
        <f>COUNTIF($I$2:I1001,'[1]Detalle Pilotos'!$G$3)</f>
        <v>0</v>
      </c>
      <c r="B1001">
        <f t="shared" si="15"/>
        <v>1000</v>
      </c>
      <c r="C1001" s="9">
        <v>44914</v>
      </c>
      <c r="D1001" s="4" t="s">
        <v>482</v>
      </c>
      <c r="E1001" s="8">
        <v>4000000</v>
      </c>
      <c r="F1001" s="3"/>
      <c r="G1001" s="7">
        <f>IF(Tabla1[[#This Row],[Fecha]]="","",G1000+Tabla1[[#This Row],[ingreso]]-Tabla1[[#This Row],[egreso]])</f>
        <v>586194.14429999888</v>
      </c>
      <c r="H1001" s="7"/>
      <c r="I1001" s="7"/>
      <c r="J1001" s="4"/>
      <c r="K1001" t="str">
        <f>IF(Tabla1[[#This Row],[Tipo]]="","",Tabla1[[#This Row],[ingreso]]/Tabla1[[#This Row],[Tipo]])</f>
        <v/>
      </c>
    </row>
    <row r="1002" spans="1:11" x14ac:dyDescent="0.2">
      <c r="A1002">
        <f>COUNTIF($I$2:I1002,'[1]Detalle Pilotos'!$G$3)</f>
        <v>0</v>
      </c>
      <c r="B1002">
        <f t="shared" si="15"/>
        <v>1001</v>
      </c>
      <c r="C1002" s="9">
        <v>40896</v>
      </c>
      <c r="D1002" s="4" t="s">
        <v>483</v>
      </c>
      <c r="E1002" s="8">
        <v>122100</v>
      </c>
      <c r="F1002" s="3"/>
      <c r="G1002" s="7">
        <f>IF(Tabla1[[#This Row],[Fecha]]="","",G1001+Tabla1[[#This Row],[ingreso]]-Tabla1[[#This Row],[egreso]])</f>
        <v>464094.14429999888</v>
      </c>
      <c r="H1002" s="7"/>
      <c r="I1002" s="7"/>
      <c r="J1002" s="4"/>
      <c r="K1002" t="str">
        <f>IF(Tabla1[[#This Row],[Tipo]]="","",Tabla1[[#This Row],[ingreso]]/Tabla1[[#This Row],[Tipo]])</f>
        <v/>
      </c>
    </row>
    <row r="1003" spans="1:11" x14ac:dyDescent="0.2">
      <c r="A1003">
        <f>COUNTIF($I$2:I1003,'[1]Detalle Pilotos'!$G$3)</f>
        <v>0</v>
      </c>
      <c r="B1003">
        <f t="shared" si="15"/>
        <v>1002</v>
      </c>
      <c r="C1003" s="9">
        <v>44914</v>
      </c>
      <c r="D1003" s="4" t="s">
        <v>440</v>
      </c>
      <c r="E1003" s="8"/>
      <c r="F1003" s="3">
        <v>280500</v>
      </c>
      <c r="G1003" s="7">
        <f>IF(Tabla1[[#This Row],[Fecha]]="","",G1002+Tabla1[[#This Row],[ingreso]]-Tabla1[[#This Row],[egreso]])</f>
        <v>744594.14429999888</v>
      </c>
      <c r="H1003" s="7"/>
      <c r="I1003" s="7" t="s">
        <v>441</v>
      </c>
      <c r="J1003" s="4"/>
      <c r="K1003" t="str">
        <f>IF(Tabla1[[#This Row],[Tipo]]="","",Tabla1[[#This Row],[ingreso]]/Tabla1[[#This Row],[Tipo]])</f>
        <v/>
      </c>
    </row>
    <row r="1004" spans="1:11" x14ac:dyDescent="0.2">
      <c r="A1004">
        <f>COUNTIF($I$2:I1004,'[1]Detalle Pilotos'!$G$3)</f>
        <v>0</v>
      </c>
      <c r="B1004">
        <f t="shared" si="15"/>
        <v>1003</v>
      </c>
      <c r="C1004" s="9">
        <v>44915</v>
      </c>
      <c r="D1004" s="4" t="s">
        <v>258</v>
      </c>
      <c r="E1004" s="8"/>
      <c r="F1004" s="3">
        <v>500000</v>
      </c>
      <c r="G1004" s="7">
        <f>IF(Tabla1[[#This Row],[Fecha]]="","",G1003+Tabla1[[#This Row],[ingreso]]-Tabla1[[#This Row],[egreso]])</f>
        <v>1244594.1442999989</v>
      </c>
      <c r="H1004" s="7"/>
      <c r="I1004" s="7" t="s">
        <v>259</v>
      </c>
      <c r="J1004" s="4"/>
      <c r="K1004" t="str">
        <f>IF(Tabla1[[#This Row],[Tipo]]="","",Tabla1[[#This Row],[ingreso]]/Tabla1[[#This Row],[Tipo]])</f>
        <v/>
      </c>
    </row>
    <row r="1005" spans="1:11" x14ac:dyDescent="0.2">
      <c r="A1005">
        <f>COUNTIF($I$2:I1005,'[1]Detalle Pilotos'!$G$3)</f>
        <v>0</v>
      </c>
      <c r="B1005">
        <f t="shared" si="15"/>
        <v>1004</v>
      </c>
      <c r="C1005" s="9">
        <v>44916</v>
      </c>
      <c r="D1005" s="4" t="s">
        <v>237</v>
      </c>
      <c r="E1005" s="8"/>
      <c r="F1005" s="3">
        <v>5190120</v>
      </c>
      <c r="G1005" s="7">
        <f>IF(Tabla1[[#This Row],[Fecha]]="","",G1004+Tabla1[[#This Row],[ingreso]]-Tabla1[[#This Row],[egreso]])</f>
        <v>6434714.1442999989</v>
      </c>
      <c r="H1005" s="7">
        <v>6000</v>
      </c>
      <c r="I1005" s="7" t="s">
        <v>329</v>
      </c>
      <c r="J1005" s="4"/>
      <c r="K1005">
        <f>IF(Tabla1[[#This Row],[Tipo]]="","",Tabla1[[#This Row],[ingreso]]/Tabla1[[#This Row],[Tipo]])</f>
        <v>865.02</v>
      </c>
    </row>
    <row r="1006" spans="1:11" x14ac:dyDescent="0.2">
      <c r="A1006">
        <f>COUNTIF($I$2:I1006,'[1]Detalle Pilotos'!$G$3)</f>
        <v>0</v>
      </c>
      <c r="B1006">
        <f t="shared" si="15"/>
        <v>1005</v>
      </c>
      <c r="C1006" s="9">
        <v>44916</v>
      </c>
      <c r="D1006" s="4" t="s">
        <v>484</v>
      </c>
      <c r="E1006" s="8">
        <v>3438288</v>
      </c>
      <c r="F1006" s="3"/>
      <c r="G1006" s="7">
        <f>IF(Tabla1[[#This Row],[Fecha]]="","",G1005+Tabla1[[#This Row],[ingreso]]-Tabla1[[#This Row],[egreso]])</f>
        <v>2996426.1442999989</v>
      </c>
      <c r="H1006" s="7"/>
      <c r="I1006" s="7"/>
      <c r="J1006" s="4"/>
      <c r="K1006" t="str">
        <f>IF(Tabla1[[#This Row],[Tipo]]="","",Tabla1[[#This Row],[ingreso]]/Tabla1[[#This Row],[Tipo]])</f>
        <v/>
      </c>
    </row>
    <row r="1007" spans="1:11" x14ac:dyDescent="0.2">
      <c r="A1007">
        <f>COUNTIF($I$2:I1007,'[1]Detalle Pilotos'!$G$3)</f>
        <v>0</v>
      </c>
      <c r="B1007">
        <f t="shared" si="15"/>
        <v>1006</v>
      </c>
      <c r="C1007" s="9">
        <v>44916</v>
      </c>
      <c r="D1007" s="4" t="s">
        <v>425</v>
      </c>
      <c r="E1007" s="8">
        <v>201300</v>
      </c>
      <c r="F1007" s="3"/>
      <c r="G1007" s="7">
        <f>IF(Tabla1[[#This Row],[Fecha]]="","",G1006+Tabla1[[#This Row],[ingreso]]-Tabla1[[#This Row],[egreso]])</f>
        <v>2795126.1442999989</v>
      </c>
      <c r="H1007" s="7"/>
      <c r="I1007" s="7"/>
      <c r="J1007" s="4"/>
      <c r="K1007" t="str">
        <f>IF(Tabla1[[#This Row],[Tipo]]="","",Tabla1[[#This Row],[ingreso]]/Tabla1[[#This Row],[Tipo]])</f>
        <v/>
      </c>
    </row>
    <row r="1008" spans="1:11" x14ac:dyDescent="0.2">
      <c r="A1008">
        <f>COUNTIF($I$2:I1008,'[1]Detalle Pilotos'!$G$3)</f>
        <v>0</v>
      </c>
      <c r="B1008">
        <f t="shared" si="15"/>
        <v>1007</v>
      </c>
      <c r="C1008" s="9">
        <v>44916</v>
      </c>
      <c r="D1008" s="4" t="s">
        <v>258</v>
      </c>
      <c r="E1008" s="8"/>
      <c r="F1008" s="3">
        <v>76000</v>
      </c>
      <c r="G1008" s="7">
        <f>IF(Tabla1[[#This Row],[Fecha]]="","",G1007+Tabla1[[#This Row],[ingreso]]-Tabla1[[#This Row],[egreso]])</f>
        <v>2871126.1442999989</v>
      </c>
      <c r="H1008" s="7"/>
      <c r="I1008" s="7" t="s">
        <v>259</v>
      </c>
      <c r="J1008" s="4"/>
      <c r="K1008" t="str">
        <f>IF(Tabla1[[#This Row],[Tipo]]="","",Tabla1[[#This Row],[ingreso]]/Tabla1[[#This Row],[Tipo]])</f>
        <v/>
      </c>
    </row>
    <row r="1009" spans="1:11" x14ac:dyDescent="0.2">
      <c r="A1009">
        <f>COUNTIF($I$2:I1009,'[1]Detalle Pilotos'!$G$3)</f>
        <v>0</v>
      </c>
      <c r="B1009">
        <f t="shared" si="15"/>
        <v>1008</v>
      </c>
      <c r="C1009" s="9">
        <v>44921</v>
      </c>
      <c r="D1009" s="4" t="s">
        <v>485</v>
      </c>
      <c r="E1009" s="8"/>
      <c r="F1009" s="3">
        <v>521363</v>
      </c>
      <c r="G1009" s="7">
        <f>IF(Tabla1[[#This Row],[Fecha]]="","",G1008+Tabla1[[#This Row],[ingreso]]-Tabla1[[#This Row],[egreso]])</f>
        <v>3392489.1442999989</v>
      </c>
      <c r="H1009" s="7"/>
      <c r="I1009" s="7"/>
      <c r="J1009" s="4"/>
      <c r="K1009" t="str">
        <f>IF(Tabla1[[#This Row],[Tipo]]="","",Tabla1[[#This Row],[ingreso]]/Tabla1[[#This Row],[Tipo]])</f>
        <v/>
      </c>
    </row>
    <row r="1010" spans="1:11" x14ac:dyDescent="0.2">
      <c r="A1010">
        <f>COUNTIF($I$2:I1010,'[1]Detalle Pilotos'!$G$3)</f>
        <v>0</v>
      </c>
      <c r="B1010">
        <f t="shared" si="15"/>
        <v>1009</v>
      </c>
      <c r="C1010" s="9">
        <v>44921</v>
      </c>
      <c r="D1010" s="4" t="s">
        <v>237</v>
      </c>
      <c r="E1010" s="8"/>
      <c r="F1010" s="3">
        <v>3459400</v>
      </c>
      <c r="G1010" s="7">
        <f>IF(Tabla1[[#This Row],[Fecha]]="","",G1009+Tabla1[[#This Row],[ingreso]]-Tabla1[[#This Row],[egreso]])</f>
        <v>6851889.1442999989</v>
      </c>
      <c r="H1010" s="7">
        <v>4000</v>
      </c>
      <c r="I1010" s="7" t="s">
        <v>329</v>
      </c>
      <c r="J1010" s="4"/>
      <c r="K1010">
        <f>IF(Tabla1[[#This Row],[Tipo]]="","",Tabla1[[#This Row],[ingreso]]/Tabla1[[#This Row],[Tipo]])</f>
        <v>864.85</v>
      </c>
    </row>
    <row r="1011" spans="1:11" x14ac:dyDescent="0.2">
      <c r="A1011">
        <f>COUNTIF($I$2:I1011,'[1]Detalle Pilotos'!$G$3)</f>
        <v>0</v>
      </c>
      <c r="B1011">
        <f t="shared" si="15"/>
        <v>1010</v>
      </c>
      <c r="C1011" s="9">
        <v>44921</v>
      </c>
      <c r="D1011" s="4" t="s">
        <v>486</v>
      </c>
      <c r="E1011" s="8">
        <v>4000000</v>
      </c>
      <c r="F1011" s="3"/>
      <c r="G1011" s="7">
        <f>IF(Tabla1[[#This Row],[Fecha]]="","",G1010+Tabla1[[#This Row],[ingreso]]-Tabla1[[#This Row],[egreso]])</f>
        <v>2851889.1442999989</v>
      </c>
      <c r="H1011" s="7"/>
      <c r="I1011" s="7"/>
      <c r="J1011" s="4"/>
      <c r="K1011" t="str">
        <f>IF(Tabla1[[#This Row],[Tipo]]="","",Tabla1[[#This Row],[ingreso]]/Tabla1[[#This Row],[Tipo]])</f>
        <v/>
      </c>
    </row>
    <row r="1012" spans="1:11" x14ac:dyDescent="0.2">
      <c r="A1012">
        <f>COUNTIF($I$2:I1012,'[1]Detalle Pilotos'!$G$3)</f>
        <v>0</v>
      </c>
      <c r="B1012">
        <f t="shared" si="15"/>
        <v>1011</v>
      </c>
      <c r="C1012" s="40">
        <v>44921</v>
      </c>
      <c r="D1012" s="41" t="s">
        <v>485</v>
      </c>
      <c r="E1012" s="8">
        <v>521636</v>
      </c>
      <c r="F1012" s="3"/>
      <c r="G1012" s="7">
        <f>IF(Tabla1[[#This Row],[Fecha]]="","",G1011+Tabla1[[#This Row],[ingreso]]-Tabla1[[#This Row],[egreso]])</f>
        <v>2330253.1442999989</v>
      </c>
      <c r="H1012" s="7"/>
      <c r="I1012" s="7"/>
      <c r="J1012" s="4"/>
      <c r="K1012" t="str">
        <f>IF(Tabla1[[#This Row],[Tipo]]="","",Tabla1[[#This Row],[ingreso]]/Tabla1[[#This Row],[Tipo]])</f>
        <v/>
      </c>
    </row>
    <row r="1013" spans="1:11" x14ac:dyDescent="0.2">
      <c r="A1013">
        <f>COUNTIF($I$2:I1013,'[1]Detalle Pilotos'!$G$3)</f>
        <v>0</v>
      </c>
      <c r="B1013">
        <f t="shared" si="15"/>
        <v>1012</v>
      </c>
      <c r="C1013" s="40">
        <v>44921</v>
      </c>
      <c r="D1013" s="41" t="s">
        <v>485</v>
      </c>
      <c r="E1013" s="8"/>
      <c r="F1013" s="3">
        <v>273</v>
      </c>
      <c r="G1013" s="7">
        <f>IF(Tabla1[[#This Row],[Fecha]]="","",G1012+Tabla1[[#This Row],[ingreso]]-Tabla1[[#This Row],[egreso]])</f>
        <v>2330526.1442999989</v>
      </c>
      <c r="H1013" s="7"/>
      <c r="I1013" s="7"/>
      <c r="J1013" s="4"/>
      <c r="K1013" t="str">
        <f>IF(Tabla1[[#This Row],[Tipo]]="","",Tabla1[[#This Row],[ingreso]]/Tabla1[[#This Row],[Tipo]])</f>
        <v/>
      </c>
    </row>
    <row r="1014" spans="1:11" x14ac:dyDescent="0.2">
      <c r="A1014">
        <f>COUNTIF($I$2:I1014,'[1]Detalle Pilotos'!$G$3)</f>
        <v>0</v>
      </c>
      <c r="B1014">
        <f t="shared" si="15"/>
        <v>1013</v>
      </c>
      <c r="C1014" s="9">
        <v>44923</v>
      </c>
      <c r="D1014" s="4" t="s">
        <v>237</v>
      </c>
      <c r="E1014" s="8"/>
      <c r="F1014" s="3">
        <v>2538450</v>
      </c>
      <c r="G1014" s="7">
        <f>IF(Tabla1[[#This Row],[Fecha]]="","",G1013+Tabla1[[#This Row],[ingreso]]-Tabla1[[#This Row],[egreso]])</f>
        <v>4868976.1442999989</v>
      </c>
      <c r="H1014" s="7">
        <v>3000</v>
      </c>
      <c r="I1014" s="7" t="s">
        <v>329</v>
      </c>
      <c r="J1014" s="4"/>
      <c r="K1014">
        <f>IF(Tabla1[[#This Row],[Tipo]]="","",Tabla1[[#This Row],[ingreso]]/Tabla1[[#This Row],[Tipo]])</f>
        <v>846.15</v>
      </c>
    </row>
    <row r="1015" spans="1:11" x14ac:dyDescent="0.2">
      <c r="A1015">
        <f>COUNTIF($I$2:I1015,'[1]Detalle Pilotos'!$G$3)</f>
        <v>0</v>
      </c>
      <c r="B1015">
        <f t="shared" si="15"/>
        <v>1014</v>
      </c>
      <c r="C1015" s="9">
        <v>44923</v>
      </c>
      <c r="D1015" s="4" t="s">
        <v>487</v>
      </c>
      <c r="E1015" s="8">
        <v>2524085</v>
      </c>
      <c r="F1015" s="3"/>
      <c r="G1015" s="7">
        <f>IF(Tabla1[[#This Row],[Fecha]]="","",G1014+Tabla1[[#This Row],[ingreso]]-Tabla1[[#This Row],[egreso]])</f>
        <v>2344891.1442999989</v>
      </c>
      <c r="H1015" s="7"/>
      <c r="I1015" s="7"/>
      <c r="J1015" s="4"/>
      <c r="K1015" t="str">
        <f>IF(Tabla1[[#This Row],[Tipo]]="","",Tabla1[[#This Row],[ingreso]]/Tabla1[[#This Row],[Tipo]])</f>
        <v/>
      </c>
    </row>
    <row r="1016" spans="1:11" x14ac:dyDescent="0.2">
      <c r="A1016">
        <f>COUNTIF($I$2:I1016,'[1]Detalle Pilotos'!$G$3)</f>
        <v>0</v>
      </c>
      <c r="B1016">
        <f t="shared" si="15"/>
        <v>1015</v>
      </c>
      <c r="C1016" s="9">
        <v>44924</v>
      </c>
      <c r="D1016" s="4" t="s">
        <v>488</v>
      </c>
      <c r="E1016" s="8">
        <v>227700</v>
      </c>
      <c r="F1016" s="3"/>
      <c r="G1016" s="7">
        <f>IF(Tabla1[[#This Row],[Fecha]]="","",G1015+Tabla1[[#This Row],[ingreso]]-Tabla1[[#This Row],[egreso]])</f>
        <v>2117191.1442999989</v>
      </c>
      <c r="H1016" s="7"/>
      <c r="I1016" s="7"/>
      <c r="J1016" s="4"/>
      <c r="K1016" t="str">
        <f>IF(Tabla1[[#This Row],[Tipo]]="","",Tabla1[[#This Row],[ingreso]]/Tabla1[[#This Row],[Tipo]])</f>
        <v/>
      </c>
    </row>
    <row r="1017" spans="1:11" x14ac:dyDescent="0.2">
      <c r="A1017">
        <f>COUNTIF($I$2:I1017,'[1]Detalle Pilotos'!$G$3)</f>
        <v>0</v>
      </c>
      <c r="B1017">
        <f t="shared" si="15"/>
        <v>1016</v>
      </c>
      <c r="C1017" s="9">
        <v>44924</v>
      </c>
      <c r="D1017" s="4" t="s">
        <v>425</v>
      </c>
      <c r="E1017" s="8">
        <v>201300</v>
      </c>
      <c r="F1017" s="3"/>
      <c r="G1017" s="7">
        <f>IF(Tabla1[[#This Row],[Fecha]]="","",G1016+Tabla1[[#This Row],[ingreso]]-Tabla1[[#This Row],[egreso]])</f>
        <v>1915891.1442999989</v>
      </c>
      <c r="H1017" s="7"/>
      <c r="I1017" s="7"/>
      <c r="J1017" s="4"/>
      <c r="K1017" t="str">
        <f>IF(Tabla1[[#This Row],[Tipo]]="","",Tabla1[[#This Row],[ingreso]]/Tabla1[[#This Row],[Tipo]])</f>
        <v/>
      </c>
    </row>
    <row r="1018" spans="1:11" x14ac:dyDescent="0.2">
      <c r="A1018">
        <f>COUNTIF($I$2:I1018,'[1]Detalle Pilotos'!$G$3)</f>
        <v>0</v>
      </c>
      <c r="B1018">
        <f t="shared" si="15"/>
        <v>1017</v>
      </c>
      <c r="C1018" s="9">
        <v>44925</v>
      </c>
      <c r="D1018" s="4" t="s">
        <v>489</v>
      </c>
      <c r="E1018" s="8"/>
      <c r="F1018" s="3">
        <v>340000</v>
      </c>
      <c r="G1018" s="7">
        <f>IF(Tabla1[[#This Row],[Fecha]]="","",G1017+Tabla1[[#This Row],[ingreso]]-Tabla1[[#This Row],[egreso]])</f>
        <v>2255891.1442999989</v>
      </c>
      <c r="H1018" s="7"/>
      <c r="I1018" s="7"/>
      <c r="J1018" s="4"/>
      <c r="K1018" t="str">
        <f>IF(Tabla1[[#This Row],[Tipo]]="","",Tabla1[[#This Row],[ingreso]]/Tabla1[[#This Row],[Tipo]])</f>
        <v/>
      </c>
    </row>
    <row r="1019" spans="1:11" x14ac:dyDescent="0.2">
      <c r="A1019">
        <f>COUNTIF($I$2:I1019,'[1]Detalle Pilotos'!$G$3)</f>
        <v>0</v>
      </c>
      <c r="B1019">
        <f t="shared" si="15"/>
        <v>1018</v>
      </c>
      <c r="C1019" s="9">
        <v>44925</v>
      </c>
      <c r="D1019" s="4" t="s">
        <v>490</v>
      </c>
      <c r="E1019" s="8">
        <v>161700</v>
      </c>
      <c r="F1019" s="3"/>
      <c r="G1019" s="7">
        <f>IF(Tabla1[[#This Row],[Fecha]]="","",G1018+Tabla1[[#This Row],[ingreso]]-Tabla1[[#This Row],[egreso]])</f>
        <v>2094191.1442999989</v>
      </c>
      <c r="H1019" s="7"/>
      <c r="I1019" s="7"/>
      <c r="J1019" s="4"/>
      <c r="K1019" t="str">
        <f>IF(Tabla1[[#This Row],[Tipo]]="","",Tabla1[[#This Row],[ingreso]]/Tabla1[[#This Row],[Tipo]])</f>
        <v/>
      </c>
    </row>
    <row r="1020" spans="1:11" x14ac:dyDescent="0.2">
      <c r="A1020">
        <f>COUNTIF($I$2:I1020,'[1]Detalle Pilotos'!$G$3)</f>
        <v>0</v>
      </c>
      <c r="B1020">
        <f t="shared" si="15"/>
        <v>1019</v>
      </c>
      <c r="C1020" s="40">
        <v>44925</v>
      </c>
      <c r="D1020" s="41" t="s">
        <v>491</v>
      </c>
      <c r="E1020" s="8"/>
      <c r="F1020" s="3">
        <v>5000000</v>
      </c>
      <c r="G1020" s="7">
        <f>IF(Tabla1[[#This Row],[Fecha]]="","",G1019+Tabla1[[#This Row],[ingreso]]-Tabla1[[#This Row],[egreso]])</f>
        <v>7094191.1442999989</v>
      </c>
      <c r="H1020" s="7"/>
      <c r="I1020" s="7"/>
      <c r="J1020" s="4"/>
      <c r="K1020" t="str">
        <f>IF(Tabla1[[#This Row],[Tipo]]="","",Tabla1[[#This Row],[ingreso]]/Tabla1[[#This Row],[Tipo]])</f>
        <v/>
      </c>
    </row>
    <row r="1021" spans="1:11" x14ac:dyDescent="0.2">
      <c r="A1021">
        <f>COUNTIF($I$2:I1021,'[1]Detalle Pilotos'!$G$3)</f>
        <v>0</v>
      </c>
      <c r="B1021">
        <f t="shared" si="15"/>
        <v>1020</v>
      </c>
      <c r="C1021" s="9">
        <v>44929</v>
      </c>
      <c r="D1021" s="4" t="s">
        <v>185</v>
      </c>
      <c r="E1021" s="8">
        <v>398308</v>
      </c>
      <c r="F1021" s="3"/>
      <c r="G1021" s="7">
        <f>IF(Tabla1[[#This Row],[Fecha]]="","",G1020+Tabla1[[#This Row],[ingreso]]-Tabla1[[#This Row],[egreso]])</f>
        <v>6695883.1442999989</v>
      </c>
      <c r="H1021" s="7"/>
      <c r="I1021" s="7"/>
      <c r="J1021" s="4"/>
      <c r="K1021" t="str">
        <f>IF(Tabla1[[#This Row],[Tipo]]="","",Tabla1[[#This Row],[ingreso]]/Tabla1[[#This Row],[Tipo]])</f>
        <v/>
      </c>
    </row>
    <row r="1022" spans="1:11" x14ac:dyDescent="0.2">
      <c r="A1022">
        <f>COUNTIF($I$2:I1022,'[1]Detalle Pilotos'!$G$3)</f>
        <v>0</v>
      </c>
      <c r="B1022">
        <f t="shared" si="15"/>
        <v>1021</v>
      </c>
      <c r="C1022" s="9">
        <v>44929</v>
      </c>
      <c r="D1022" s="4" t="s">
        <v>437</v>
      </c>
      <c r="E1022" s="8">
        <v>109947</v>
      </c>
      <c r="F1022" s="3"/>
      <c r="G1022" s="7">
        <f>IF(Tabla1[[#This Row],[Fecha]]="","",G1021+Tabla1[[#This Row],[ingreso]]-Tabla1[[#This Row],[egreso]])</f>
        <v>6585936.1442999989</v>
      </c>
      <c r="H1022" s="7"/>
      <c r="I1022" s="7"/>
      <c r="J1022" s="4"/>
      <c r="K1022" t="str">
        <f>IF(Tabla1[[#This Row],[Tipo]]="","",Tabla1[[#This Row],[ingreso]]/Tabla1[[#This Row],[Tipo]])</f>
        <v/>
      </c>
    </row>
    <row r="1023" spans="1:11" x14ac:dyDescent="0.2">
      <c r="A1023">
        <f>COUNTIF($I$2:I1023,'[1]Detalle Pilotos'!$G$3)</f>
        <v>0</v>
      </c>
      <c r="B1023">
        <f t="shared" si="15"/>
        <v>1022</v>
      </c>
      <c r="C1023" s="9">
        <v>44930</v>
      </c>
      <c r="D1023" s="4" t="s">
        <v>492</v>
      </c>
      <c r="E1023" s="8">
        <v>191400</v>
      </c>
      <c r="F1023" s="3"/>
      <c r="G1023" s="7">
        <f>IF(Tabla1[[#This Row],[Fecha]]="","",G1022+Tabla1[[#This Row],[ingreso]]-Tabla1[[#This Row],[egreso]])</f>
        <v>6394536.1442999989</v>
      </c>
      <c r="H1023" s="7"/>
      <c r="I1023" s="7"/>
      <c r="J1023" s="4"/>
      <c r="K1023" t="str">
        <f>IF(Tabla1[[#This Row],[Tipo]]="","",Tabla1[[#This Row],[ingreso]]/Tabla1[[#This Row],[Tipo]])</f>
        <v/>
      </c>
    </row>
    <row r="1024" spans="1:11" x14ac:dyDescent="0.2">
      <c r="A1024">
        <f>COUNTIF($I$2:I1024,'[1]Detalle Pilotos'!$G$3)</f>
        <v>0</v>
      </c>
      <c r="B1024">
        <f t="shared" si="15"/>
        <v>1023</v>
      </c>
      <c r="C1024" s="40">
        <v>44930</v>
      </c>
      <c r="D1024" s="41" t="s">
        <v>491</v>
      </c>
      <c r="E1024" s="8">
        <v>2000000</v>
      </c>
      <c r="F1024" s="3"/>
      <c r="G1024" s="7">
        <f>IF(Tabla1[[#This Row],[Fecha]]="","",G1023+Tabla1[[#This Row],[ingreso]]-Tabla1[[#This Row],[egreso]])</f>
        <v>4394536.1442999989</v>
      </c>
      <c r="H1024" s="7"/>
      <c r="I1024" s="7"/>
      <c r="J1024" s="4"/>
      <c r="K1024" t="str">
        <f>IF(Tabla1[[#This Row],[Tipo]]="","",Tabla1[[#This Row],[ingreso]]/Tabla1[[#This Row],[Tipo]])</f>
        <v/>
      </c>
    </row>
    <row r="1025" spans="1:28" x14ac:dyDescent="0.2">
      <c r="A1025">
        <f>COUNTIF($I$2:I1025,'[1]Detalle Pilotos'!$G$3)</f>
        <v>0</v>
      </c>
      <c r="B1025">
        <f t="shared" si="15"/>
        <v>1024</v>
      </c>
      <c r="C1025" s="9">
        <v>44930</v>
      </c>
      <c r="D1025" s="4" t="s">
        <v>493</v>
      </c>
      <c r="E1025" s="8">
        <v>2500000</v>
      </c>
      <c r="F1025" s="3"/>
      <c r="G1025" s="7">
        <f>IF(Tabla1[[#This Row],[Fecha]]="","",G1024+Tabla1[[#This Row],[ingreso]]-Tabla1[[#This Row],[egreso]])</f>
        <v>1894536.1442999989</v>
      </c>
      <c r="H1025" s="7"/>
      <c r="I1025" s="7"/>
      <c r="J1025" s="4"/>
      <c r="K1025" t="str">
        <f>IF(Tabla1[[#This Row],[Tipo]]="","",Tabla1[[#This Row],[ingreso]]/Tabla1[[#This Row],[Tipo]])</f>
        <v/>
      </c>
    </row>
    <row r="1026" spans="1:28" x14ac:dyDescent="0.2">
      <c r="A1026">
        <f>COUNTIF($I$2:I1026,'[1]Detalle Pilotos'!$G$3)</f>
        <v>0</v>
      </c>
      <c r="B1026">
        <f t="shared" si="15"/>
        <v>1025</v>
      </c>
      <c r="C1026" s="9">
        <v>44930</v>
      </c>
      <c r="D1026" s="4" t="s">
        <v>494</v>
      </c>
      <c r="E1026" s="8">
        <v>158400</v>
      </c>
      <c r="F1026" s="3"/>
      <c r="G1026" s="7">
        <f>IF(Tabla1[[#This Row],[Fecha]]="","",G1025+Tabla1[[#This Row],[ingreso]]-Tabla1[[#This Row],[egreso]])</f>
        <v>1736136.1442999989</v>
      </c>
      <c r="H1026" s="7"/>
      <c r="I1026" s="7"/>
      <c r="J1026" s="4"/>
      <c r="K1026" t="str">
        <f>IF(Tabla1[[#This Row],[Tipo]]="","",Tabla1[[#This Row],[ingreso]]/Tabla1[[#This Row],[Tipo]])</f>
        <v/>
      </c>
    </row>
    <row r="1027" spans="1:28" x14ac:dyDescent="0.2">
      <c r="A1027">
        <f>COUNTIF($I$2:I1027,'[1]Detalle Pilotos'!$G$3)</f>
        <v>0</v>
      </c>
      <c r="B1027">
        <f t="shared" si="15"/>
        <v>1026</v>
      </c>
      <c r="C1027" s="9">
        <v>44930</v>
      </c>
      <c r="D1027" s="4" t="s">
        <v>495</v>
      </c>
      <c r="E1027" s="8"/>
      <c r="F1027" s="3">
        <v>221000</v>
      </c>
      <c r="G1027" s="7">
        <f>IF(Tabla1[[#This Row],[Fecha]]="","",G1026+Tabla1[[#This Row],[ingreso]]-Tabla1[[#This Row],[egreso]])</f>
        <v>1957136.1442999989</v>
      </c>
      <c r="H1027" s="7"/>
      <c r="I1027" s="7" t="s">
        <v>496</v>
      </c>
      <c r="J1027" s="4"/>
      <c r="K1027" t="str">
        <f>IF(Tabla1[[#This Row],[Tipo]]="","",Tabla1[[#This Row],[ingreso]]/Tabla1[[#This Row],[Tipo]])</f>
        <v/>
      </c>
    </row>
    <row r="1028" spans="1:28" x14ac:dyDescent="0.2">
      <c r="A1028">
        <f>COUNTIF($I$2:I1028,'[1]Detalle Pilotos'!$G$3)</f>
        <v>0</v>
      </c>
      <c r="B1028">
        <f t="shared" ref="B1028:B1091" si="16">IF(C1028="","",1+B1027)</f>
        <v>1027</v>
      </c>
      <c r="C1028" s="9">
        <v>44931</v>
      </c>
      <c r="D1028" s="4" t="s">
        <v>237</v>
      </c>
      <c r="E1028" s="8"/>
      <c r="F1028" s="3">
        <v>2503860</v>
      </c>
      <c r="G1028" s="7">
        <f>IF(Tabla1[[#This Row],[Fecha]]="","",G1027+Tabla1[[#This Row],[ingreso]]-Tabla1[[#This Row],[egreso]])</f>
        <v>4460996.1442999989</v>
      </c>
      <c r="H1028" s="7">
        <v>3000</v>
      </c>
      <c r="I1028" s="7" t="s">
        <v>329</v>
      </c>
      <c r="J1028" s="4"/>
      <c r="K1028">
        <f>IF(Tabla1[[#This Row],[Tipo]]="","",Tabla1[[#This Row],[ingreso]]/Tabla1[[#This Row],[Tipo]])</f>
        <v>834.62</v>
      </c>
    </row>
    <row r="1029" spans="1:28" x14ac:dyDescent="0.2">
      <c r="A1029">
        <f>COUNTIF($I$2:I1029,'[1]Detalle Pilotos'!$G$3)</f>
        <v>0</v>
      </c>
      <c r="B1029">
        <f t="shared" si="16"/>
        <v>1028</v>
      </c>
      <c r="C1029" s="40">
        <v>44931</v>
      </c>
      <c r="D1029" s="41" t="s">
        <v>491</v>
      </c>
      <c r="E1029" s="8">
        <v>1000000</v>
      </c>
      <c r="F1029" s="3"/>
      <c r="G1029" s="7">
        <f>IF(Tabla1[[#This Row],[Fecha]]="","",G1028+Tabla1[[#This Row],[ingreso]]-Tabla1[[#This Row],[egreso]])</f>
        <v>3460996.1442999989</v>
      </c>
      <c r="H1029" s="7"/>
      <c r="I1029" s="7"/>
      <c r="J1029" s="4"/>
      <c r="K1029" t="str">
        <f>IF(Tabla1[[#This Row],[Tipo]]="","",Tabla1[[#This Row],[ingreso]]/Tabla1[[#This Row],[Tipo]])</f>
        <v/>
      </c>
      <c r="M1029" s="18" t="s">
        <v>0</v>
      </c>
      <c r="N1029" s="19" t="s">
        <v>497</v>
      </c>
      <c r="O1029" s="42" t="s">
        <v>498</v>
      </c>
      <c r="P1029"/>
      <c r="W1029" t="s">
        <v>499</v>
      </c>
      <c r="X1029" t="s">
        <v>306</v>
      </c>
      <c r="Y1029" t="s">
        <v>500</v>
      </c>
      <c r="Z1029" t="s">
        <v>501</v>
      </c>
      <c r="AA1029" t="s">
        <v>502</v>
      </c>
    </row>
    <row r="1030" spans="1:28" x14ac:dyDescent="0.2">
      <c r="A1030">
        <f>COUNTIF($I$2:I1030,'[1]Detalle Pilotos'!$G$3)</f>
        <v>0</v>
      </c>
      <c r="B1030">
        <f t="shared" si="16"/>
        <v>1029</v>
      </c>
      <c r="C1030" s="9">
        <v>44931</v>
      </c>
      <c r="D1030" s="4" t="s">
        <v>503</v>
      </c>
      <c r="E1030" s="8">
        <v>2500000</v>
      </c>
      <c r="F1030" s="3"/>
      <c r="G1030" s="7">
        <f>IF(Tabla1[[#This Row],[Fecha]]="","",G1029+Tabla1[[#This Row],[ingreso]]-Tabla1[[#This Row],[egreso]])</f>
        <v>960996.14429999888</v>
      </c>
      <c r="H1030" s="7"/>
      <c r="I1030" s="7"/>
      <c r="J1030" s="4"/>
      <c r="K1030" t="str">
        <f>IF(Tabla1[[#This Row],[Tipo]]="","",Tabla1[[#This Row],[ingreso]]/Tabla1[[#This Row],[Tipo]])</f>
        <v/>
      </c>
      <c r="M1030" s="44">
        <v>44588</v>
      </c>
      <c r="N1030" s="19">
        <f>K700</f>
        <v>792</v>
      </c>
      <c r="O1030" s="42">
        <f>H700</f>
        <v>3300</v>
      </c>
      <c r="P1030">
        <f>O1030/(SUM($O$1030:$O$1119))</f>
        <v>4.5586340840367617E-3</v>
      </c>
      <c r="Q1030">
        <f t="shared" ref="Q1030:Q1093" si="17">N1030*P1030</f>
        <v>3.6104381945571151</v>
      </c>
      <c r="R1030" s="45">
        <f t="shared" ref="R1030:R1093" si="18">P1030</f>
        <v>4.5586340840367617E-3</v>
      </c>
      <c r="U1030" s="43">
        <f t="shared" ref="U1030:U1093" si="19">N1030*O1030</f>
        <v>2613600</v>
      </c>
      <c r="W1030" s="23">
        <f>SUM(U:U)</f>
        <v>634966962</v>
      </c>
      <c r="X1030" s="17">
        <f>SUM('[1]Vuelos Aerotrust-Ceres'!L3:L59)</f>
        <v>106864241.0818</v>
      </c>
      <c r="Y1030" s="17">
        <f>SUM('[1]Vuelos Aerotrust-Ceres'!P:P)</f>
        <v>41415430.75</v>
      </c>
      <c r="Z1030" s="17">
        <f>SUM(E1035)</f>
        <v>67220</v>
      </c>
      <c r="AA1030" s="10">
        <f>W1030-X1030-Y1030-Z1030</f>
        <v>486620070.16820002</v>
      </c>
      <c r="AB1030" s="10"/>
    </row>
    <row r="1031" spans="1:28" x14ac:dyDescent="0.2">
      <c r="A1031">
        <f>COUNTIF($I$2:I1031,'[1]Detalle Pilotos'!$G$3)</f>
        <v>0</v>
      </c>
      <c r="B1031">
        <f t="shared" si="16"/>
        <v>1030</v>
      </c>
      <c r="C1031" s="9">
        <v>44931</v>
      </c>
      <c r="D1031" s="4" t="s">
        <v>504</v>
      </c>
      <c r="E1031" s="8">
        <v>270600</v>
      </c>
      <c r="F1031" s="3"/>
      <c r="G1031" s="7">
        <f>IF(Tabla1[[#This Row],[Fecha]]="","",G1030+Tabla1[[#This Row],[ingreso]]-Tabla1[[#This Row],[egreso]])</f>
        <v>690396.14429999888</v>
      </c>
      <c r="H1031" s="7"/>
      <c r="I1031" s="7"/>
      <c r="J1031" s="4"/>
      <c r="K1031" t="str">
        <f>IF(Tabla1[[#This Row],[Tipo]]="","",Tabla1[[#This Row],[ingreso]]/Tabla1[[#This Row],[Tipo]])</f>
        <v/>
      </c>
      <c r="M1031" s="44">
        <v>44594</v>
      </c>
      <c r="N1031" s="19">
        <f>K715</f>
        <v>798.3</v>
      </c>
      <c r="O1031" s="42">
        <f>H715</f>
        <v>2140</v>
      </c>
      <c r="P1031">
        <f t="shared" ref="P1031:P1094" si="20">O1031/(SUM($O$1030:$O$1119))</f>
        <v>2.9562051332844451E-3</v>
      </c>
      <c r="Q1031">
        <f t="shared" si="17"/>
        <v>2.3599385579009722</v>
      </c>
      <c r="R1031" s="45">
        <f t="shared" si="18"/>
        <v>2.9562051332844451E-3</v>
      </c>
      <c r="U1031" s="43">
        <f t="shared" si="19"/>
        <v>1708362</v>
      </c>
    </row>
    <row r="1032" spans="1:28" x14ac:dyDescent="0.2">
      <c r="A1032">
        <f>COUNTIF($I$2:I1032,'[1]Detalle Pilotos'!$G$3)</f>
        <v>0</v>
      </c>
      <c r="B1032">
        <f t="shared" si="16"/>
        <v>1031</v>
      </c>
      <c r="C1032" s="9">
        <v>44933</v>
      </c>
      <c r="D1032" s="4" t="s">
        <v>505</v>
      </c>
      <c r="E1032" s="8">
        <v>145200</v>
      </c>
      <c r="F1032" s="3"/>
      <c r="G1032" s="7">
        <f>IF(Tabla1[[#This Row],[Fecha]]="","",G1031+Tabla1[[#This Row],[ingreso]]-Tabla1[[#This Row],[egreso]])</f>
        <v>545196.14429999888</v>
      </c>
      <c r="H1032" s="7"/>
      <c r="I1032" s="7"/>
      <c r="J1032" s="4"/>
      <c r="K1032" t="str">
        <f>IF(Tabla1[[#This Row],[Tipo]]="","",Tabla1[[#This Row],[ingreso]]/Tabla1[[#This Row],[Tipo]])</f>
        <v/>
      </c>
      <c r="M1032" s="44">
        <v>44599</v>
      </c>
      <c r="N1032" s="19">
        <f>K717</f>
        <v>813.35</v>
      </c>
      <c r="O1032" s="42">
        <f>H717</f>
        <v>4160</v>
      </c>
      <c r="P1032">
        <f t="shared" si="20"/>
        <v>5.7466417544220988E-3</v>
      </c>
      <c r="Q1032">
        <f t="shared" si="17"/>
        <v>4.6740310709592139</v>
      </c>
      <c r="R1032" s="45">
        <f t="shared" si="18"/>
        <v>5.7466417544220988E-3</v>
      </c>
      <c r="U1032" s="43">
        <f t="shared" si="19"/>
        <v>3383536</v>
      </c>
    </row>
    <row r="1033" spans="1:28" x14ac:dyDescent="0.2">
      <c r="A1033">
        <f>COUNTIF($I$2:I1033,'[1]Detalle Pilotos'!$G$3)</f>
        <v>0</v>
      </c>
      <c r="B1033">
        <f t="shared" si="16"/>
        <v>1032</v>
      </c>
      <c r="C1033" s="9">
        <v>44934</v>
      </c>
      <c r="D1033" s="4" t="s">
        <v>506</v>
      </c>
      <c r="E1033" s="8"/>
      <c r="F1033" s="3">
        <v>153000</v>
      </c>
      <c r="G1033" s="7">
        <f>IF(Tabla1[[#This Row],[Fecha]]="","",G1032+Tabla1[[#This Row],[ingreso]]-Tabla1[[#This Row],[egreso]])</f>
        <v>698196.14429999888</v>
      </c>
      <c r="H1033" s="7"/>
      <c r="I1033" s="7" t="s">
        <v>507</v>
      </c>
      <c r="J1033" s="4"/>
      <c r="K1033" t="str">
        <f>IF(Tabla1[[#This Row],[Tipo]]="","",Tabla1[[#This Row],[ingreso]]/Tabla1[[#This Row],[Tipo]])</f>
        <v/>
      </c>
      <c r="M1033" s="44">
        <v>44600</v>
      </c>
      <c r="N1033" s="19">
        <f>K722</f>
        <v>808.25015333590784</v>
      </c>
      <c r="O1033" s="42">
        <f>H722</f>
        <v>2201.0500000000002</v>
      </c>
      <c r="P1033">
        <f t="shared" si="20"/>
        <v>3.0405398638391258E-3</v>
      </c>
      <c r="Q1033">
        <f t="shared" si="17"/>
        <v>2.4575168111719137</v>
      </c>
      <c r="R1033" s="45">
        <f t="shared" si="18"/>
        <v>3.0405398638391258E-3</v>
      </c>
      <c r="U1033" s="43">
        <f t="shared" si="19"/>
        <v>1778999</v>
      </c>
    </row>
    <row r="1034" spans="1:28" x14ac:dyDescent="0.2">
      <c r="A1034">
        <f>COUNTIF($I$2:I1034,'[1]Detalle Pilotos'!$G$3)</f>
        <v>0</v>
      </c>
      <c r="B1034">
        <f t="shared" si="16"/>
        <v>1033</v>
      </c>
      <c r="C1034" s="9">
        <v>44936</v>
      </c>
      <c r="D1034" s="4" t="s">
        <v>508</v>
      </c>
      <c r="E1034" s="8">
        <v>191590</v>
      </c>
      <c r="F1034" s="3"/>
      <c r="G1034" s="7">
        <f>IF(Tabla1[[#This Row],[Fecha]]="","",G1033+Tabla1[[#This Row],[ingreso]]-Tabla1[[#This Row],[egreso]])</f>
        <v>506606.14429999888</v>
      </c>
      <c r="H1034" s="7"/>
      <c r="I1034" s="7"/>
      <c r="J1034" s="4"/>
      <c r="K1034" t="str">
        <f>IF(Tabla1[[#This Row],[Tipo]]="","",Tabla1[[#This Row],[ingreso]]/Tabla1[[#This Row],[Tipo]])</f>
        <v/>
      </c>
      <c r="M1034" s="44">
        <v>44615</v>
      </c>
      <c r="N1034" s="19">
        <f>K726</f>
        <v>770.3</v>
      </c>
      <c r="O1034" s="42">
        <f>H726</f>
        <v>4500</v>
      </c>
      <c r="P1034">
        <f t="shared" si="20"/>
        <v>6.2163192055046746E-3</v>
      </c>
      <c r="Q1034">
        <f t="shared" si="17"/>
        <v>4.7884306840002502</v>
      </c>
      <c r="R1034" s="45">
        <f t="shared" si="18"/>
        <v>6.2163192055046746E-3</v>
      </c>
      <c r="T1034" s="46">
        <f>SUM(Q:Q)</f>
        <v>877.14607127590159</v>
      </c>
      <c r="U1034" s="43">
        <f t="shared" si="19"/>
        <v>3466350</v>
      </c>
    </row>
    <row r="1035" spans="1:28" x14ac:dyDescent="0.2">
      <c r="A1035">
        <f>COUNTIF($I$2:I1035,'[1]Detalle Pilotos'!$G$3)</f>
        <v>0</v>
      </c>
      <c r="B1035">
        <f t="shared" si="16"/>
        <v>1034</v>
      </c>
      <c r="C1035" s="9">
        <v>44936</v>
      </c>
      <c r="D1035" s="4" t="s">
        <v>509</v>
      </c>
      <c r="E1035" s="8">
        <v>67220</v>
      </c>
      <c r="F1035" s="3"/>
      <c r="G1035" s="7">
        <f>IF(Tabla1[[#This Row],[Fecha]]="","",G1034+Tabla1[[#This Row],[ingreso]]-Tabla1[[#This Row],[egreso]])</f>
        <v>439386.14429999888</v>
      </c>
      <c r="H1035" s="7"/>
      <c r="I1035" s="7"/>
      <c r="J1035" s="4"/>
      <c r="K1035" t="str">
        <f>IF(Tabla1[[#This Row],[Tipo]]="","",Tabla1[[#This Row],[ingreso]]/Tabla1[[#This Row],[Tipo]])</f>
        <v/>
      </c>
      <c r="M1035" s="44">
        <v>44623</v>
      </c>
      <c r="N1035" s="19">
        <f>K741</f>
        <v>776.8</v>
      </c>
      <c r="O1035" s="42">
        <f>H741</f>
        <v>8500</v>
      </c>
      <c r="P1035">
        <f t="shared" si="20"/>
        <v>1.1741936277064385E-2</v>
      </c>
      <c r="Q1035">
        <f t="shared" si="17"/>
        <v>9.1211361000236142</v>
      </c>
      <c r="R1035" s="45">
        <f t="shared" si="18"/>
        <v>1.1741936277064385E-2</v>
      </c>
      <c r="U1035" s="43">
        <f t="shared" si="19"/>
        <v>6602800</v>
      </c>
    </row>
    <row r="1036" spans="1:28" x14ac:dyDescent="0.2">
      <c r="A1036">
        <f>COUNTIF($I$2:I1036,'[1]Detalle Pilotos'!$G$3)</f>
        <v>0</v>
      </c>
      <c r="B1036">
        <f t="shared" si="16"/>
        <v>1035</v>
      </c>
      <c r="C1036" s="9">
        <v>44937</v>
      </c>
      <c r="D1036" s="4" t="s">
        <v>237</v>
      </c>
      <c r="E1036" s="8"/>
      <c r="F1036" s="3">
        <v>3229400</v>
      </c>
      <c r="G1036" s="7">
        <f>IF(Tabla1[[#This Row],[Fecha]]="","",G1035+Tabla1[[#This Row],[ingreso]]-Tabla1[[#This Row],[egreso]])</f>
        <v>3668786.1442999989</v>
      </c>
      <c r="H1036" s="7">
        <v>4000</v>
      </c>
      <c r="I1036" s="7" t="s">
        <v>329</v>
      </c>
      <c r="J1036" s="4"/>
      <c r="K1036">
        <f>IF(Tabla1[[#This Row],[Tipo]]="","",Tabla1[[#This Row],[ingreso]]/Tabla1[[#This Row],[Tipo]])</f>
        <v>807.35</v>
      </c>
      <c r="M1036" s="44">
        <v>44628</v>
      </c>
      <c r="N1036" s="19">
        <f>K745</f>
        <v>801.5</v>
      </c>
      <c r="O1036" s="42">
        <f>H745</f>
        <v>6600</v>
      </c>
      <c r="P1036">
        <f t="shared" si="20"/>
        <v>9.1172681680735234E-3</v>
      </c>
      <c r="Q1036">
        <f t="shared" si="17"/>
        <v>7.3074904367109292</v>
      </c>
      <c r="R1036" s="45">
        <f t="shared" si="18"/>
        <v>9.1172681680735234E-3</v>
      </c>
      <c r="U1036" s="43">
        <f t="shared" si="19"/>
        <v>5289900</v>
      </c>
    </row>
    <row r="1037" spans="1:28" x14ac:dyDescent="0.2">
      <c r="A1037">
        <f>COUNTIF($I$2:I1037,'[1]Detalle Pilotos'!$G$3)</f>
        <v>0</v>
      </c>
      <c r="B1037">
        <f t="shared" si="16"/>
        <v>1036</v>
      </c>
      <c r="C1037" s="9">
        <v>44937</v>
      </c>
      <c r="D1037" s="4" t="s">
        <v>510</v>
      </c>
      <c r="E1037" s="8">
        <v>3000000</v>
      </c>
      <c r="F1037" s="3"/>
      <c r="G1037" s="7">
        <f>IF(Tabla1[[#This Row],[Fecha]]="","",G1036+Tabla1[[#This Row],[ingreso]]-Tabla1[[#This Row],[egreso]])</f>
        <v>668786.14429999888</v>
      </c>
      <c r="H1037" s="7"/>
      <c r="I1037" s="7"/>
      <c r="J1037" s="4"/>
      <c r="K1037" t="str">
        <f>IF(Tabla1[[#This Row],[Tipo]]="","",Tabla1[[#This Row],[ingreso]]/Tabla1[[#This Row],[Tipo]])</f>
        <v/>
      </c>
      <c r="M1037" s="44">
        <v>44636</v>
      </c>
      <c r="N1037" s="19">
        <f>K759</f>
        <v>792.2</v>
      </c>
      <c r="O1037" s="42">
        <f>H759</f>
        <v>4000</v>
      </c>
      <c r="P1037">
        <f t="shared" si="20"/>
        <v>5.5256170715597104E-3</v>
      </c>
      <c r="Q1037">
        <f t="shared" si="17"/>
        <v>4.3773938440896032</v>
      </c>
      <c r="R1037" s="45">
        <f t="shared" si="18"/>
        <v>5.5256170715597104E-3</v>
      </c>
      <c r="U1037" s="43">
        <f t="shared" si="19"/>
        <v>3168800</v>
      </c>
    </row>
    <row r="1038" spans="1:28" x14ac:dyDescent="0.2">
      <c r="A1038">
        <f>COUNTIF($I$2:I1038,'[1]Detalle Pilotos'!$G$3)</f>
        <v>0</v>
      </c>
      <c r="B1038">
        <f t="shared" si="16"/>
        <v>1037</v>
      </c>
      <c r="C1038" s="9">
        <v>44938</v>
      </c>
      <c r="D1038" s="4" t="s">
        <v>492</v>
      </c>
      <c r="E1038" s="8">
        <v>191400</v>
      </c>
      <c r="F1038" s="3"/>
      <c r="G1038" s="7">
        <f>IF(Tabla1[[#This Row],[Fecha]]="","",G1037+Tabla1[[#This Row],[ingreso]]-Tabla1[[#This Row],[egreso]])</f>
        <v>477386.14429999888</v>
      </c>
      <c r="H1038" s="7"/>
      <c r="I1038" s="7"/>
      <c r="J1038" s="4"/>
      <c r="K1038" t="str">
        <f>IF(Tabla1[[#This Row],[Tipo]]="","",Tabla1[[#This Row],[ingreso]]/Tabla1[[#This Row],[Tipo]])</f>
        <v/>
      </c>
      <c r="M1038" s="44">
        <v>44650</v>
      </c>
      <c r="N1038" s="19">
        <v>769.1</v>
      </c>
      <c r="O1038" s="42">
        <v>3000</v>
      </c>
      <c r="P1038">
        <f t="shared" si="20"/>
        <v>4.144212803669783E-3</v>
      </c>
      <c r="Q1038">
        <f t="shared" si="17"/>
        <v>3.1873140673024301</v>
      </c>
      <c r="R1038" s="45">
        <f t="shared" si="18"/>
        <v>4.144212803669783E-3</v>
      </c>
      <c r="U1038" s="43">
        <f t="shared" si="19"/>
        <v>2307300</v>
      </c>
    </row>
    <row r="1039" spans="1:28" x14ac:dyDescent="0.2">
      <c r="A1039">
        <f>COUNTIF($I$2:I1039,'[1]Detalle Pilotos'!$G$3)</f>
        <v>0</v>
      </c>
      <c r="B1039">
        <f t="shared" si="16"/>
        <v>1038</v>
      </c>
      <c r="C1039" s="9">
        <v>44938</v>
      </c>
      <c r="D1039" s="4" t="s">
        <v>511</v>
      </c>
      <c r="E1039" s="8">
        <v>211200</v>
      </c>
      <c r="F1039" s="3"/>
      <c r="G1039" s="7">
        <f>IF(Tabla1[[#This Row],[Fecha]]="","",G1038+Tabla1[[#This Row],[ingreso]]-Tabla1[[#This Row],[egreso]])</f>
        <v>266186.14429999888</v>
      </c>
      <c r="H1039" s="7"/>
      <c r="I1039" s="7"/>
      <c r="J1039" s="4"/>
      <c r="K1039" t="str">
        <f>IF(Tabla1[[#This Row],[Tipo]]="","",Tabla1[[#This Row],[ingreso]]/Tabla1[[#This Row],[Tipo]])</f>
        <v/>
      </c>
      <c r="M1039" s="44">
        <v>44656</v>
      </c>
      <c r="N1039" s="19">
        <v>772.01</v>
      </c>
      <c r="O1039" s="42">
        <v>4500</v>
      </c>
      <c r="P1039">
        <f t="shared" si="20"/>
        <v>6.2163192055046746E-3</v>
      </c>
      <c r="Q1039">
        <f t="shared" si="17"/>
        <v>4.7990605898416634</v>
      </c>
      <c r="R1039" s="45">
        <f t="shared" si="18"/>
        <v>6.2163192055046746E-3</v>
      </c>
      <c r="U1039" s="43">
        <f t="shared" si="19"/>
        <v>3474045</v>
      </c>
    </row>
    <row r="1040" spans="1:28" x14ac:dyDescent="0.2">
      <c r="A1040">
        <f>COUNTIF($I$2:I1040,'[1]Detalle Pilotos'!$G$3)</f>
        <v>0</v>
      </c>
      <c r="B1040">
        <f t="shared" si="16"/>
        <v>1039</v>
      </c>
      <c r="C1040" s="9">
        <v>44939</v>
      </c>
      <c r="D1040" s="4" t="s">
        <v>237</v>
      </c>
      <c r="E1040" s="8"/>
      <c r="F1040" s="3">
        <v>1598100</v>
      </c>
      <c r="G1040" s="7">
        <f>IF(Tabla1[[#This Row],[Fecha]]="","",G1039+Tabla1[[#This Row],[ingreso]]-Tabla1[[#This Row],[egreso]])</f>
        <v>1864286.1442999989</v>
      </c>
      <c r="H1040" s="7">
        <v>2000</v>
      </c>
      <c r="I1040" s="7" t="s">
        <v>329</v>
      </c>
      <c r="J1040" s="4"/>
      <c r="K1040">
        <f>IF(Tabla1[[#This Row],[Tipo]]="","",Tabla1[[#This Row],[ingreso]]/Tabla1[[#This Row],[Tipo]])</f>
        <v>799.05</v>
      </c>
      <c r="M1040" s="44">
        <v>44657</v>
      </c>
      <c r="N1040" s="19">
        <v>782.36</v>
      </c>
      <c r="O1040" s="42">
        <v>6000</v>
      </c>
      <c r="P1040">
        <f t="shared" si="20"/>
        <v>8.2884256073395661E-3</v>
      </c>
      <c r="Q1040">
        <f t="shared" si="17"/>
        <v>6.4845326581581828</v>
      </c>
      <c r="R1040" s="45">
        <f t="shared" si="18"/>
        <v>8.2884256073395661E-3</v>
      </c>
      <c r="U1040" s="43">
        <f t="shared" si="19"/>
        <v>4694160</v>
      </c>
    </row>
    <row r="1041" spans="1:22" x14ac:dyDescent="0.2">
      <c r="A1041">
        <f>COUNTIF($I$2:I1041,'[1]Detalle Pilotos'!$G$3)</f>
        <v>0</v>
      </c>
      <c r="B1041">
        <f t="shared" si="16"/>
        <v>1040</v>
      </c>
      <c r="C1041" s="9">
        <v>44939</v>
      </c>
      <c r="D1041" s="4" t="s">
        <v>512</v>
      </c>
      <c r="E1041" s="8">
        <v>1430624</v>
      </c>
      <c r="F1041" s="3"/>
      <c r="G1041" s="7">
        <f>IF(Tabla1[[#This Row],[Fecha]]="","",G1040+Tabla1[[#This Row],[ingreso]]-Tabla1[[#This Row],[egreso]])</f>
        <v>433662.14429999888</v>
      </c>
      <c r="H1041" s="7"/>
      <c r="I1041" s="7"/>
      <c r="J1041" s="4"/>
      <c r="K1041" t="str">
        <f>IF(Tabla1[[#This Row],[Tipo]]="","",Tabla1[[#This Row],[ingreso]]/Tabla1[[#This Row],[Tipo]])</f>
        <v/>
      </c>
      <c r="M1041" s="44">
        <v>44659</v>
      </c>
      <c r="N1041" s="19">
        <v>797.85</v>
      </c>
      <c r="O1041" s="42">
        <v>4000</v>
      </c>
      <c r="P1041">
        <f t="shared" si="20"/>
        <v>5.5256170715597104E-3</v>
      </c>
      <c r="Q1041">
        <f t="shared" si="17"/>
        <v>4.4086135805439151</v>
      </c>
      <c r="R1041" s="45">
        <f t="shared" si="18"/>
        <v>5.5256170715597104E-3</v>
      </c>
      <c r="U1041" s="43">
        <f t="shared" si="19"/>
        <v>3191400</v>
      </c>
    </row>
    <row r="1042" spans="1:22" x14ac:dyDescent="0.2">
      <c r="A1042">
        <f>COUNTIF($I$2:I1042,'[1]Detalle Pilotos'!$G$3)</f>
        <v>0</v>
      </c>
      <c r="B1042">
        <f t="shared" si="16"/>
        <v>1041</v>
      </c>
      <c r="C1042" s="9">
        <v>44939</v>
      </c>
      <c r="D1042" s="4" t="s">
        <v>513</v>
      </c>
      <c r="E1042" s="8">
        <v>171600</v>
      </c>
      <c r="F1042" s="3"/>
      <c r="G1042" s="7">
        <f>IF(Tabla1[[#This Row],[Fecha]]="","",G1041+Tabla1[[#This Row],[ingreso]]-Tabla1[[#This Row],[egreso]])</f>
        <v>262062.14429999888</v>
      </c>
      <c r="H1042" s="7"/>
      <c r="I1042" s="7"/>
      <c r="J1042" s="4"/>
      <c r="K1042" t="str">
        <f>IF(Tabla1[[#This Row],[Tipo]]="","",Tabla1[[#This Row],[ingreso]]/Tabla1[[#This Row],[Tipo]])</f>
        <v/>
      </c>
      <c r="M1042" s="44">
        <v>44670</v>
      </c>
      <c r="N1042" s="19">
        <v>802.35</v>
      </c>
      <c r="O1042" s="42">
        <v>6000</v>
      </c>
      <c r="P1042">
        <f t="shared" si="20"/>
        <v>8.2884256073395661E-3</v>
      </c>
      <c r="Q1042">
        <f t="shared" si="17"/>
        <v>6.6502182860489008</v>
      </c>
      <c r="R1042" s="45">
        <f t="shared" si="18"/>
        <v>8.2884256073395661E-3</v>
      </c>
      <c r="U1042" s="43">
        <f t="shared" si="19"/>
        <v>4814100</v>
      </c>
    </row>
    <row r="1043" spans="1:22" x14ac:dyDescent="0.2">
      <c r="A1043">
        <f>COUNTIF($I$2:I1043,'[1]Detalle Pilotos'!$G$3)</f>
        <v>0</v>
      </c>
      <c r="B1043">
        <f t="shared" si="16"/>
        <v>1042</v>
      </c>
      <c r="C1043" s="9">
        <v>44939</v>
      </c>
      <c r="D1043" s="4" t="s">
        <v>448</v>
      </c>
      <c r="E1043" s="8">
        <v>25000</v>
      </c>
      <c r="F1043" s="3"/>
      <c r="G1043" s="7">
        <f>IF(Tabla1[[#This Row],[Fecha]]="","",G1042+Tabla1[[#This Row],[ingreso]]-Tabla1[[#This Row],[egreso]])</f>
        <v>237062.14429999888</v>
      </c>
      <c r="H1043" s="7"/>
      <c r="I1043" s="7"/>
      <c r="J1043" s="4"/>
      <c r="K1043" t="str">
        <f>IF(Tabla1[[#This Row],[Tipo]]="","",Tabla1[[#This Row],[ingreso]]/Tabla1[[#This Row],[Tipo]])</f>
        <v/>
      </c>
      <c r="M1043" s="44">
        <v>44673</v>
      </c>
      <c r="N1043" s="19">
        <v>816.3</v>
      </c>
      <c r="O1043" s="42">
        <v>6000</v>
      </c>
      <c r="P1043">
        <f t="shared" si="20"/>
        <v>8.2884256073395661E-3</v>
      </c>
      <c r="Q1043">
        <f t="shared" si="17"/>
        <v>6.7658418232712876</v>
      </c>
      <c r="R1043" s="45">
        <f t="shared" si="18"/>
        <v>8.2884256073395661E-3</v>
      </c>
      <c r="U1043" s="43">
        <f t="shared" si="19"/>
        <v>4897800</v>
      </c>
    </row>
    <row r="1044" spans="1:22" x14ac:dyDescent="0.2">
      <c r="A1044">
        <f>COUNTIF($I$2:I1044,'[1]Detalle Pilotos'!$G$3)</f>
        <v>0</v>
      </c>
      <c r="B1044">
        <f t="shared" si="16"/>
        <v>1043</v>
      </c>
      <c r="C1044" s="9">
        <v>44940</v>
      </c>
      <c r="D1044" s="4" t="s">
        <v>47</v>
      </c>
      <c r="E1044" s="8"/>
      <c r="F1044" s="3">
        <v>90000</v>
      </c>
      <c r="G1044" s="7">
        <f>IF(Tabla1[[#This Row],[Fecha]]="","",G1043+Tabla1[[#This Row],[ingreso]]-Tabla1[[#This Row],[egreso]])</f>
        <v>327062.14429999888</v>
      </c>
      <c r="H1044" s="7"/>
      <c r="I1044" s="7" t="s">
        <v>48</v>
      </c>
      <c r="J1044" s="4"/>
      <c r="K1044" t="str">
        <f>IF(Tabla1[[#This Row],[Tipo]]="","",Tabla1[[#This Row],[ingreso]]/Tabla1[[#This Row],[Tipo]])</f>
        <v/>
      </c>
      <c r="M1044" s="44">
        <v>44678</v>
      </c>
      <c r="N1044" s="19">
        <v>834.65</v>
      </c>
      <c r="O1044" s="42">
        <v>5000</v>
      </c>
      <c r="P1044">
        <f t="shared" si="20"/>
        <v>6.9070213394496387E-3</v>
      </c>
      <c r="Q1044">
        <f t="shared" si="17"/>
        <v>5.764945360971641</v>
      </c>
      <c r="R1044" s="45">
        <f t="shared" si="18"/>
        <v>6.9070213394496387E-3</v>
      </c>
      <c r="U1044" s="43">
        <f t="shared" si="19"/>
        <v>4173250</v>
      </c>
    </row>
    <row r="1045" spans="1:22" x14ac:dyDescent="0.2">
      <c r="A1045">
        <f>COUNTIF($I$2:I1045,'[1]Detalle Pilotos'!$G$3)</f>
        <v>0</v>
      </c>
      <c r="B1045">
        <f t="shared" si="16"/>
        <v>1044</v>
      </c>
      <c r="C1045" s="9">
        <v>44940</v>
      </c>
      <c r="D1045" s="4" t="s">
        <v>402</v>
      </c>
      <c r="E1045" s="8">
        <v>20000</v>
      </c>
      <c r="F1045" s="3"/>
      <c r="G1045" s="7">
        <f>IF(Tabla1[[#This Row],[Fecha]]="","",G1044+Tabla1[[#This Row],[ingreso]]-Tabla1[[#This Row],[egreso]])</f>
        <v>307062.14429999888</v>
      </c>
      <c r="H1045" s="7"/>
      <c r="I1045" s="7"/>
      <c r="J1045" s="4"/>
      <c r="K1045" t="str">
        <f>IF(Tabla1[[#This Row],[Tipo]]="","",Tabla1[[#This Row],[ingreso]]/Tabla1[[#This Row],[Tipo]])</f>
        <v/>
      </c>
      <c r="M1045" s="44">
        <v>44732</v>
      </c>
      <c r="N1045" s="19">
        <f>864.55</f>
        <v>864.55</v>
      </c>
      <c r="O1045" s="42">
        <v>2000</v>
      </c>
      <c r="P1045">
        <f t="shared" si="20"/>
        <v>2.7628085357798552E-3</v>
      </c>
      <c r="Q1045">
        <f t="shared" si="17"/>
        <v>2.3885861196084739</v>
      </c>
      <c r="R1045" s="45">
        <f t="shared" si="18"/>
        <v>2.7628085357798552E-3</v>
      </c>
      <c r="U1045" s="43">
        <f t="shared" si="19"/>
        <v>1729100</v>
      </c>
    </row>
    <row r="1046" spans="1:22" x14ac:dyDescent="0.2">
      <c r="A1046">
        <f>COUNTIF($I$2:I1046,'[1]Detalle Pilotos'!$G$3)</f>
        <v>0</v>
      </c>
      <c r="B1046">
        <f t="shared" si="16"/>
        <v>1045</v>
      </c>
      <c r="C1046" s="9">
        <v>44941</v>
      </c>
      <c r="D1046" s="4" t="s">
        <v>237</v>
      </c>
      <c r="E1046" s="8"/>
      <c r="F1046" s="3">
        <v>804100</v>
      </c>
      <c r="G1046" s="7">
        <f>IF(Tabla1[[#This Row],[Fecha]]="","",G1045+Tabla1[[#This Row],[ingreso]]-Tabla1[[#This Row],[egreso]])</f>
        <v>1111162.1442999989</v>
      </c>
      <c r="H1046" s="7">
        <v>1000</v>
      </c>
      <c r="I1046" s="7" t="s">
        <v>329</v>
      </c>
      <c r="J1046" s="4"/>
      <c r="K1046">
        <f>IF(Tabla1[[#This Row],[Tipo]]="","",Tabla1[[#This Row],[ingreso]]/Tabla1[[#This Row],[Tipo]])</f>
        <v>804.1</v>
      </c>
      <c r="M1046" s="44">
        <v>44737</v>
      </c>
      <c r="N1046" s="19">
        <v>898.48</v>
      </c>
      <c r="O1046" s="42">
        <v>2000</v>
      </c>
      <c r="P1046">
        <f t="shared" si="20"/>
        <v>2.7628085357798552E-3</v>
      </c>
      <c r="Q1046">
        <f t="shared" si="17"/>
        <v>2.4823282132274844</v>
      </c>
      <c r="R1046" s="45">
        <f t="shared" si="18"/>
        <v>2.7628085357798552E-3</v>
      </c>
      <c r="U1046" s="43">
        <f t="shared" si="19"/>
        <v>1796960</v>
      </c>
      <c r="V1046" s="47"/>
    </row>
    <row r="1047" spans="1:22" x14ac:dyDescent="0.2">
      <c r="A1047">
        <f>COUNTIF($I$2:I1047,'[1]Detalle Pilotos'!$G$3)</f>
        <v>0</v>
      </c>
      <c r="B1047">
        <f t="shared" si="16"/>
        <v>1046</v>
      </c>
      <c r="C1047" s="9">
        <v>44941</v>
      </c>
      <c r="D1047" s="4" t="s">
        <v>514</v>
      </c>
      <c r="E1047" s="8">
        <v>513462</v>
      </c>
      <c r="F1047" s="3"/>
      <c r="G1047" s="7">
        <f>IF(Tabla1[[#This Row],[Fecha]]="","",G1046+Tabla1[[#This Row],[ingreso]]-Tabla1[[#This Row],[egreso]])</f>
        <v>597700.14429999888</v>
      </c>
      <c r="H1047" s="7"/>
      <c r="I1047" s="7"/>
      <c r="J1047" s="4"/>
      <c r="K1047" t="str">
        <f>IF(Tabla1[[#This Row],[Tipo]]="","",Tabla1[[#This Row],[ingreso]]/Tabla1[[#This Row],[Tipo]])</f>
        <v/>
      </c>
      <c r="M1047" s="44">
        <v>44841</v>
      </c>
      <c r="N1047" s="19">
        <v>931.4</v>
      </c>
      <c r="O1047" s="42">
        <v>2000</v>
      </c>
      <c r="P1047">
        <f t="shared" si="20"/>
        <v>2.7628085357798552E-3</v>
      </c>
      <c r="Q1047">
        <f t="shared" si="17"/>
        <v>2.573279870225357</v>
      </c>
      <c r="R1047" s="45">
        <f t="shared" si="18"/>
        <v>2.7628085357798552E-3</v>
      </c>
      <c r="U1047" s="43">
        <f t="shared" si="19"/>
        <v>1862800</v>
      </c>
    </row>
    <row r="1048" spans="1:22" x14ac:dyDescent="0.2">
      <c r="A1048">
        <f>COUNTIF($I$2:I1048,'[1]Detalle Pilotos'!$G$3)</f>
        <v>0</v>
      </c>
      <c r="B1048">
        <f t="shared" si="16"/>
        <v>1047</v>
      </c>
      <c r="C1048" s="9">
        <v>44941</v>
      </c>
      <c r="D1048" s="4" t="s">
        <v>459</v>
      </c>
      <c r="E1048" s="8">
        <v>52006</v>
      </c>
      <c r="F1048" s="3"/>
      <c r="G1048" s="7">
        <f>IF(Tabla1[[#This Row],[Fecha]]="","",G1047+Tabla1[[#This Row],[ingreso]]-Tabla1[[#This Row],[egreso]])</f>
        <v>545694.14429999888</v>
      </c>
      <c r="H1048" s="7"/>
      <c r="I1048" s="7"/>
      <c r="J1048" s="4"/>
      <c r="K1048" t="str">
        <f>IF(Tabla1[[#This Row],[Tipo]]="","",Tabla1[[#This Row],[ingreso]]/Tabla1[[#This Row],[Tipo]])</f>
        <v/>
      </c>
      <c r="M1048" s="44">
        <v>44874</v>
      </c>
      <c r="N1048" s="19">
        <v>890.45</v>
      </c>
      <c r="O1048" s="42">
        <v>2000</v>
      </c>
      <c r="P1048">
        <f t="shared" si="20"/>
        <v>2.7628085357798552E-3</v>
      </c>
      <c r="Q1048">
        <f t="shared" si="17"/>
        <v>2.4601428606851723</v>
      </c>
      <c r="R1048" s="45">
        <f t="shared" si="18"/>
        <v>2.7628085357798552E-3</v>
      </c>
      <c r="U1048" s="43">
        <f t="shared" si="19"/>
        <v>1780900</v>
      </c>
    </row>
    <row r="1049" spans="1:22" x14ac:dyDescent="0.2">
      <c r="A1049">
        <f>COUNTIF($I$2:I1049,'[1]Detalle Pilotos'!$G$3)</f>
        <v>0</v>
      </c>
      <c r="B1049">
        <f t="shared" si="16"/>
        <v>1048</v>
      </c>
      <c r="C1049" s="9">
        <v>44941</v>
      </c>
      <c r="D1049" s="4" t="s">
        <v>326</v>
      </c>
      <c r="E1049" s="8">
        <v>140600</v>
      </c>
      <c r="F1049" s="3"/>
      <c r="G1049" s="7">
        <f>IF(Tabla1[[#This Row],[Fecha]]="","",G1048+Tabla1[[#This Row],[ingreso]]-Tabla1[[#This Row],[egreso]])</f>
        <v>405094.14429999888</v>
      </c>
      <c r="H1049" s="7"/>
      <c r="I1049" s="7"/>
      <c r="J1049" s="4"/>
      <c r="K1049" t="str">
        <f>IF(Tabla1[[#This Row],[Tipo]]="","",Tabla1[[#This Row],[ingreso]]/Tabla1[[#This Row],[Tipo]])</f>
        <v/>
      </c>
      <c r="M1049" s="44">
        <v>44878</v>
      </c>
      <c r="N1049" s="19">
        <v>870.9</v>
      </c>
      <c r="O1049" s="42">
        <v>3000</v>
      </c>
      <c r="P1049">
        <f t="shared" si="20"/>
        <v>4.144212803669783E-3</v>
      </c>
      <c r="Q1049">
        <f t="shared" si="17"/>
        <v>3.609194930716014</v>
      </c>
      <c r="R1049" s="45">
        <f t="shared" si="18"/>
        <v>4.144212803669783E-3</v>
      </c>
      <c r="U1049" s="43">
        <f t="shared" si="19"/>
        <v>2612700</v>
      </c>
    </row>
    <row r="1050" spans="1:22" x14ac:dyDescent="0.2">
      <c r="A1050">
        <f>COUNTIF($I$2:I1050,'[1]Detalle Pilotos'!$G$3)</f>
        <v>0</v>
      </c>
      <c r="B1050">
        <f t="shared" si="16"/>
        <v>1049</v>
      </c>
      <c r="C1050" s="9">
        <v>44941</v>
      </c>
      <c r="D1050" s="4" t="s">
        <v>515</v>
      </c>
      <c r="E1050" s="8">
        <v>110634</v>
      </c>
      <c r="F1050" s="3"/>
      <c r="G1050" s="7">
        <f>IF(Tabla1[[#This Row],[Fecha]]="","",G1049+Tabla1[[#This Row],[ingreso]]-Tabla1[[#This Row],[egreso]])</f>
        <v>294460.14429999888</v>
      </c>
      <c r="H1050" s="7"/>
      <c r="I1050" s="7"/>
      <c r="J1050" s="4"/>
      <c r="K1050" t="str">
        <f>IF(Tabla1[[#This Row],[Tipo]]="","",Tabla1[[#This Row],[ingreso]]/Tabla1[[#This Row],[Tipo]])</f>
        <v/>
      </c>
      <c r="M1050" s="44">
        <v>44880</v>
      </c>
      <c r="N1050" s="19">
        <v>866.55</v>
      </c>
      <c r="O1050" s="42">
        <v>1000</v>
      </c>
      <c r="P1050">
        <f t="shared" si="20"/>
        <v>1.3814042678899276E-3</v>
      </c>
      <c r="Q1050">
        <f t="shared" si="17"/>
        <v>1.1970558683400168</v>
      </c>
      <c r="R1050" s="45">
        <f t="shared" si="18"/>
        <v>1.3814042678899276E-3</v>
      </c>
      <c r="U1050" s="43">
        <f t="shared" si="19"/>
        <v>866550</v>
      </c>
    </row>
    <row r="1051" spans="1:22" x14ac:dyDescent="0.2">
      <c r="A1051">
        <f>COUNTIF($I$2:I1051,'[1]Detalle Pilotos'!$G$3)</f>
        <v>0</v>
      </c>
      <c r="B1051">
        <f t="shared" si="16"/>
        <v>1050</v>
      </c>
      <c r="C1051" s="9">
        <v>44941</v>
      </c>
      <c r="D1051" s="4" t="s">
        <v>459</v>
      </c>
      <c r="E1051" s="8">
        <v>52363</v>
      </c>
      <c r="F1051" s="3"/>
      <c r="G1051" s="7">
        <f>IF(Tabla1[[#This Row],[Fecha]]="","",G1050+Tabla1[[#This Row],[ingreso]]-Tabla1[[#This Row],[egreso]])</f>
        <v>242097.14429999888</v>
      </c>
      <c r="H1051" s="7"/>
      <c r="I1051" s="7"/>
      <c r="J1051" s="4"/>
      <c r="K1051" t="str">
        <f>IF(Tabla1[[#This Row],[Tipo]]="","",Tabla1[[#This Row],[ingreso]]/Tabla1[[#This Row],[Tipo]])</f>
        <v/>
      </c>
      <c r="M1051" s="44">
        <v>44882</v>
      </c>
      <c r="N1051" s="19">
        <v>896.4</v>
      </c>
      <c r="O1051" s="42">
        <v>3000</v>
      </c>
      <c r="P1051">
        <f t="shared" si="20"/>
        <v>4.144212803669783E-3</v>
      </c>
      <c r="Q1051">
        <f t="shared" si="17"/>
        <v>3.7148723572095936</v>
      </c>
      <c r="R1051" s="45">
        <f t="shared" si="18"/>
        <v>4.144212803669783E-3</v>
      </c>
      <c r="U1051" s="43">
        <f t="shared" si="19"/>
        <v>2689200</v>
      </c>
    </row>
    <row r="1052" spans="1:22" x14ac:dyDescent="0.2">
      <c r="A1052">
        <f>COUNTIF($I$2:I1052,'[1]Detalle Pilotos'!$G$3)</f>
        <v>0</v>
      </c>
      <c r="B1052">
        <f t="shared" si="16"/>
        <v>1051</v>
      </c>
      <c r="C1052" s="9">
        <v>44943</v>
      </c>
      <c r="D1052" s="4" t="s">
        <v>237</v>
      </c>
      <c r="E1052" s="8"/>
      <c r="F1052" s="3">
        <v>4034250</v>
      </c>
      <c r="G1052" s="7">
        <f>IF(Tabla1[[#This Row],[Fecha]]="","",G1051+Tabla1[[#This Row],[ingreso]]-Tabla1[[#This Row],[egreso]])</f>
        <v>4276347.1442999989</v>
      </c>
      <c r="H1052" s="7"/>
      <c r="I1052" s="7"/>
      <c r="J1052" s="4"/>
      <c r="K1052" t="str">
        <f>IF(Tabla1[[#This Row],[Tipo]]="","",Tabla1[[#This Row],[ingreso]]/Tabla1[[#This Row],[Tipo]])</f>
        <v/>
      </c>
      <c r="M1052" s="44">
        <v>44882</v>
      </c>
      <c r="N1052" s="19">
        <v>902.45</v>
      </c>
      <c r="O1052" s="42">
        <v>3000</v>
      </c>
      <c r="P1052">
        <f t="shared" si="20"/>
        <v>4.144212803669783E-3</v>
      </c>
      <c r="Q1052">
        <f t="shared" si="17"/>
        <v>3.739944844671796</v>
      </c>
      <c r="R1052" s="45">
        <f t="shared" si="18"/>
        <v>4.144212803669783E-3</v>
      </c>
      <c r="U1052" s="43">
        <f t="shared" si="19"/>
        <v>2707350</v>
      </c>
    </row>
    <row r="1053" spans="1:22" x14ac:dyDescent="0.2">
      <c r="A1053">
        <f>COUNTIF($I$2:I1053,'[1]Detalle Pilotos'!$G$3)</f>
        <v>0</v>
      </c>
      <c r="B1053">
        <f t="shared" si="16"/>
        <v>1052</v>
      </c>
      <c r="C1053" s="9">
        <v>44943</v>
      </c>
      <c r="D1053" s="4" t="s">
        <v>516</v>
      </c>
      <c r="E1053" s="8">
        <v>4000000</v>
      </c>
      <c r="F1053" s="3"/>
      <c r="G1053" s="7">
        <f>IF(Tabla1[[#This Row],[Fecha]]="","",G1052+Tabla1[[#This Row],[ingreso]]-Tabla1[[#This Row],[egreso]])</f>
        <v>276347.14429999888</v>
      </c>
      <c r="H1053" s="7"/>
      <c r="I1053" s="7"/>
      <c r="J1053" s="4"/>
      <c r="K1053" t="str">
        <f>IF(Tabla1[[#This Row],[Tipo]]="","",Tabla1[[#This Row],[ingreso]]/Tabla1[[#This Row],[Tipo]])</f>
        <v/>
      </c>
      <c r="M1053" s="44">
        <v>44890</v>
      </c>
      <c r="N1053" s="19">
        <v>902</v>
      </c>
      <c r="O1053" s="42">
        <v>2000</v>
      </c>
      <c r="P1053">
        <f t="shared" si="20"/>
        <v>2.7628085357798552E-3</v>
      </c>
      <c r="Q1053">
        <f t="shared" si="17"/>
        <v>2.4920532992734294</v>
      </c>
      <c r="R1053" s="45">
        <f t="shared" si="18"/>
        <v>2.7628085357798552E-3</v>
      </c>
      <c r="U1053" s="43">
        <f t="shared" si="19"/>
        <v>1804000</v>
      </c>
    </row>
    <row r="1054" spans="1:22" x14ac:dyDescent="0.2">
      <c r="A1054">
        <f>COUNTIF($I$2:I1054,'[1]Detalle Pilotos'!$G$3)</f>
        <v>0</v>
      </c>
      <c r="B1054">
        <f t="shared" si="16"/>
        <v>1053</v>
      </c>
      <c r="C1054" s="9">
        <v>44944</v>
      </c>
      <c r="D1054" s="4" t="s">
        <v>517</v>
      </c>
      <c r="E1054" s="8"/>
      <c r="F1054" s="3">
        <v>60000</v>
      </c>
      <c r="G1054" s="7">
        <f>IF(Tabla1[[#This Row],[Fecha]]="","",G1053+Tabla1[[#This Row],[ingreso]]-Tabla1[[#This Row],[egreso]])</f>
        <v>336347.14429999888</v>
      </c>
      <c r="H1054" s="7"/>
      <c r="I1054" s="7"/>
      <c r="J1054" s="4"/>
      <c r="K1054" t="str">
        <f>IF(Tabla1[[#This Row],[Tipo]]="","",Tabla1[[#This Row],[ingreso]]/Tabla1[[#This Row],[Tipo]])</f>
        <v/>
      </c>
      <c r="M1054" s="44">
        <v>44895</v>
      </c>
      <c r="N1054" s="19">
        <v>871</v>
      </c>
      <c r="O1054" s="42">
        <v>3000</v>
      </c>
      <c r="P1054">
        <f t="shared" si="20"/>
        <v>4.144212803669783E-3</v>
      </c>
      <c r="Q1054">
        <f t="shared" si="17"/>
        <v>3.6096093519963812</v>
      </c>
      <c r="R1054" s="45">
        <f t="shared" si="18"/>
        <v>4.144212803669783E-3</v>
      </c>
      <c r="U1054" s="43">
        <f t="shared" si="19"/>
        <v>2613000</v>
      </c>
    </row>
    <row r="1055" spans="1:22" x14ac:dyDescent="0.2">
      <c r="A1055">
        <f>COUNTIF($I$2:I1055,'[1]Detalle Pilotos'!$G$3)</f>
        <v>0</v>
      </c>
      <c r="B1055">
        <f t="shared" si="16"/>
        <v>1054</v>
      </c>
      <c r="C1055" s="9">
        <v>44944</v>
      </c>
      <c r="D1055" s="4" t="s">
        <v>237</v>
      </c>
      <c r="E1055" s="8"/>
      <c r="F1055" s="3">
        <v>4418425</v>
      </c>
      <c r="G1055" s="7">
        <f>IF(Tabla1[[#This Row],[Fecha]]="","",G1054+Tabla1[[#This Row],[ingreso]]-Tabla1[[#This Row],[egreso]])</f>
        <v>4754772.1442999989</v>
      </c>
      <c r="H1055" s="7">
        <v>5500</v>
      </c>
      <c r="I1055" s="7" t="s">
        <v>329</v>
      </c>
      <c r="J1055" s="4"/>
      <c r="K1055">
        <f>IF(Tabla1[[#This Row],[Tipo]]="","",Tabla1[[#This Row],[ingreso]]/Tabla1[[#This Row],[Tipo]])</f>
        <v>803.35</v>
      </c>
      <c r="M1055" s="44">
        <v>44899</v>
      </c>
      <c r="N1055" s="19">
        <v>863.05</v>
      </c>
      <c r="O1055" s="42">
        <v>2000</v>
      </c>
      <c r="P1055">
        <f t="shared" si="20"/>
        <v>2.7628085357798552E-3</v>
      </c>
      <c r="Q1055">
        <f t="shared" si="17"/>
        <v>2.3844419068048039</v>
      </c>
      <c r="R1055" s="45">
        <f t="shared" si="18"/>
        <v>2.7628085357798552E-3</v>
      </c>
      <c r="U1055" s="43">
        <f t="shared" si="19"/>
        <v>1726100</v>
      </c>
    </row>
    <row r="1056" spans="1:22" x14ac:dyDescent="0.2">
      <c r="A1056">
        <f>COUNTIF($I$2:I1056,'[1]Detalle Pilotos'!$G$3)</f>
        <v>0</v>
      </c>
      <c r="B1056">
        <f t="shared" si="16"/>
        <v>1055</v>
      </c>
      <c r="C1056" s="9">
        <v>44944</v>
      </c>
      <c r="D1056" s="4" t="s">
        <v>517</v>
      </c>
      <c r="E1056" s="8"/>
      <c r="F1056" s="3">
        <v>60000</v>
      </c>
      <c r="G1056" s="7">
        <f>IF(Tabla1[[#This Row],[Fecha]]="","",G1055+Tabla1[[#This Row],[ingreso]]-Tabla1[[#This Row],[egreso]])</f>
        <v>4814772.1442999989</v>
      </c>
      <c r="H1056" s="7"/>
      <c r="I1056" s="7"/>
      <c r="J1056" s="4"/>
      <c r="K1056" t="str">
        <f>IF(Tabla1[[#This Row],[Tipo]]="","",Tabla1[[#This Row],[ingreso]]/Tabla1[[#This Row],[Tipo]])</f>
        <v/>
      </c>
      <c r="M1056" s="44">
        <v>44900</v>
      </c>
      <c r="N1056" s="19">
        <v>876.05</v>
      </c>
      <c r="O1056" s="42">
        <v>4000</v>
      </c>
      <c r="P1056">
        <f t="shared" si="20"/>
        <v>5.5256170715597104E-3</v>
      </c>
      <c r="Q1056">
        <f t="shared" si="17"/>
        <v>4.840716835539884</v>
      </c>
      <c r="R1056" s="45">
        <f t="shared" si="18"/>
        <v>5.5256170715597104E-3</v>
      </c>
      <c r="U1056" s="43">
        <f t="shared" si="19"/>
        <v>3504200</v>
      </c>
    </row>
    <row r="1057" spans="1:21" x14ac:dyDescent="0.2">
      <c r="A1057">
        <f>COUNTIF($I$2:I1057,'[1]Detalle Pilotos'!$G$3)</f>
        <v>0</v>
      </c>
      <c r="B1057">
        <f t="shared" si="16"/>
        <v>1056</v>
      </c>
      <c r="C1057" s="9">
        <v>44944</v>
      </c>
      <c r="D1057" s="4" t="s">
        <v>518</v>
      </c>
      <c r="E1057" s="8">
        <v>4000000</v>
      </c>
      <c r="F1057" s="3"/>
      <c r="G1057" s="7">
        <f>IF(Tabla1[[#This Row],[Fecha]]="","",G1056+Tabla1[[#This Row],[ingreso]]-Tabla1[[#This Row],[egreso]])</f>
        <v>814772.14429999888</v>
      </c>
      <c r="H1057" s="7"/>
      <c r="I1057" s="7"/>
      <c r="J1057" s="4"/>
      <c r="K1057" t="str">
        <f>IF(Tabla1[[#This Row],[Tipo]]="","",Tabla1[[#This Row],[ingreso]]/Tabla1[[#This Row],[Tipo]])</f>
        <v/>
      </c>
      <c r="M1057" s="44">
        <v>44904</v>
      </c>
      <c r="N1057" s="19">
        <v>840.85</v>
      </c>
      <c r="O1057" s="42">
        <v>2000</v>
      </c>
      <c r="P1057">
        <f t="shared" si="20"/>
        <v>2.7628085357798552E-3</v>
      </c>
      <c r="Q1057">
        <f t="shared" si="17"/>
        <v>2.3231075573104913</v>
      </c>
      <c r="R1057" s="45">
        <f t="shared" si="18"/>
        <v>2.7628085357798552E-3</v>
      </c>
      <c r="U1057" s="43">
        <f t="shared" si="19"/>
        <v>1681700</v>
      </c>
    </row>
    <row r="1058" spans="1:21" x14ac:dyDescent="0.2">
      <c r="A1058">
        <f>COUNTIF($I$2:I1058,'[1]Detalle Pilotos'!$G$3)</f>
        <v>0</v>
      </c>
      <c r="B1058">
        <f t="shared" si="16"/>
        <v>1057</v>
      </c>
      <c r="C1058" s="9">
        <v>44944</v>
      </c>
      <c r="D1058" s="4" t="s">
        <v>519</v>
      </c>
      <c r="E1058" s="8">
        <v>104007</v>
      </c>
      <c r="F1058" s="3"/>
      <c r="G1058" s="7">
        <f>IF(Tabla1[[#This Row],[Fecha]]="","",G1057+Tabla1[[#This Row],[ingreso]]-Tabla1[[#This Row],[egreso]])</f>
        <v>710765.14429999888</v>
      </c>
      <c r="H1058" s="7"/>
      <c r="I1058" s="7"/>
      <c r="J1058" s="4"/>
      <c r="K1058" t="str">
        <f>IF(Tabla1[[#This Row],[Tipo]]="","",Tabla1[[#This Row],[ingreso]]/Tabla1[[#This Row],[Tipo]])</f>
        <v/>
      </c>
      <c r="M1058" s="44">
        <v>44907</v>
      </c>
      <c r="N1058" s="19">
        <v>846.35</v>
      </c>
      <c r="O1058" s="42">
        <v>5000</v>
      </c>
      <c r="P1058">
        <f t="shared" si="20"/>
        <v>6.9070213394496387E-3</v>
      </c>
      <c r="Q1058">
        <f t="shared" si="17"/>
        <v>5.8457575106432023</v>
      </c>
      <c r="R1058" s="45">
        <f t="shared" si="18"/>
        <v>6.9070213394496387E-3</v>
      </c>
      <c r="U1058" s="43">
        <f t="shared" si="19"/>
        <v>4231750</v>
      </c>
    </row>
    <row r="1059" spans="1:21" x14ac:dyDescent="0.2">
      <c r="A1059">
        <f>COUNTIF($I$2:I1059,'[1]Detalle Pilotos'!$G$3)</f>
        <v>0</v>
      </c>
      <c r="B1059">
        <f t="shared" si="16"/>
        <v>1058</v>
      </c>
      <c r="C1059" s="9">
        <v>44944</v>
      </c>
      <c r="D1059" s="4" t="s">
        <v>520</v>
      </c>
      <c r="E1059" s="8">
        <v>25500</v>
      </c>
      <c r="F1059" s="3"/>
      <c r="G1059" s="7">
        <f>IF(Tabla1[[#This Row],[Fecha]]="","",G1058+Tabla1[[#This Row],[ingreso]]-Tabla1[[#This Row],[egreso]])</f>
        <v>685265.14429999888</v>
      </c>
      <c r="H1059" s="7"/>
      <c r="I1059" s="7"/>
      <c r="J1059" s="4"/>
      <c r="K1059" t="str">
        <f>IF(Tabla1[[#This Row],[Tipo]]="","",Tabla1[[#This Row],[ingreso]]/Tabla1[[#This Row],[Tipo]])</f>
        <v/>
      </c>
      <c r="M1059" s="44">
        <v>44909</v>
      </c>
      <c r="N1059" s="19">
        <v>847.85</v>
      </c>
      <c r="O1059" s="42">
        <v>1000</v>
      </c>
      <c r="P1059">
        <f t="shared" si="20"/>
        <v>1.3814042678899276E-3</v>
      </c>
      <c r="Q1059">
        <f t="shared" si="17"/>
        <v>1.1712236085304752</v>
      </c>
      <c r="R1059" s="45">
        <f t="shared" si="18"/>
        <v>1.3814042678899276E-3</v>
      </c>
      <c r="U1059" s="43">
        <f t="shared" si="19"/>
        <v>847850</v>
      </c>
    </row>
    <row r="1060" spans="1:21" x14ac:dyDescent="0.2">
      <c r="A1060">
        <f>COUNTIF($I$2:I1060,'[1]Detalle Pilotos'!$G$3)</f>
        <v>0</v>
      </c>
      <c r="B1060">
        <f t="shared" si="16"/>
        <v>1059</v>
      </c>
      <c r="C1060" s="9">
        <v>44944</v>
      </c>
      <c r="D1060" s="4" t="s">
        <v>521</v>
      </c>
      <c r="E1060" s="8">
        <v>161825</v>
      </c>
      <c r="F1060" s="3"/>
      <c r="G1060" s="7">
        <f>IF(Tabla1[[#This Row],[Fecha]]="","",G1059+Tabla1[[#This Row],[ingreso]]-Tabla1[[#This Row],[egreso]])</f>
        <v>523440.14429999888</v>
      </c>
      <c r="H1060" s="7"/>
      <c r="I1060" s="7"/>
      <c r="J1060" s="4"/>
      <c r="K1060" t="str">
        <f>IF(Tabla1[[#This Row],[Tipo]]="","",Tabla1[[#This Row],[ingreso]]/Tabla1[[#This Row],[Tipo]])</f>
        <v/>
      </c>
      <c r="M1060" s="44">
        <v>44910</v>
      </c>
      <c r="N1060" s="19">
        <v>859.05</v>
      </c>
      <c r="O1060" s="42">
        <v>5500</v>
      </c>
      <c r="P1060">
        <f t="shared" si="20"/>
        <v>7.597723473394602E-3</v>
      </c>
      <c r="Q1060">
        <f t="shared" si="17"/>
        <v>6.5268243498196323</v>
      </c>
      <c r="R1060" s="45">
        <f t="shared" si="18"/>
        <v>7.597723473394602E-3</v>
      </c>
      <c r="U1060" s="43">
        <f t="shared" si="19"/>
        <v>4724775</v>
      </c>
    </row>
    <row r="1061" spans="1:21" x14ac:dyDescent="0.2">
      <c r="A1061">
        <f>COUNTIF($I$2:I1061,'[1]Detalle Pilotos'!$G$3)</f>
        <v>0</v>
      </c>
      <c r="B1061">
        <f t="shared" si="16"/>
        <v>1060</v>
      </c>
      <c r="C1061" s="9">
        <v>44944</v>
      </c>
      <c r="D1061" s="4" t="s">
        <v>522</v>
      </c>
      <c r="E1061" s="8">
        <v>102205</v>
      </c>
      <c r="F1061" s="3"/>
      <c r="G1061" s="7">
        <f>IF(Tabla1[[#This Row],[Fecha]]="","",G1060+Tabla1[[#This Row],[ingreso]]-Tabla1[[#This Row],[egreso]])</f>
        <v>421235.14429999888</v>
      </c>
      <c r="H1061" s="7"/>
      <c r="I1061" s="7"/>
      <c r="J1061" s="4"/>
      <c r="K1061" t="str">
        <f>IF(Tabla1[[#This Row],[Tipo]]="","",Tabla1[[#This Row],[ingreso]]/Tabla1[[#This Row],[Tipo]])</f>
        <v/>
      </c>
      <c r="M1061" s="44">
        <v>44914</v>
      </c>
      <c r="N1061" s="19">
        <v>868.05</v>
      </c>
      <c r="O1061" s="42">
        <v>5000</v>
      </c>
      <c r="P1061">
        <f t="shared" si="20"/>
        <v>6.9070213394496387E-3</v>
      </c>
      <c r="Q1061">
        <f t="shared" si="17"/>
        <v>5.9956398737092584</v>
      </c>
      <c r="R1061" s="45">
        <f t="shared" si="18"/>
        <v>6.9070213394496387E-3</v>
      </c>
      <c r="U1061" s="43">
        <f t="shared" si="19"/>
        <v>4340250</v>
      </c>
    </row>
    <row r="1062" spans="1:21" x14ac:dyDescent="0.2">
      <c r="A1062">
        <f>COUNTIF($I$2:I1062,'[1]Detalle Pilotos'!$G$3)</f>
        <v>0</v>
      </c>
      <c r="B1062">
        <f t="shared" si="16"/>
        <v>1061</v>
      </c>
      <c r="C1062" s="9">
        <v>44944</v>
      </c>
      <c r="D1062" s="4" t="s">
        <v>523</v>
      </c>
      <c r="E1062" s="8">
        <v>100076</v>
      </c>
      <c r="F1062" s="3"/>
      <c r="G1062" s="7">
        <f>IF(Tabla1[[#This Row],[Fecha]]="","",G1061+Tabla1[[#This Row],[ingreso]]-Tabla1[[#This Row],[egreso]])</f>
        <v>321159.14429999888</v>
      </c>
      <c r="H1062" s="7"/>
      <c r="I1062" s="7"/>
      <c r="J1062" s="4"/>
      <c r="K1062" t="str">
        <f>IF(Tabla1[[#This Row],[Tipo]]="","",Tabla1[[#This Row],[ingreso]]/Tabla1[[#This Row],[Tipo]])</f>
        <v/>
      </c>
      <c r="M1062" s="44">
        <v>44916</v>
      </c>
      <c r="N1062" s="19">
        <v>865.02</v>
      </c>
      <c r="O1062" s="42">
        <v>6000</v>
      </c>
      <c r="P1062">
        <f t="shared" si="20"/>
        <v>8.2884256073395661E-3</v>
      </c>
      <c r="Q1062">
        <f t="shared" si="17"/>
        <v>7.1696539188608712</v>
      </c>
      <c r="R1062" s="45">
        <f t="shared" si="18"/>
        <v>8.2884256073395661E-3</v>
      </c>
      <c r="U1062" s="43">
        <f t="shared" si="19"/>
        <v>5190120</v>
      </c>
    </row>
    <row r="1063" spans="1:21" x14ac:dyDescent="0.2">
      <c r="A1063">
        <f>COUNTIF($I$2:I1063,'[1]Detalle Pilotos'!$G$3)</f>
        <v>0</v>
      </c>
      <c r="B1063">
        <f t="shared" si="16"/>
        <v>1062</v>
      </c>
      <c r="C1063" s="9">
        <v>44944</v>
      </c>
      <c r="D1063" s="4" t="s">
        <v>522</v>
      </c>
      <c r="E1063" s="8">
        <v>102205</v>
      </c>
      <c r="F1063" s="3"/>
      <c r="G1063" s="7">
        <f>IF(Tabla1[[#This Row],[Fecha]]="","",G1062+Tabla1[[#This Row],[ingreso]]-Tabla1[[#This Row],[egreso]])</f>
        <v>218954.14429999888</v>
      </c>
      <c r="H1063" s="7"/>
      <c r="I1063" s="7"/>
      <c r="J1063" s="4"/>
      <c r="K1063" t="str">
        <f>IF(Tabla1[[#This Row],[Tipo]]="","",Tabla1[[#This Row],[ingreso]]/Tabla1[[#This Row],[Tipo]])</f>
        <v/>
      </c>
      <c r="M1063" s="44">
        <v>44921</v>
      </c>
      <c r="N1063" s="19">
        <v>864.85</v>
      </c>
      <c r="O1063" s="42">
        <v>4000</v>
      </c>
      <c r="P1063">
        <f t="shared" si="20"/>
        <v>5.5256170715597104E-3</v>
      </c>
      <c r="Q1063">
        <f t="shared" si="17"/>
        <v>4.7788299243384156</v>
      </c>
      <c r="R1063" s="45">
        <f t="shared" si="18"/>
        <v>5.5256170715597104E-3</v>
      </c>
      <c r="U1063" s="43">
        <f t="shared" si="19"/>
        <v>3459400</v>
      </c>
    </row>
    <row r="1064" spans="1:21" x14ac:dyDescent="0.2">
      <c r="A1064">
        <f>COUNTIF($I$2:I1064,'[1]Detalle Pilotos'!$G$3)</f>
        <v>0</v>
      </c>
      <c r="B1064">
        <f t="shared" si="16"/>
        <v>1063</v>
      </c>
      <c r="C1064" s="9">
        <v>44946</v>
      </c>
      <c r="D1064" s="4" t="s">
        <v>266</v>
      </c>
      <c r="E1064" s="8">
        <v>85332</v>
      </c>
      <c r="F1064" s="3"/>
      <c r="G1064" s="7">
        <f>IF(Tabla1[[#This Row],[Fecha]]="","",G1063+Tabla1[[#This Row],[ingreso]]-Tabla1[[#This Row],[egreso]])</f>
        <v>133622.14429999888</v>
      </c>
      <c r="H1064" s="7"/>
      <c r="I1064" s="7"/>
      <c r="J1064" s="4"/>
      <c r="K1064" t="str">
        <f>IF(Tabla1[[#This Row],[Tipo]]="","",Tabla1[[#This Row],[ingreso]]/Tabla1[[#This Row],[Tipo]])</f>
        <v/>
      </c>
      <c r="M1064" s="44">
        <v>44923</v>
      </c>
      <c r="N1064" s="19">
        <v>846.15</v>
      </c>
      <c r="O1064" s="42">
        <v>3000</v>
      </c>
      <c r="P1064">
        <f t="shared" si="20"/>
        <v>4.144212803669783E-3</v>
      </c>
      <c r="Q1064">
        <f t="shared" si="17"/>
        <v>3.5066256638251869</v>
      </c>
      <c r="R1064" s="45">
        <f t="shared" si="18"/>
        <v>4.144212803669783E-3</v>
      </c>
      <c r="U1064" s="43">
        <f t="shared" si="19"/>
        <v>2538450</v>
      </c>
    </row>
    <row r="1065" spans="1:21" x14ac:dyDescent="0.2">
      <c r="A1065">
        <f>COUNTIF($I$2:I1065,'[1]Detalle Pilotos'!$G$3)</f>
        <v>0</v>
      </c>
      <c r="B1065">
        <f t="shared" si="16"/>
        <v>1064</v>
      </c>
      <c r="C1065" s="9">
        <v>44948</v>
      </c>
      <c r="D1065" s="4" t="s">
        <v>524</v>
      </c>
      <c r="E1065" s="8">
        <v>78783</v>
      </c>
      <c r="F1065" s="3"/>
      <c r="G1065" s="7">
        <f>IF(Tabla1[[#This Row],[Fecha]]="","",G1064+Tabla1[[#This Row],[ingreso]]-Tabla1[[#This Row],[egreso]])</f>
        <v>54839.144299998879</v>
      </c>
      <c r="H1065" s="7"/>
      <c r="I1065" s="7"/>
      <c r="J1065" s="4"/>
      <c r="K1065" t="str">
        <f>IF(Tabla1[[#This Row],[Tipo]]="","",Tabla1[[#This Row],[ingreso]]/Tabla1[[#This Row],[Tipo]])</f>
        <v/>
      </c>
      <c r="M1065" s="44">
        <v>44931</v>
      </c>
      <c r="N1065" s="19">
        <v>834.62</v>
      </c>
      <c r="O1065" s="42">
        <v>3000</v>
      </c>
      <c r="P1065">
        <f t="shared" si="20"/>
        <v>4.144212803669783E-3</v>
      </c>
      <c r="Q1065">
        <f t="shared" si="17"/>
        <v>3.4588428901988744</v>
      </c>
      <c r="R1065" s="45">
        <f t="shared" si="18"/>
        <v>4.144212803669783E-3</v>
      </c>
      <c r="U1065" s="43">
        <f t="shared" si="19"/>
        <v>2503860</v>
      </c>
    </row>
    <row r="1066" spans="1:21" x14ac:dyDescent="0.2">
      <c r="A1066">
        <f>COUNTIF($I$2:I1066,'[1]Detalle Pilotos'!$G$3)</f>
        <v>0</v>
      </c>
      <c r="B1066">
        <f t="shared" si="16"/>
        <v>1065</v>
      </c>
      <c r="C1066" s="9">
        <v>44948</v>
      </c>
      <c r="D1066" s="4" t="s">
        <v>237</v>
      </c>
      <c r="E1066" s="8"/>
      <c r="F1066" s="3">
        <v>1193025</v>
      </c>
      <c r="G1066" s="7">
        <f>IF(Tabla1[[#This Row],[Fecha]]="","",G1065+Tabla1[[#This Row],[ingreso]]-Tabla1[[#This Row],[egreso]])</f>
        <v>1247864.1442999989</v>
      </c>
      <c r="H1066" s="7">
        <v>1500</v>
      </c>
      <c r="I1066" s="7" t="s">
        <v>329</v>
      </c>
      <c r="J1066" s="4"/>
      <c r="K1066">
        <f>IF(Tabla1[[#This Row],[Tipo]]="","",Tabla1[[#This Row],[ingreso]]/Tabla1[[#This Row],[Tipo]])</f>
        <v>795.35</v>
      </c>
      <c r="M1066" s="44">
        <v>44937</v>
      </c>
      <c r="N1066" s="19">
        <v>807.35</v>
      </c>
      <c r="O1066" s="42">
        <v>4000</v>
      </c>
      <c r="P1066">
        <f t="shared" si="20"/>
        <v>5.5256170715597104E-3</v>
      </c>
      <c r="Q1066">
        <f t="shared" si="17"/>
        <v>4.461106942723732</v>
      </c>
      <c r="R1066" s="45">
        <f t="shared" si="18"/>
        <v>5.5256170715597104E-3</v>
      </c>
      <c r="U1066" s="43">
        <f t="shared" si="19"/>
        <v>3229400</v>
      </c>
    </row>
    <row r="1067" spans="1:21" x14ac:dyDescent="0.2">
      <c r="A1067">
        <f>COUNTIF($I$2:I1067,'[1]Detalle Pilotos'!$G$3)</f>
        <v>0</v>
      </c>
      <c r="B1067">
        <f t="shared" si="16"/>
        <v>1066</v>
      </c>
      <c r="C1067" s="9">
        <v>44948</v>
      </c>
      <c r="D1067" s="4" t="s">
        <v>525</v>
      </c>
      <c r="E1067" s="8">
        <v>929881</v>
      </c>
      <c r="F1067" s="3"/>
      <c r="G1067" s="7">
        <f>IF(Tabla1[[#This Row],[Fecha]]="","",G1066+Tabla1[[#This Row],[ingreso]]-Tabla1[[#This Row],[egreso]])</f>
        <v>317983.14429999888</v>
      </c>
      <c r="H1067" s="7"/>
      <c r="I1067" s="7"/>
      <c r="J1067" s="4"/>
      <c r="K1067" t="str">
        <f>IF(Tabla1[[#This Row],[Tipo]]="","",Tabla1[[#This Row],[ingreso]]/Tabla1[[#This Row],[Tipo]])</f>
        <v/>
      </c>
      <c r="M1067" s="44">
        <v>44937</v>
      </c>
      <c r="N1067" s="19">
        <v>807.35</v>
      </c>
      <c r="O1067" s="42">
        <v>4000</v>
      </c>
      <c r="P1067">
        <f t="shared" si="20"/>
        <v>5.5256170715597104E-3</v>
      </c>
      <c r="Q1067">
        <f t="shared" si="17"/>
        <v>4.461106942723732</v>
      </c>
      <c r="R1067" s="45">
        <f t="shared" si="18"/>
        <v>5.5256170715597104E-3</v>
      </c>
      <c r="U1067" s="43">
        <f t="shared" si="19"/>
        <v>3229400</v>
      </c>
    </row>
    <row r="1068" spans="1:21" x14ac:dyDescent="0.2">
      <c r="A1068">
        <f>COUNTIF($I$2:I1068,'[1]Detalle Pilotos'!$G$3)</f>
        <v>0</v>
      </c>
      <c r="B1068">
        <f t="shared" si="16"/>
        <v>1067</v>
      </c>
      <c r="C1068" s="9">
        <v>44949</v>
      </c>
      <c r="D1068" s="4" t="s">
        <v>526</v>
      </c>
      <c r="E1068" s="8">
        <v>142661</v>
      </c>
      <c r="F1068" s="3"/>
      <c r="G1068" s="7">
        <f>IF(Tabla1[[#This Row],[Fecha]]="","",G1067+Tabla1[[#This Row],[ingreso]]-Tabla1[[#This Row],[egreso]])</f>
        <v>175322.14429999888</v>
      </c>
      <c r="H1068" s="7"/>
      <c r="I1068" s="7"/>
      <c r="J1068" s="4"/>
      <c r="K1068" t="str">
        <f>IF(Tabla1[[#This Row],[Tipo]]="","",Tabla1[[#This Row],[ingreso]]/Tabla1[[#This Row],[Tipo]])</f>
        <v/>
      </c>
      <c r="M1068" s="44">
        <v>44939</v>
      </c>
      <c r="N1068" s="19">
        <v>799.05</v>
      </c>
      <c r="O1068" s="42">
        <v>2000</v>
      </c>
      <c r="P1068">
        <f t="shared" si="20"/>
        <v>2.7628085357798552E-3</v>
      </c>
      <c r="Q1068">
        <f t="shared" si="17"/>
        <v>2.2076221605148931</v>
      </c>
      <c r="R1068" s="45">
        <f t="shared" si="18"/>
        <v>2.7628085357798552E-3</v>
      </c>
      <c r="U1068" s="43">
        <f t="shared" si="19"/>
        <v>1598100</v>
      </c>
    </row>
    <row r="1069" spans="1:21" x14ac:dyDescent="0.2">
      <c r="A1069">
        <f>COUNTIF($I$2:I1069,'[1]Detalle Pilotos'!$G$3)</f>
        <v>0</v>
      </c>
      <c r="B1069">
        <f t="shared" si="16"/>
        <v>1068</v>
      </c>
      <c r="C1069" s="9">
        <v>44949</v>
      </c>
      <c r="D1069" s="4" t="s">
        <v>237</v>
      </c>
      <c r="E1069" s="8"/>
      <c r="F1069" s="3">
        <v>3969250</v>
      </c>
      <c r="G1069" s="7">
        <f>IF(Tabla1[[#This Row],[Fecha]]="","",G1068+Tabla1[[#This Row],[ingreso]]-Tabla1[[#This Row],[egreso]])</f>
        <v>4144572.1442999989</v>
      </c>
      <c r="H1069" s="7">
        <v>5000</v>
      </c>
      <c r="I1069" s="7" t="s">
        <v>329</v>
      </c>
      <c r="J1069" s="4"/>
      <c r="K1069">
        <f>IF(Tabla1[[#This Row],[Tipo]]="","",Tabla1[[#This Row],[ingreso]]/Tabla1[[#This Row],[Tipo]])</f>
        <v>793.85</v>
      </c>
      <c r="M1069" s="44">
        <v>44941</v>
      </c>
      <c r="N1069" s="19">
        <v>804.1</v>
      </c>
      <c r="O1069" s="42">
        <v>1000</v>
      </c>
      <c r="P1069">
        <f t="shared" si="20"/>
        <v>1.3814042678899276E-3</v>
      </c>
      <c r="Q1069">
        <f t="shared" si="17"/>
        <v>1.1107871718102909</v>
      </c>
      <c r="R1069" s="45">
        <f t="shared" si="18"/>
        <v>1.3814042678899276E-3</v>
      </c>
      <c r="U1069" s="43">
        <f t="shared" si="19"/>
        <v>804100</v>
      </c>
    </row>
    <row r="1070" spans="1:21" x14ac:dyDescent="0.2">
      <c r="A1070">
        <f>COUNTIF($I$2:I1070,'[1]Detalle Pilotos'!$G$3)</f>
        <v>0</v>
      </c>
      <c r="B1070">
        <f t="shared" si="16"/>
        <v>1069</v>
      </c>
      <c r="C1070" s="9">
        <v>44949</v>
      </c>
      <c r="D1070" s="4" t="s">
        <v>527</v>
      </c>
      <c r="E1070" s="8">
        <v>4000000</v>
      </c>
      <c r="F1070" s="3"/>
      <c r="G1070" s="7">
        <f>IF(Tabla1[[#This Row],[Fecha]]="","",G1069+Tabla1[[#This Row],[ingreso]]-Tabla1[[#This Row],[egreso]])</f>
        <v>144572.14429999888</v>
      </c>
      <c r="H1070" s="7"/>
      <c r="I1070" s="7"/>
      <c r="J1070" s="4"/>
      <c r="K1070" t="str">
        <f>IF(Tabla1[[#This Row],[Tipo]]="","",Tabla1[[#This Row],[ingreso]]/Tabla1[[#This Row],[Tipo]])</f>
        <v/>
      </c>
      <c r="M1070" s="44">
        <v>44943</v>
      </c>
      <c r="N1070" s="19">
        <v>806.85</v>
      </c>
      <c r="O1070" s="42">
        <v>5000</v>
      </c>
      <c r="P1070">
        <f t="shared" si="20"/>
        <v>6.9070213394496387E-3</v>
      </c>
      <c r="Q1070">
        <f t="shared" si="17"/>
        <v>5.572930167734941</v>
      </c>
      <c r="R1070" s="45">
        <f t="shared" si="18"/>
        <v>6.9070213394496387E-3</v>
      </c>
      <c r="U1070" s="43">
        <f t="shared" si="19"/>
        <v>4034250</v>
      </c>
    </row>
    <row r="1071" spans="1:21" x14ac:dyDescent="0.2">
      <c r="A1071">
        <f>COUNTIF($I$2:I1071,'[1]Detalle Pilotos'!$G$3)</f>
        <v>0</v>
      </c>
      <c r="B1071">
        <f t="shared" si="16"/>
        <v>1070</v>
      </c>
      <c r="C1071" s="9">
        <v>44950</v>
      </c>
      <c r="D1071" s="4" t="s">
        <v>528</v>
      </c>
      <c r="E1071" s="8"/>
      <c r="F1071" s="3">
        <v>250000</v>
      </c>
      <c r="G1071" s="7">
        <f>IF(Tabla1[[#This Row],[Fecha]]="","",G1070+Tabla1[[#This Row],[ingreso]]-Tabla1[[#This Row],[egreso]])</f>
        <v>394572.14429999888</v>
      </c>
      <c r="H1071" s="7"/>
      <c r="I1071" s="7" t="s">
        <v>529</v>
      </c>
      <c r="J1071" s="4"/>
      <c r="K1071" t="str">
        <f>IF(Tabla1[[#This Row],[Tipo]]="","",Tabla1[[#This Row],[ingreso]]/Tabla1[[#This Row],[Tipo]])</f>
        <v/>
      </c>
      <c r="M1071" s="44">
        <v>44944</v>
      </c>
      <c r="N1071" s="19">
        <v>803.35</v>
      </c>
      <c r="O1071" s="42">
        <v>5500</v>
      </c>
      <c r="P1071">
        <f t="shared" si="20"/>
        <v>7.597723473394602E-3</v>
      </c>
      <c r="Q1071">
        <f t="shared" si="17"/>
        <v>6.1036311523515536</v>
      </c>
      <c r="R1071" s="45">
        <f t="shared" si="18"/>
        <v>7.597723473394602E-3</v>
      </c>
      <c r="U1071" s="43">
        <f t="shared" si="19"/>
        <v>4418425</v>
      </c>
    </row>
    <row r="1072" spans="1:21" x14ac:dyDescent="0.2">
      <c r="A1072">
        <f>COUNTIF($I$2:I1072,'[1]Detalle Pilotos'!$G$3)</f>
        <v>0</v>
      </c>
      <c r="B1072">
        <f t="shared" si="16"/>
        <v>1071</v>
      </c>
      <c r="C1072" s="9">
        <v>44952</v>
      </c>
      <c r="D1072" s="4" t="s">
        <v>530</v>
      </c>
      <c r="E1072" s="8">
        <v>106464</v>
      </c>
      <c r="F1072" s="3"/>
      <c r="G1072" s="7">
        <f>IF(Tabla1[[#This Row],[Fecha]]="","",G1071+Tabla1[[#This Row],[ingreso]]-Tabla1[[#This Row],[egreso]])</f>
        <v>288108.14429999888</v>
      </c>
      <c r="H1072" s="7"/>
      <c r="I1072" s="7"/>
      <c r="J1072" s="4"/>
      <c r="K1072" t="str">
        <f>IF(Tabla1[[#This Row],[Tipo]]="","",Tabla1[[#This Row],[ingreso]]/Tabla1[[#This Row],[Tipo]])</f>
        <v/>
      </c>
      <c r="M1072" s="44">
        <v>44948</v>
      </c>
      <c r="N1072" s="19">
        <v>795.35</v>
      </c>
      <c r="O1072" s="42">
        <v>1500</v>
      </c>
      <c r="P1072">
        <f t="shared" si="20"/>
        <v>2.0721064018348915E-3</v>
      </c>
      <c r="Q1072">
        <f t="shared" si="17"/>
        <v>1.648049826699381</v>
      </c>
      <c r="R1072" s="45">
        <f t="shared" si="18"/>
        <v>2.0721064018348915E-3</v>
      </c>
      <c r="U1072" s="43">
        <f t="shared" si="19"/>
        <v>1193025</v>
      </c>
    </row>
    <row r="1073" spans="1:24" x14ac:dyDescent="0.2">
      <c r="A1073">
        <f>COUNTIF($I$2:I1073,'[1]Detalle Pilotos'!$G$3)</f>
        <v>0</v>
      </c>
      <c r="B1073">
        <f t="shared" si="16"/>
        <v>1072</v>
      </c>
      <c r="C1073" s="9">
        <v>44952</v>
      </c>
      <c r="D1073" s="4" t="s">
        <v>531</v>
      </c>
      <c r="E1073" s="8">
        <v>108593</v>
      </c>
      <c r="F1073" s="3"/>
      <c r="G1073" s="7">
        <f>IF(Tabla1[[#This Row],[Fecha]]="","",G1072+Tabla1[[#This Row],[ingreso]]-Tabla1[[#This Row],[egreso]])</f>
        <v>179515.14429999888</v>
      </c>
      <c r="H1073" s="7"/>
      <c r="I1073" s="7"/>
      <c r="J1073" s="4"/>
      <c r="K1073" t="str">
        <f>IF(Tabla1[[#This Row],[Tipo]]="","",Tabla1[[#This Row],[ingreso]]/Tabla1[[#This Row],[Tipo]])</f>
        <v/>
      </c>
      <c r="M1073" s="44">
        <v>44949</v>
      </c>
      <c r="N1073" s="19">
        <v>793.85</v>
      </c>
      <c r="O1073" s="42">
        <v>5000</v>
      </c>
      <c r="P1073">
        <f t="shared" si="20"/>
        <v>6.9070213394496387E-3</v>
      </c>
      <c r="Q1073">
        <f t="shared" si="17"/>
        <v>5.4831388903220954</v>
      </c>
      <c r="R1073" s="45">
        <f t="shared" si="18"/>
        <v>6.9070213394496387E-3</v>
      </c>
      <c r="U1073" s="43">
        <f t="shared" si="19"/>
        <v>3969250</v>
      </c>
    </row>
    <row r="1074" spans="1:24" x14ac:dyDescent="0.2">
      <c r="A1074">
        <f>COUNTIF($I$2:I1074,'[1]Detalle Pilotos'!$G$3)</f>
        <v>0</v>
      </c>
      <c r="B1074">
        <f t="shared" si="16"/>
        <v>1073</v>
      </c>
      <c r="C1074" s="9">
        <v>44953</v>
      </c>
      <c r="D1074" s="4" t="s">
        <v>517</v>
      </c>
      <c r="E1074" s="8">
        <v>120000</v>
      </c>
      <c r="F1074" s="3"/>
      <c r="G1074" s="7">
        <f>IF(Tabla1[[#This Row],[Fecha]]="","",G1073+Tabla1[[#This Row],[ingreso]]-Tabla1[[#This Row],[egreso]])</f>
        <v>59515.144299998879</v>
      </c>
      <c r="H1074" s="7"/>
      <c r="I1074" s="7"/>
      <c r="J1074" s="4"/>
      <c r="K1074" t="str">
        <f>IF(Tabla1[[#This Row],[Tipo]]="","",Tabla1[[#This Row],[ingreso]]/Tabla1[[#This Row],[Tipo]])</f>
        <v/>
      </c>
      <c r="M1074" s="44">
        <v>44953</v>
      </c>
      <c r="N1074" s="19">
        <v>785.45</v>
      </c>
      <c r="O1074" s="42">
        <v>6000</v>
      </c>
      <c r="P1074">
        <f t="shared" si="20"/>
        <v>8.2884256073395661E-3</v>
      </c>
      <c r="Q1074">
        <f t="shared" si="17"/>
        <v>6.5101438932848623</v>
      </c>
      <c r="R1074" s="45">
        <f t="shared" si="18"/>
        <v>8.2884256073395661E-3</v>
      </c>
      <c r="U1074" s="43">
        <f t="shared" si="19"/>
        <v>4712700</v>
      </c>
    </row>
    <row r="1075" spans="1:24" x14ac:dyDescent="0.2">
      <c r="A1075">
        <f>COUNTIF($I$2:I1075,'[1]Detalle Pilotos'!$G$3)</f>
        <v>0</v>
      </c>
      <c r="B1075">
        <f t="shared" si="16"/>
        <v>1074</v>
      </c>
      <c r="C1075" s="9">
        <v>44953</v>
      </c>
      <c r="D1075" s="4" t="s">
        <v>237</v>
      </c>
      <c r="E1075" s="8"/>
      <c r="F1075" s="3">
        <v>4712700</v>
      </c>
      <c r="G1075" s="7">
        <f>IF(Tabla1[[#This Row],[Fecha]]="","",G1074+Tabla1[[#This Row],[ingreso]]-Tabla1[[#This Row],[egreso]])</f>
        <v>4772215.1442999989</v>
      </c>
      <c r="H1075" s="7">
        <v>6000</v>
      </c>
      <c r="I1075" s="7" t="s">
        <v>329</v>
      </c>
      <c r="J1075" s="4"/>
      <c r="K1075">
        <f>IF(Tabla1[[#This Row],[Tipo]]="","",Tabla1[[#This Row],[ingreso]]/Tabla1[[#This Row],[Tipo]])</f>
        <v>785.45</v>
      </c>
      <c r="M1075" s="44">
        <v>44956</v>
      </c>
      <c r="N1075" s="19">
        <v>787.85</v>
      </c>
      <c r="O1075" s="42">
        <v>6000</v>
      </c>
      <c r="P1075">
        <f t="shared" si="20"/>
        <v>8.2884256073395661E-3</v>
      </c>
      <c r="Q1075">
        <f t="shared" si="17"/>
        <v>6.5300361147424777</v>
      </c>
      <c r="R1075" s="45">
        <f t="shared" si="18"/>
        <v>8.2884256073395661E-3</v>
      </c>
      <c r="U1075" s="43">
        <f t="shared" si="19"/>
        <v>4727100</v>
      </c>
    </row>
    <row r="1076" spans="1:24" x14ac:dyDescent="0.2">
      <c r="A1076">
        <f>COUNTIF($I$2:I1076,'[1]Detalle Pilotos'!$G$3)</f>
        <v>0</v>
      </c>
      <c r="B1076">
        <f t="shared" si="16"/>
        <v>1075</v>
      </c>
      <c r="C1076" s="9">
        <v>44953</v>
      </c>
      <c r="D1076" s="4" t="s">
        <v>532</v>
      </c>
      <c r="E1076" s="8">
        <v>4500000</v>
      </c>
      <c r="F1076" s="3"/>
      <c r="G1076" s="7">
        <f>IF(Tabla1[[#This Row],[Fecha]]="","",G1075+Tabla1[[#This Row],[ingreso]]-Tabla1[[#This Row],[egreso]])</f>
        <v>272215.14429999888</v>
      </c>
      <c r="H1076" s="7"/>
      <c r="I1076" s="7"/>
      <c r="J1076" s="4"/>
      <c r="K1076" t="str">
        <f>IF(Tabla1[[#This Row],[Tipo]]="","",Tabla1[[#This Row],[ingreso]]/Tabla1[[#This Row],[Tipo]])</f>
        <v/>
      </c>
      <c r="M1076" s="44">
        <v>44957</v>
      </c>
      <c r="N1076" s="19">
        <v>787.5</v>
      </c>
      <c r="O1076" s="42">
        <v>6000</v>
      </c>
      <c r="P1076">
        <f t="shared" si="20"/>
        <v>8.2884256073395661E-3</v>
      </c>
      <c r="Q1076">
        <f t="shared" si="17"/>
        <v>6.5271351657799084</v>
      </c>
      <c r="R1076" s="45">
        <f t="shared" si="18"/>
        <v>8.2884256073395661E-3</v>
      </c>
      <c r="U1076" s="43">
        <f t="shared" si="19"/>
        <v>4725000</v>
      </c>
    </row>
    <row r="1077" spans="1:24" x14ac:dyDescent="0.2">
      <c r="A1077">
        <f>COUNTIF($I$2:I1077,'[1]Detalle Pilotos'!$G$3)</f>
        <v>0</v>
      </c>
      <c r="B1077">
        <f t="shared" si="16"/>
        <v>1076</v>
      </c>
      <c r="C1077" s="9">
        <v>44955</v>
      </c>
      <c r="D1077" s="4" t="s">
        <v>528</v>
      </c>
      <c r="E1077" s="8"/>
      <c r="F1077" s="3">
        <v>246104</v>
      </c>
      <c r="G1077" s="7">
        <f>IF(Tabla1[[#This Row],[Fecha]]="","",G1076+Tabla1[[#This Row],[ingreso]]-Tabla1[[#This Row],[egreso]])</f>
        <v>518319.14429999888</v>
      </c>
      <c r="H1077" s="7"/>
      <c r="I1077" s="7" t="s">
        <v>529</v>
      </c>
      <c r="J1077" s="4"/>
      <c r="K1077" t="str">
        <f>IF(Tabla1[[#This Row],[Tipo]]="","",Tabla1[[#This Row],[ingreso]]/Tabla1[[#This Row],[Tipo]])</f>
        <v/>
      </c>
      <c r="M1077" s="44">
        <v>44960</v>
      </c>
      <c r="N1077" s="19">
        <v>775.85</v>
      </c>
      <c r="O1077" s="42">
        <v>6000</v>
      </c>
      <c r="P1077">
        <f t="shared" si="20"/>
        <v>8.2884256073395661E-3</v>
      </c>
      <c r="Q1077">
        <f t="shared" si="17"/>
        <v>6.4305750074544026</v>
      </c>
      <c r="R1077" s="45">
        <f t="shared" si="18"/>
        <v>8.2884256073395661E-3</v>
      </c>
      <c r="U1077" s="43">
        <f t="shared" si="19"/>
        <v>4655100</v>
      </c>
    </row>
    <row r="1078" spans="1:24" x14ac:dyDescent="0.2">
      <c r="A1078">
        <f>COUNTIF($I$2:I1078,'[1]Detalle Pilotos'!$G$3)</f>
        <v>0</v>
      </c>
      <c r="B1078">
        <f t="shared" si="16"/>
        <v>1077</v>
      </c>
      <c r="C1078" s="9">
        <v>44955</v>
      </c>
      <c r="D1078" s="4" t="s">
        <v>533</v>
      </c>
      <c r="E1078" s="8">
        <v>184005</v>
      </c>
      <c r="F1078" s="3"/>
      <c r="G1078" s="7">
        <f>IF(Tabla1[[#This Row],[Fecha]]="","",G1077+Tabla1[[#This Row],[ingreso]]-Tabla1[[#This Row],[egreso]])</f>
        <v>334314.14429999888</v>
      </c>
      <c r="H1078" s="7"/>
      <c r="I1078" s="7"/>
      <c r="J1078" s="4"/>
      <c r="K1078" t="str">
        <f>IF(Tabla1[[#This Row],[Tipo]]="","",Tabla1[[#This Row],[ingreso]]/Tabla1[[#This Row],[Tipo]])</f>
        <v/>
      </c>
      <c r="M1078" s="44">
        <v>44963</v>
      </c>
      <c r="N1078" s="19">
        <v>786.3</v>
      </c>
      <c r="O1078" s="42">
        <v>5000</v>
      </c>
      <c r="P1078">
        <f t="shared" si="20"/>
        <v>6.9070213394496387E-3</v>
      </c>
      <c r="Q1078">
        <f t="shared" si="17"/>
        <v>5.4309908792092507</v>
      </c>
      <c r="R1078" s="45">
        <f t="shared" si="18"/>
        <v>6.9070213394496387E-3</v>
      </c>
      <c r="U1078" s="43">
        <f t="shared" si="19"/>
        <v>3931500</v>
      </c>
    </row>
    <row r="1079" spans="1:24" x14ac:dyDescent="0.2">
      <c r="A1079">
        <f>COUNTIF($I$2:I1079,'[1]Detalle Pilotos'!$G$3)</f>
        <v>0</v>
      </c>
      <c r="B1079">
        <f t="shared" si="16"/>
        <v>1078</v>
      </c>
      <c r="C1079" s="9">
        <v>44955</v>
      </c>
      <c r="D1079" s="4" t="s">
        <v>534</v>
      </c>
      <c r="E1079" s="8">
        <v>55361</v>
      </c>
      <c r="F1079" s="3"/>
      <c r="G1079" s="7">
        <f>IF(Tabla1[[#This Row],[Fecha]]="","",G1078+Tabla1[[#This Row],[ingreso]]-Tabla1[[#This Row],[egreso]])</f>
        <v>278953.14429999888</v>
      </c>
      <c r="H1079" s="7"/>
      <c r="I1079" s="7"/>
      <c r="J1079" s="4"/>
      <c r="K1079" t="str">
        <f>IF(Tabla1[[#This Row],[Tipo]]="","",Tabla1[[#This Row],[ingreso]]/Tabla1[[#This Row],[Tipo]])</f>
        <v/>
      </c>
      <c r="M1079" s="44">
        <v>44967</v>
      </c>
      <c r="N1079" s="19">
        <v>779.1</v>
      </c>
      <c r="O1079" s="42">
        <v>5000</v>
      </c>
      <c r="P1079">
        <f t="shared" si="20"/>
        <v>6.9070213394496387E-3</v>
      </c>
      <c r="Q1079">
        <f t="shared" si="17"/>
        <v>5.3812603255652141</v>
      </c>
      <c r="R1079" s="45">
        <f t="shared" si="18"/>
        <v>6.9070213394496387E-3</v>
      </c>
      <c r="U1079" s="43">
        <f t="shared" si="19"/>
        <v>3895500</v>
      </c>
    </row>
    <row r="1080" spans="1:24" x14ac:dyDescent="0.2">
      <c r="A1080">
        <f>COUNTIF($I$2:I1080,'[1]Detalle Pilotos'!$G$3)</f>
        <v>0</v>
      </c>
      <c r="B1080">
        <f t="shared" si="16"/>
        <v>1079</v>
      </c>
      <c r="C1080" s="9">
        <v>44956</v>
      </c>
      <c r="D1080" s="4" t="s">
        <v>266</v>
      </c>
      <c r="E1080" s="8">
        <v>82050</v>
      </c>
      <c r="F1080" s="3"/>
      <c r="G1080" s="7">
        <f>IF(Tabla1[[#This Row],[Fecha]]="","",G1079+Tabla1[[#This Row],[ingreso]]-Tabla1[[#This Row],[egreso]])</f>
        <v>196903.14429999888</v>
      </c>
      <c r="H1080" s="7"/>
      <c r="I1080" s="7"/>
      <c r="J1080" s="4"/>
      <c r="K1080" t="str">
        <f>IF(Tabla1[[#This Row],[Tipo]]="","",Tabla1[[#This Row],[ingreso]]/Tabla1[[#This Row],[Tipo]])</f>
        <v/>
      </c>
      <c r="M1080" s="44">
        <v>44972</v>
      </c>
      <c r="N1080" s="19">
        <v>782.2</v>
      </c>
      <c r="O1080" s="42">
        <v>5000</v>
      </c>
      <c r="P1080">
        <f t="shared" si="20"/>
        <v>6.9070213394496387E-3</v>
      </c>
      <c r="Q1080">
        <f t="shared" si="17"/>
        <v>5.4026720917175073</v>
      </c>
      <c r="R1080" s="45">
        <f t="shared" si="18"/>
        <v>6.9070213394496387E-3</v>
      </c>
      <c r="U1080" s="43">
        <f t="shared" si="19"/>
        <v>3911000</v>
      </c>
    </row>
    <row r="1081" spans="1:24" x14ac:dyDescent="0.2">
      <c r="A1081">
        <f>COUNTIF($I$2:I1081,'[1]Detalle Pilotos'!$G$3)</f>
        <v>0</v>
      </c>
      <c r="B1081">
        <f t="shared" si="16"/>
        <v>1080</v>
      </c>
      <c r="C1081" s="9">
        <v>44956</v>
      </c>
      <c r="D1081" s="4" t="s">
        <v>534</v>
      </c>
      <c r="E1081" s="8">
        <v>155964</v>
      </c>
      <c r="F1081" s="3"/>
      <c r="G1081" s="7">
        <f>IF(Tabla1[[#This Row],[Fecha]]="","",G1080+Tabla1[[#This Row],[ingreso]]-Tabla1[[#This Row],[egreso]])</f>
        <v>40939.144299998879</v>
      </c>
      <c r="H1081" s="7"/>
      <c r="I1081" s="7"/>
      <c r="J1081" s="4"/>
      <c r="K1081" t="str">
        <f>IF(Tabla1[[#This Row],[Tipo]]="","",Tabla1[[#This Row],[ingreso]]/Tabla1[[#This Row],[Tipo]])</f>
        <v/>
      </c>
      <c r="M1081" s="44">
        <v>44975</v>
      </c>
      <c r="N1081" s="19">
        <v>767.95</v>
      </c>
      <c r="O1081" s="42">
        <v>5000</v>
      </c>
      <c r="P1081">
        <f t="shared" si="20"/>
        <v>6.9070213394496387E-3</v>
      </c>
      <c r="Q1081">
        <f t="shared" si="17"/>
        <v>5.3042470376303505</v>
      </c>
      <c r="R1081" s="45">
        <f t="shared" si="18"/>
        <v>6.9070213394496387E-3</v>
      </c>
      <c r="U1081" s="43">
        <f t="shared" si="19"/>
        <v>3839750</v>
      </c>
    </row>
    <row r="1082" spans="1:24" x14ac:dyDescent="0.2">
      <c r="A1082">
        <f>COUNTIF($I$2:I1082,'[1]Detalle Pilotos'!$G$3)</f>
        <v>0</v>
      </c>
      <c r="B1082">
        <f t="shared" si="16"/>
        <v>1081</v>
      </c>
      <c r="C1082" s="9">
        <v>44956</v>
      </c>
      <c r="D1082" s="4" t="s">
        <v>237</v>
      </c>
      <c r="E1082" s="8"/>
      <c r="F1082" s="3">
        <v>4727100</v>
      </c>
      <c r="G1082" s="7">
        <f>IF(Tabla1[[#This Row],[Fecha]]="","",G1081+Tabla1[[#This Row],[ingreso]]-Tabla1[[#This Row],[egreso]])</f>
        <v>4768039.1442999989</v>
      </c>
      <c r="H1082" s="7">
        <v>6000</v>
      </c>
      <c r="I1082" s="7" t="s">
        <v>329</v>
      </c>
      <c r="J1082" s="4"/>
      <c r="K1082">
        <f>IF(Tabla1[[#This Row],[Tipo]]="","",Tabla1[[#This Row],[ingreso]]/Tabla1[[#This Row],[Tipo]])</f>
        <v>787.85</v>
      </c>
      <c r="M1082" s="44">
        <v>44980</v>
      </c>
      <c r="N1082" s="19">
        <v>792.65</v>
      </c>
      <c r="O1082" s="42">
        <v>15000</v>
      </c>
      <c r="P1082">
        <f t="shared" si="20"/>
        <v>2.0721064018348917E-2</v>
      </c>
      <c r="Q1082">
        <f t="shared" si="17"/>
        <v>16.42455139414427</v>
      </c>
      <c r="R1082" s="45">
        <f t="shared" si="18"/>
        <v>2.0721064018348917E-2</v>
      </c>
      <c r="U1082" s="43">
        <f t="shared" si="19"/>
        <v>11889750</v>
      </c>
    </row>
    <row r="1083" spans="1:24" x14ac:dyDescent="0.2">
      <c r="A1083">
        <f>COUNTIF($I$2:I1083,'[1]Detalle Pilotos'!$G$3)</f>
        <v>0</v>
      </c>
      <c r="B1083">
        <f t="shared" si="16"/>
        <v>1082</v>
      </c>
      <c r="C1083" s="9">
        <v>44956</v>
      </c>
      <c r="D1083" s="4" t="s">
        <v>535</v>
      </c>
      <c r="E1083" s="8">
        <v>3914066</v>
      </c>
      <c r="F1083" s="3"/>
      <c r="G1083" s="7">
        <f>IF(Tabla1[[#This Row],[Fecha]]="","",G1082+Tabla1[[#This Row],[ingreso]]-Tabla1[[#This Row],[egreso]])</f>
        <v>853973.14429999888</v>
      </c>
      <c r="H1083" s="7"/>
      <c r="I1083" s="7"/>
      <c r="J1083" s="4"/>
      <c r="K1083" t="str">
        <f>IF(Tabla1[[#This Row],[Tipo]]="","",Tabla1[[#This Row],[ingreso]]/Tabla1[[#This Row],[Tipo]])</f>
        <v/>
      </c>
      <c r="M1083" s="44">
        <v>44987</v>
      </c>
      <c r="N1083" s="19">
        <v>790.6</v>
      </c>
      <c r="O1083" s="42">
        <v>15000</v>
      </c>
      <c r="P1083">
        <f t="shared" si="20"/>
        <v>2.0721064018348917E-2</v>
      </c>
      <c r="Q1083">
        <f t="shared" si="17"/>
        <v>16.382073212906654</v>
      </c>
      <c r="R1083" s="45">
        <f t="shared" si="18"/>
        <v>2.0721064018348917E-2</v>
      </c>
      <c r="U1083" s="43">
        <f t="shared" si="19"/>
        <v>11859000</v>
      </c>
    </row>
    <row r="1084" spans="1:24" x14ac:dyDescent="0.2">
      <c r="A1084">
        <f>COUNTIF($I$2:I1084,'[1]Detalle Pilotos'!$G$3)</f>
        <v>0</v>
      </c>
      <c r="B1084">
        <f t="shared" si="16"/>
        <v>1083</v>
      </c>
      <c r="C1084" s="9">
        <v>44957</v>
      </c>
      <c r="D1084" s="4" t="s">
        <v>332</v>
      </c>
      <c r="E1084" s="8">
        <v>399925</v>
      </c>
      <c r="F1084" s="3"/>
      <c r="G1084" s="7">
        <f>IF(Tabla1[[#This Row],[Fecha]]="","",G1083+Tabla1[[#This Row],[ingreso]]-Tabla1[[#This Row],[egreso]])</f>
        <v>454048.14429999888</v>
      </c>
      <c r="H1084" s="7"/>
      <c r="I1084" s="7"/>
      <c r="J1084" s="4"/>
      <c r="K1084" t="str">
        <f>IF(Tabla1[[#This Row],[Tipo]]="","",Tabla1[[#This Row],[ingreso]]/Tabla1[[#This Row],[Tipo]])</f>
        <v/>
      </c>
      <c r="M1084" s="44">
        <v>45001</v>
      </c>
      <c r="N1084" s="19">
        <v>804.35</v>
      </c>
      <c r="O1084" s="42">
        <v>5000</v>
      </c>
      <c r="P1084">
        <f t="shared" si="20"/>
        <v>6.9070213394496387E-3</v>
      </c>
      <c r="Q1084">
        <f t="shared" si="17"/>
        <v>5.5556626143863168</v>
      </c>
      <c r="R1084" s="45">
        <f t="shared" si="18"/>
        <v>6.9070213394496387E-3</v>
      </c>
      <c r="U1084" s="43">
        <f t="shared" si="19"/>
        <v>4021750</v>
      </c>
      <c r="X1084" s="48"/>
    </row>
    <row r="1085" spans="1:24" x14ac:dyDescent="0.2">
      <c r="A1085">
        <f>COUNTIF($I$2:I1085,'[1]Detalle Pilotos'!$G$3)</f>
        <v>0</v>
      </c>
      <c r="B1085">
        <f t="shared" si="16"/>
        <v>1084</v>
      </c>
      <c r="C1085" s="9">
        <v>44957</v>
      </c>
      <c r="D1085" s="4" t="s">
        <v>237</v>
      </c>
      <c r="E1085" s="8"/>
      <c r="F1085" s="3">
        <v>4725000</v>
      </c>
      <c r="G1085" s="7">
        <f>IF(Tabla1[[#This Row],[Fecha]]="","",G1084+Tabla1[[#This Row],[ingreso]]-Tabla1[[#This Row],[egreso]])</f>
        <v>5179048.1442999989</v>
      </c>
      <c r="H1085" s="7">
        <v>6000</v>
      </c>
      <c r="I1085" s="7" t="s">
        <v>329</v>
      </c>
      <c r="J1085" s="4"/>
      <c r="K1085">
        <f>IF(Tabla1[[#This Row],[Tipo]]="","",Tabla1[[#This Row],[ingreso]]/Tabla1[[#This Row],[Tipo]])</f>
        <v>787.5</v>
      </c>
      <c r="M1085" s="44">
        <v>45016</v>
      </c>
      <c r="N1085" s="19">
        <v>777.05</v>
      </c>
      <c r="O1085" s="42">
        <v>4000</v>
      </c>
      <c r="P1085">
        <f t="shared" si="20"/>
        <v>5.5256170715597104E-3</v>
      </c>
      <c r="Q1085">
        <f t="shared" si="17"/>
        <v>4.2936807454554726</v>
      </c>
      <c r="R1085" s="45">
        <f t="shared" si="18"/>
        <v>5.5256170715597104E-3</v>
      </c>
      <c r="U1085" s="43">
        <f t="shared" si="19"/>
        <v>3108200</v>
      </c>
      <c r="X1085" s="49"/>
    </row>
    <row r="1086" spans="1:24" x14ac:dyDescent="0.2">
      <c r="A1086">
        <f>COUNTIF($I$2:I1086,'[1]Detalle Pilotos'!$G$3)</f>
        <v>0</v>
      </c>
      <c r="B1086">
        <f t="shared" si="16"/>
        <v>1085</v>
      </c>
      <c r="C1086" s="9">
        <v>44957</v>
      </c>
      <c r="D1086" s="4" t="s">
        <v>536</v>
      </c>
      <c r="E1086" s="8">
        <v>4500000</v>
      </c>
      <c r="F1086" s="3"/>
      <c r="G1086" s="7">
        <f>IF(Tabla1[[#This Row],[Fecha]]="","",G1085+Tabla1[[#This Row],[ingreso]]-Tabla1[[#This Row],[egreso]])</f>
        <v>679048.14429999888</v>
      </c>
      <c r="H1086" s="7"/>
      <c r="I1086" s="7"/>
      <c r="J1086" s="4"/>
      <c r="K1086" t="str">
        <f>IF(Tabla1[[#This Row],[Tipo]]="","",Tabla1[[#This Row],[ingreso]]/Tabla1[[#This Row],[Tipo]])</f>
        <v/>
      </c>
      <c r="M1086" s="44">
        <v>45020</v>
      </c>
      <c r="N1086" s="19">
        <v>796.15</v>
      </c>
      <c r="O1086" s="42">
        <v>20000</v>
      </c>
      <c r="P1086">
        <f t="shared" si="20"/>
        <v>2.7628085357798555E-2</v>
      </c>
      <c r="Q1086">
        <f t="shared" si="17"/>
        <v>21.99610015761132</v>
      </c>
      <c r="R1086" s="45">
        <f t="shared" si="18"/>
        <v>2.7628085357798555E-2</v>
      </c>
      <c r="U1086" s="43">
        <f t="shared" si="19"/>
        <v>15923000</v>
      </c>
    </row>
    <row r="1087" spans="1:24" x14ac:dyDescent="0.2">
      <c r="A1087">
        <f>COUNTIF($I$2:I1087,'[1]Detalle Pilotos'!$G$3)</f>
        <v>0</v>
      </c>
      <c r="B1087">
        <f t="shared" si="16"/>
        <v>1086</v>
      </c>
      <c r="C1087" s="9">
        <v>44957</v>
      </c>
      <c r="D1087" s="4" t="s">
        <v>506</v>
      </c>
      <c r="E1087" s="8"/>
      <c r="F1087" s="3">
        <v>119000</v>
      </c>
      <c r="G1087" s="7">
        <f>IF(Tabla1[[#This Row],[Fecha]]="","",G1086+Tabla1[[#This Row],[ingreso]]-Tabla1[[#This Row],[egreso]])</f>
        <v>798048.14429999888</v>
      </c>
      <c r="H1087" s="7"/>
      <c r="I1087" s="7" t="s">
        <v>507</v>
      </c>
      <c r="J1087" s="4"/>
      <c r="K1087" t="str">
        <f>IF(Tabla1[[#This Row],[Tipo]]="","",Tabla1[[#This Row],[ingreso]]/Tabla1[[#This Row],[Tipo]])</f>
        <v/>
      </c>
      <c r="M1087" s="44">
        <v>45023</v>
      </c>
      <c r="N1087" s="19">
        <v>798.85</v>
      </c>
      <c r="O1087" s="42">
        <v>10000</v>
      </c>
      <c r="P1087">
        <f t="shared" si="20"/>
        <v>1.3814042678899277E-2</v>
      </c>
      <c r="Q1087">
        <f t="shared" si="17"/>
        <v>11.035347994038688</v>
      </c>
      <c r="R1087" s="45">
        <f t="shared" si="18"/>
        <v>1.3814042678899277E-2</v>
      </c>
      <c r="U1087" s="43">
        <f t="shared" si="19"/>
        <v>7988500</v>
      </c>
    </row>
    <row r="1088" spans="1:24" x14ac:dyDescent="0.2">
      <c r="A1088">
        <f>COUNTIF($I$2:I1088,'[1]Detalle Pilotos'!$G$3)</f>
        <v>0</v>
      </c>
      <c r="B1088">
        <f t="shared" si="16"/>
        <v>1087</v>
      </c>
      <c r="C1088" s="9">
        <v>44959</v>
      </c>
      <c r="D1088" s="4" t="s">
        <v>537</v>
      </c>
      <c r="E1088" s="8">
        <v>127656</v>
      </c>
      <c r="F1088" s="3"/>
      <c r="G1088" s="7">
        <f>IF(Tabla1[[#This Row],[Fecha]]="","",G1087+Tabla1[[#This Row],[ingreso]]-Tabla1[[#This Row],[egreso]])</f>
        <v>670392.14429999888</v>
      </c>
      <c r="H1088" s="7"/>
      <c r="I1088" s="7"/>
      <c r="J1088" s="4"/>
      <c r="K1088" t="str">
        <f>IF(Tabla1[[#This Row],[Tipo]]="","",Tabla1[[#This Row],[ingreso]]/Tabla1[[#This Row],[Tipo]])</f>
        <v/>
      </c>
      <c r="M1088" s="44">
        <v>45040</v>
      </c>
      <c r="N1088" s="19">
        <v>800.25</v>
      </c>
      <c r="O1088" s="42">
        <v>10000</v>
      </c>
      <c r="P1088">
        <f t="shared" si="20"/>
        <v>1.3814042678899277E-2</v>
      </c>
      <c r="Q1088">
        <f t="shared" si="17"/>
        <v>11.054687653789147</v>
      </c>
      <c r="R1088" s="45">
        <f t="shared" si="18"/>
        <v>1.3814042678899277E-2</v>
      </c>
      <c r="U1088" s="43">
        <f t="shared" si="19"/>
        <v>8002500</v>
      </c>
    </row>
    <row r="1089" spans="1:21" x14ac:dyDescent="0.2">
      <c r="A1089">
        <f>COUNTIF($I$2:I1089,'[1]Detalle Pilotos'!$G$3)</f>
        <v>0</v>
      </c>
      <c r="B1089">
        <f t="shared" si="16"/>
        <v>1088</v>
      </c>
      <c r="C1089" s="9">
        <v>44960</v>
      </c>
      <c r="D1089" s="4" t="s">
        <v>237</v>
      </c>
      <c r="E1089" s="8"/>
      <c r="F1089" s="3">
        <v>4655100</v>
      </c>
      <c r="G1089" s="7">
        <f>IF(Tabla1[[#This Row],[Fecha]]="","",G1088+Tabla1[[#This Row],[ingreso]]-Tabla1[[#This Row],[egreso]])</f>
        <v>5325492.1442999989</v>
      </c>
      <c r="H1089" s="7">
        <v>6000</v>
      </c>
      <c r="I1089" s="7" t="s">
        <v>329</v>
      </c>
      <c r="J1089" s="4"/>
      <c r="K1089">
        <f>IF(Tabla1[[#This Row],[Tipo]]="","",Tabla1[[#This Row],[ingreso]]/Tabla1[[#This Row],[Tipo]])</f>
        <v>775.85</v>
      </c>
      <c r="M1089" s="44">
        <v>45088</v>
      </c>
      <c r="N1089" s="19">
        <v>777</v>
      </c>
      <c r="O1089" s="42">
        <v>3000</v>
      </c>
      <c r="P1089">
        <f t="shared" si="20"/>
        <v>4.144212803669783E-3</v>
      </c>
      <c r="Q1089">
        <f t="shared" si="17"/>
        <v>3.2200533484514215</v>
      </c>
      <c r="R1089" s="45">
        <f t="shared" si="18"/>
        <v>4.144212803669783E-3</v>
      </c>
      <c r="U1089" s="43">
        <f t="shared" si="19"/>
        <v>2331000</v>
      </c>
    </row>
    <row r="1090" spans="1:21" x14ac:dyDescent="0.2">
      <c r="A1090">
        <f>COUNTIF($I$2:I1090,'[1]Detalle Pilotos'!$G$3)</f>
        <v>0</v>
      </c>
      <c r="B1090">
        <f t="shared" si="16"/>
        <v>1089</v>
      </c>
      <c r="C1090" s="9">
        <v>44960</v>
      </c>
      <c r="D1090" s="4" t="s">
        <v>538</v>
      </c>
      <c r="E1090" s="8">
        <v>2881336</v>
      </c>
      <c r="F1090" s="3"/>
      <c r="G1090" s="7">
        <f>IF(Tabla1[[#This Row],[Fecha]]="","",G1089+Tabla1[[#This Row],[ingreso]]-Tabla1[[#This Row],[egreso]])</f>
        <v>2444156.1442999989</v>
      </c>
      <c r="H1090" s="7"/>
      <c r="I1090" s="7"/>
      <c r="J1090" s="4"/>
      <c r="K1090" t="str">
        <f>IF(Tabla1[[#This Row],[Tipo]]="","",Tabla1[[#This Row],[ingreso]]/Tabla1[[#This Row],[Tipo]])</f>
        <v/>
      </c>
      <c r="M1090" s="44">
        <v>45121</v>
      </c>
      <c r="N1090" s="19">
        <v>791.96</v>
      </c>
      <c r="O1090" s="42">
        <v>3000</v>
      </c>
      <c r="P1090">
        <f t="shared" si="20"/>
        <v>4.144212803669783E-3</v>
      </c>
      <c r="Q1090">
        <f t="shared" si="17"/>
        <v>3.2820507719943217</v>
      </c>
      <c r="R1090" s="45">
        <f t="shared" si="18"/>
        <v>4.144212803669783E-3</v>
      </c>
      <c r="U1090" s="43">
        <f t="shared" si="19"/>
        <v>2375880</v>
      </c>
    </row>
    <row r="1091" spans="1:21" x14ac:dyDescent="0.2">
      <c r="A1091">
        <f>COUNTIF($I$2:I1091,'[1]Detalle Pilotos'!$G$3)</f>
        <v>0</v>
      </c>
      <c r="B1091">
        <f t="shared" si="16"/>
        <v>1090</v>
      </c>
      <c r="C1091" s="9">
        <v>44960</v>
      </c>
      <c r="D1091" s="4" t="s">
        <v>539</v>
      </c>
      <c r="E1091" s="8">
        <v>112200</v>
      </c>
      <c r="F1091" s="3"/>
      <c r="G1091" s="7">
        <f>IF(Tabla1[[#This Row],[Fecha]]="","",G1090+Tabla1[[#This Row],[ingreso]]-Tabla1[[#This Row],[egreso]])</f>
        <v>2331956.1442999989</v>
      </c>
      <c r="H1091" s="7"/>
      <c r="I1091" s="7"/>
      <c r="J1091" s="4"/>
      <c r="K1091" t="str">
        <f>IF(Tabla1[[#This Row],[Tipo]]="","",Tabla1[[#This Row],[ingreso]]/Tabla1[[#This Row],[Tipo]])</f>
        <v/>
      </c>
      <c r="M1091" s="44">
        <v>45128</v>
      </c>
      <c r="N1091" s="19">
        <v>801.55</v>
      </c>
      <c r="O1091" s="42">
        <v>5000</v>
      </c>
      <c r="P1091">
        <f t="shared" si="20"/>
        <v>6.9070213394496387E-3</v>
      </c>
      <c r="Q1091">
        <f t="shared" si="17"/>
        <v>5.5363229546358577</v>
      </c>
      <c r="R1091" s="45">
        <f t="shared" si="18"/>
        <v>6.9070213394496387E-3</v>
      </c>
      <c r="U1091" s="43">
        <f t="shared" si="19"/>
        <v>4007750</v>
      </c>
    </row>
    <row r="1092" spans="1:21" x14ac:dyDescent="0.2">
      <c r="A1092">
        <f>COUNTIF($I$2:I1092,'[1]Detalle Pilotos'!$G$3)</f>
        <v>0</v>
      </c>
      <c r="B1092">
        <f t="shared" ref="B1092:B1155" si="21">IF(C1092="","",1+B1091)</f>
        <v>1091</v>
      </c>
      <c r="C1092" s="9">
        <v>44960</v>
      </c>
      <c r="D1092" s="4" t="s">
        <v>395</v>
      </c>
      <c r="E1092" s="8"/>
      <c r="F1092" s="3">
        <v>433500</v>
      </c>
      <c r="G1092" s="7">
        <f>IF(Tabla1[[#This Row],[Fecha]]="","",G1091+Tabla1[[#This Row],[ingreso]]-Tabla1[[#This Row],[egreso]])</f>
        <v>2765456.1442999989</v>
      </c>
      <c r="H1092" s="7"/>
      <c r="I1092" s="7"/>
      <c r="J1092" s="4"/>
      <c r="K1092" t="str">
        <f>IF(Tabla1[[#This Row],[Tipo]]="","",Tabla1[[#This Row],[ingreso]]/Tabla1[[#This Row],[Tipo]])</f>
        <v/>
      </c>
      <c r="M1092" s="44">
        <v>45138</v>
      </c>
      <c r="N1092" s="19">
        <v>818.75</v>
      </c>
      <c r="O1092" s="42">
        <v>8000</v>
      </c>
      <c r="P1092">
        <f t="shared" si="20"/>
        <v>1.1051234143119421E-2</v>
      </c>
      <c r="Q1092">
        <f t="shared" si="17"/>
        <v>9.0481979546790257</v>
      </c>
      <c r="R1092" s="45">
        <f t="shared" si="18"/>
        <v>1.1051234143119421E-2</v>
      </c>
      <c r="U1092" s="43">
        <f t="shared" si="19"/>
        <v>6550000</v>
      </c>
    </row>
    <row r="1093" spans="1:21" x14ac:dyDescent="0.2">
      <c r="A1093">
        <f>COUNTIF($I$2:I1093,'[1]Detalle Pilotos'!$G$3)</f>
        <v>0</v>
      </c>
      <c r="B1093">
        <f t="shared" si="21"/>
        <v>1092</v>
      </c>
      <c r="C1093" s="9">
        <v>44963</v>
      </c>
      <c r="D1093" s="4" t="s">
        <v>237</v>
      </c>
      <c r="E1093" s="8"/>
      <c r="F1093" s="3">
        <v>3931500</v>
      </c>
      <c r="G1093" s="7">
        <f>IF(Tabla1[[#This Row],[Fecha]]="","",G1092+Tabla1[[#This Row],[ingreso]]-Tabla1[[#This Row],[egreso]])</f>
        <v>6696956.1442999989</v>
      </c>
      <c r="H1093" s="7">
        <v>5000</v>
      </c>
      <c r="I1093" s="7" t="s">
        <v>329</v>
      </c>
      <c r="J1093" s="4"/>
      <c r="K1093">
        <f>IF(Tabla1[[#This Row],[Tipo]]="","",Tabla1[[#This Row],[ingreso]]/Tabla1[[#This Row],[Tipo]])</f>
        <v>786.3</v>
      </c>
      <c r="M1093" s="44">
        <v>45155</v>
      </c>
      <c r="N1093" s="19">
        <v>847.31</v>
      </c>
      <c r="O1093" s="42">
        <v>8000</v>
      </c>
      <c r="P1093">
        <f t="shared" si="20"/>
        <v>1.1051234143119421E-2</v>
      </c>
      <c r="Q1093">
        <f t="shared" si="17"/>
        <v>9.3638212018065161</v>
      </c>
      <c r="R1093" s="45">
        <f t="shared" si="18"/>
        <v>1.1051234143119421E-2</v>
      </c>
      <c r="U1093" s="43">
        <f t="shared" si="19"/>
        <v>6778480</v>
      </c>
    </row>
    <row r="1094" spans="1:21" x14ac:dyDescent="0.2">
      <c r="A1094">
        <f>COUNTIF($I$2:I1094,'[1]Detalle Pilotos'!$G$3)</f>
        <v>0</v>
      </c>
      <c r="B1094">
        <f t="shared" si="21"/>
        <v>1093</v>
      </c>
      <c r="C1094" s="9">
        <v>44963</v>
      </c>
      <c r="D1094" s="4" t="s">
        <v>540</v>
      </c>
      <c r="E1094" s="8">
        <v>4500000</v>
      </c>
      <c r="F1094" s="3"/>
      <c r="G1094" s="7">
        <f>IF(Tabla1[[#This Row],[Fecha]]="","",G1093+Tabla1[[#This Row],[ingreso]]-Tabla1[[#This Row],[egreso]])</f>
        <v>2196956.1442999989</v>
      </c>
      <c r="H1094" s="7"/>
      <c r="I1094" s="7"/>
      <c r="J1094" s="4"/>
      <c r="K1094" t="str">
        <f>IF(Tabla1[[#This Row],[Tipo]]="","",Tabla1[[#This Row],[ingreso]]/Tabla1[[#This Row],[Tipo]])</f>
        <v/>
      </c>
      <c r="M1094" s="44">
        <v>45230</v>
      </c>
      <c r="N1094" s="19">
        <f>17710000/20000</f>
        <v>885.5</v>
      </c>
      <c r="O1094" s="42">
        <v>20000</v>
      </c>
      <c r="P1094">
        <f t="shared" si="20"/>
        <v>2.7628085357798555E-2</v>
      </c>
      <c r="Q1094">
        <f t="shared" ref="Q1094:Q1119" si="22">N1094*P1094</f>
        <v>24.464669584330622</v>
      </c>
      <c r="R1094" s="45">
        <f t="shared" ref="R1094:R1128" si="23">P1094</f>
        <v>2.7628085357798555E-2</v>
      </c>
      <c r="U1094" s="43">
        <f t="shared" ref="U1094:U1129" si="24">N1094*O1094</f>
        <v>17710000</v>
      </c>
    </row>
    <row r="1095" spans="1:21" x14ac:dyDescent="0.2">
      <c r="A1095">
        <f>COUNTIF($I$2:I1095,'[1]Detalle Pilotos'!$G$3)</f>
        <v>0</v>
      </c>
      <c r="B1095">
        <f t="shared" si="21"/>
        <v>1094</v>
      </c>
      <c r="C1095" s="9">
        <v>44965</v>
      </c>
      <c r="D1095" s="4" t="s">
        <v>541</v>
      </c>
      <c r="E1095" s="8"/>
      <c r="F1095" s="3">
        <v>1229400</v>
      </c>
      <c r="G1095" s="7">
        <f>IF(Tabla1[[#This Row],[Fecha]]="","",G1094+Tabla1[[#This Row],[ingreso]]-Tabla1[[#This Row],[egreso]])</f>
        <v>3426356.1442999989</v>
      </c>
      <c r="H1095" s="7"/>
      <c r="I1095" s="7"/>
      <c r="J1095" s="4"/>
      <c r="K1095" t="str">
        <f>IF(Tabla1[[#This Row],[Tipo]]="","",Tabla1[[#This Row],[ingreso]]/Tabla1[[#This Row],[Tipo]])</f>
        <v/>
      </c>
      <c r="M1095" s="44">
        <v>45273</v>
      </c>
      <c r="N1095" s="19">
        <v>859.67</v>
      </c>
      <c r="O1095" s="42">
        <v>7000</v>
      </c>
      <c r="P1095">
        <f t="shared" ref="P1095:P1119" si="25">O1095/(SUM($O$1030:$O$1119))</f>
        <v>9.6698298752294944E-3</v>
      </c>
      <c r="Q1095">
        <f t="shared" si="22"/>
        <v>8.3128626488385393</v>
      </c>
      <c r="R1095" s="45">
        <f t="shared" si="23"/>
        <v>9.6698298752294944E-3</v>
      </c>
      <c r="U1095" s="43">
        <f t="shared" si="24"/>
        <v>6017690</v>
      </c>
    </row>
    <row r="1096" spans="1:21" x14ac:dyDescent="0.2">
      <c r="A1096">
        <f>COUNTIF($I$2:I1096,'[1]Detalle Pilotos'!$G$3)</f>
        <v>0</v>
      </c>
      <c r="B1096">
        <f t="shared" si="21"/>
        <v>1095</v>
      </c>
      <c r="C1096" s="9">
        <v>44965</v>
      </c>
      <c r="D1096" s="4" t="s">
        <v>539</v>
      </c>
      <c r="E1096" s="39">
        <v>141000</v>
      </c>
      <c r="F1096" s="3"/>
      <c r="G1096" s="7">
        <f>IF(Tabla1[[#This Row],[Fecha]]="","",G1095+Tabla1[[#This Row],[ingreso]]-Tabla1[[#This Row],[egreso]])</f>
        <v>3285356.1442999989</v>
      </c>
      <c r="H1096" s="7"/>
      <c r="I1096" s="7"/>
      <c r="J1096" s="4"/>
      <c r="K1096" t="str">
        <f>IF(Tabla1[[#This Row],[Tipo]]="","",Tabla1[[#This Row],[ingreso]]/Tabla1[[#This Row],[Tipo]])</f>
        <v/>
      </c>
      <c r="M1096" s="44">
        <v>45281</v>
      </c>
      <c r="N1096" s="19">
        <v>863.31</v>
      </c>
      <c r="O1096" s="42">
        <v>15000</v>
      </c>
      <c r="P1096">
        <f t="shared" si="25"/>
        <v>2.0721064018348917E-2</v>
      </c>
      <c r="Q1096">
        <f t="shared" si="22"/>
        <v>17.888701777680801</v>
      </c>
      <c r="R1096" s="45">
        <f t="shared" si="23"/>
        <v>2.0721064018348917E-2</v>
      </c>
      <c r="U1096" s="43">
        <f t="shared" si="24"/>
        <v>12949650</v>
      </c>
    </row>
    <row r="1097" spans="1:21" x14ac:dyDescent="0.2">
      <c r="A1097">
        <f>COUNTIF($I$2:I1097,'[1]Detalle Pilotos'!$G$3)</f>
        <v>0</v>
      </c>
      <c r="B1097">
        <f t="shared" si="21"/>
        <v>1096</v>
      </c>
      <c r="C1097" s="9">
        <v>44965</v>
      </c>
      <c r="D1097" s="4" t="s">
        <v>542</v>
      </c>
      <c r="E1097" s="39">
        <v>65000</v>
      </c>
      <c r="F1097" s="3"/>
      <c r="G1097" s="7">
        <f>IF(Tabla1[[#This Row],[Fecha]]="","",G1096+Tabla1[[#This Row],[ingreso]]-Tabla1[[#This Row],[egreso]])</f>
        <v>3220356.1442999989</v>
      </c>
      <c r="H1097" s="7"/>
      <c r="I1097" s="7"/>
      <c r="J1097" s="4"/>
      <c r="K1097" t="str">
        <f>IF(Tabla1[[#This Row],[Tipo]]="","",Tabla1[[#This Row],[ingreso]]/Tabla1[[#This Row],[Tipo]])</f>
        <v/>
      </c>
      <c r="M1097" s="44">
        <v>45294</v>
      </c>
      <c r="N1097" s="19">
        <v>871.9</v>
      </c>
      <c r="O1097" s="42">
        <v>9000</v>
      </c>
      <c r="P1097">
        <f t="shared" si="25"/>
        <v>1.2432638411009349E-2</v>
      </c>
      <c r="Q1097">
        <f t="shared" si="22"/>
        <v>10.840017430559051</v>
      </c>
      <c r="R1097" s="45">
        <f t="shared" si="23"/>
        <v>1.2432638411009349E-2</v>
      </c>
      <c r="U1097" s="43">
        <f t="shared" si="24"/>
        <v>7847100</v>
      </c>
    </row>
    <row r="1098" spans="1:21" x14ac:dyDescent="0.2">
      <c r="A1098">
        <f>COUNTIF($I$2:I1098,'[1]Detalle Pilotos'!$G$3)</f>
        <v>0</v>
      </c>
      <c r="B1098">
        <f t="shared" si="21"/>
        <v>1097</v>
      </c>
      <c r="C1098" s="9">
        <v>44966</v>
      </c>
      <c r="D1098" s="4" t="s">
        <v>528</v>
      </c>
      <c r="E1098" s="8"/>
      <c r="F1098" s="3">
        <v>294300</v>
      </c>
      <c r="G1098" s="7">
        <f>IF(Tabla1[[#This Row],[Fecha]]="","",G1097+Tabla1[[#This Row],[ingreso]]-Tabla1[[#This Row],[egreso]])</f>
        <v>3514656.1442999989</v>
      </c>
      <c r="H1098" s="7"/>
      <c r="I1098" s="7" t="s">
        <v>529</v>
      </c>
      <c r="J1098" s="4"/>
      <c r="K1098" t="str">
        <f>IF(Tabla1[[#This Row],[Tipo]]="","",Tabla1[[#This Row],[ingreso]]/Tabla1[[#This Row],[Tipo]])</f>
        <v/>
      </c>
      <c r="M1098" s="44">
        <v>45320</v>
      </c>
      <c r="N1098" s="19">
        <f>18219200/20000</f>
        <v>910.96</v>
      </c>
      <c r="O1098" s="42">
        <v>20000</v>
      </c>
      <c r="P1098">
        <f t="shared" si="25"/>
        <v>2.7628085357798555E-2</v>
      </c>
      <c r="Q1098">
        <f t="shared" si="22"/>
        <v>25.168080637540172</v>
      </c>
      <c r="R1098" s="45">
        <f t="shared" si="23"/>
        <v>2.7628085357798555E-2</v>
      </c>
      <c r="U1098" s="43">
        <f t="shared" si="24"/>
        <v>18219200</v>
      </c>
    </row>
    <row r="1099" spans="1:21" x14ac:dyDescent="0.2">
      <c r="A1099">
        <f>COUNTIF($I$2:I1099,'[1]Detalle Pilotos'!$G$3)</f>
        <v>0</v>
      </c>
      <c r="B1099">
        <f t="shared" si="21"/>
        <v>1098</v>
      </c>
      <c r="C1099" s="9">
        <v>44967</v>
      </c>
      <c r="D1099" s="4" t="s">
        <v>543</v>
      </c>
      <c r="E1099" s="39">
        <v>159000</v>
      </c>
      <c r="F1099" s="3"/>
      <c r="G1099" s="7">
        <f>IF(Tabla1[[#This Row],[Fecha]]="","",G1098+Tabla1[[#This Row],[ingreso]]-Tabla1[[#This Row],[egreso]])</f>
        <v>3355656.1442999989</v>
      </c>
      <c r="H1099" s="7"/>
      <c r="I1099" s="7"/>
      <c r="J1099" s="4"/>
      <c r="K1099" t="str">
        <f>IF(Tabla1[[#This Row],[Tipo]]="","",Tabla1[[#This Row],[ingreso]]/Tabla1[[#This Row],[Tipo]])</f>
        <v/>
      </c>
      <c r="M1099" s="44">
        <v>45330</v>
      </c>
      <c r="N1099" s="19">
        <v>945.15</v>
      </c>
      <c r="O1099" s="42">
        <v>23000</v>
      </c>
      <c r="P1099">
        <f t="shared" si="25"/>
        <v>3.1772298161468336E-2</v>
      </c>
      <c r="Q1099">
        <f t="shared" si="22"/>
        <v>30.029587607311797</v>
      </c>
      <c r="R1099" s="45">
        <f t="shared" si="23"/>
        <v>3.1772298161468336E-2</v>
      </c>
      <c r="U1099" s="43">
        <f t="shared" si="24"/>
        <v>21738450</v>
      </c>
    </row>
    <row r="1100" spans="1:21" x14ac:dyDescent="0.2">
      <c r="A1100">
        <f>COUNTIF($I$2:I1100,'[1]Detalle Pilotos'!$G$3)</f>
        <v>0</v>
      </c>
      <c r="B1100">
        <f t="shared" si="21"/>
        <v>1099</v>
      </c>
      <c r="C1100" s="9">
        <v>44967</v>
      </c>
      <c r="D1100" s="4" t="s">
        <v>237</v>
      </c>
      <c r="E1100" s="8"/>
      <c r="F1100" s="3">
        <v>3895500</v>
      </c>
      <c r="G1100" s="7">
        <f>IF(Tabla1[[#This Row],[Fecha]]="","",G1099+Tabla1[[#This Row],[ingreso]]-Tabla1[[#This Row],[egreso]])</f>
        <v>7251156.1442999989</v>
      </c>
      <c r="H1100" s="7">
        <v>5000</v>
      </c>
      <c r="I1100" s="7" t="s">
        <v>329</v>
      </c>
      <c r="J1100" s="4"/>
      <c r="K1100">
        <f>IF(Tabla1[[#This Row],[Tipo]]="","",Tabla1[[#This Row],[ingreso]]/Tabla1[[#This Row],[Tipo]])</f>
        <v>779.1</v>
      </c>
      <c r="M1100" s="44">
        <v>45331</v>
      </c>
      <c r="N1100" s="19">
        <v>958</v>
      </c>
      <c r="O1100" s="42">
        <v>25000</v>
      </c>
      <c r="P1100">
        <f t="shared" si="25"/>
        <v>3.4535106697248193E-2</v>
      </c>
      <c r="Q1100">
        <f t="shared" si="22"/>
        <v>33.084632215963765</v>
      </c>
      <c r="R1100" s="45">
        <f t="shared" si="23"/>
        <v>3.4535106697248193E-2</v>
      </c>
      <c r="U1100" s="43">
        <f t="shared" si="24"/>
        <v>23950000</v>
      </c>
    </row>
    <row r="1101" spans="1:21" x14ac:dyDescent="0.2">
      <c r="A1101">
        <f>COUNTIF($I$2:I1101,'[1]Detalle Pilotos'!$G$3)</f>
        <v>0</v>
      </c>
      <c r="B1101">
        <f t="shared" si="21"/>
        <v>1100</v>
      </c>
      <c r="C1101" s="9">
        <v>44967</v>
      </c>
      <c r="D1101" s="4" t="s">
        <v>544</v>
      </c>
      <c r="E1101" s="8">
        <v>4500000</v>
      </c>
      <c r="F1101" s="3"/>
      <c r="G1101" s="7">
        <f>IF(Tabla1[[#This Row],[Fecha]]="","",G1100+Tabla1[[#This Row],[ingreso]]-Tabla1[[#This Row],[egreso]])</f>
        <v>2751156.1442999989</v>
      </c>
      <c r="H1101" s="7"/>
      <c r="I1101" s="7"/>
      <c r="J1101" s="4"/>
      <c r="K1101" t="str">
        <f>IF(Tabla1[[#This Row],[Tipo]]="","",Tabla1[[#This Row],[ingreso]]/Tabla1[[#This Row],[Tipo]])</f>
        <v/>
      </c>
      <c r="M1101" s="44">
        <v>45334</v>
      </c>
      <c r="N1101" s="19">
        <v>958.3</v>
      </c>
      <c r="O1101" s="42">
        <v>30000</v>
      </c>
      <c r="P1101">
        <f t="shared" si="25"/>
        <v>4.1442128036697834E-2</v>
      </c>
      <c r="Q1101">
        <f t="shared" si="22"/>
        <v>39.713991297567532</v>
      </c>
      <c r="R1101" s="45">
        <f t="shared" si="23"/>
        <v>4.1442128036697834E-2</v>
      </c>
      <c r="U1101" s="43">
        <f t="shared" si="24"/>
        <v>28749000</v>
      </c>
    </row>
    <row r="1102" spans="1:21" x14ac:dyDescent="0.2">
      <c r="A1102">
        <f>COUNTIF($I$2:I1102,'[1]Detalle Pilotos'!$G$3)</f>
        <v>0</v>
      </c>
      <c r="B1102">
        <f t="shared" si="21"/>
        <v>1101</v>
      </c>
      <c r="C1102" s="9">
        <v>44965</v>
      </c>
      <c r="D1102" s="4" t="s">
        <v>237</v>
      </c>
      <c r="E1102" s="8"/>
      <c r="F1102" s="3">
        <v>2000000</v>
      </c>
      <c r="G1102" s="7">
        <f>IF(Tabla1[[#This Row],[Fecha]]="","",G1101+Tabla1[[#This Row],[ingreso]]-Tabla1[[#This Row],[egreso]])</f>
        <v>4751156.1442999989</v>
      </c>
      <c r="H1102" s="7"/>
      <c r="I1102" s="7"/>
      <c r="J1102" s="4"/>
      <c r="K1102" t="str">
        <f>IF(Tabla1[[#This Row],[Tipo]]="","",Tabla1[[#This Row],[ingreso]]/Tabla1[[#This Row],[Tipo]])</f>
        <v/>
      </c>
      <c r="M1102" s="44">
        <v>45337</v>
      </c>
      <c r="N1102" s="19">
        <v>948.15</v>
      </c>
      <c r="O1102" s="42">
        <v>40000</v>
      </c>
      <c r="P1102">
        <f t="shared" si="25"/>
        <v>5.525617071559711E-2</v>
      </c>
      <c r="Q1102">
        <f t="shared" si="22"/>
        <v>52.391138263993398</v>
      </c>
      <c r="R1102" s="45">
        <f t="shared" si="23"/>
        <v>5.525617071559711E-2</v>
      </c>
      <c r="U1102" s="43">
        <f t="shared" si="24"/>
        <v>37926000</v>
      </c>
    </row>
    <row r="1103" spans="1:21" x14ac:dyDescent="0.2">
      <c r="A1103">
        <f>COUNTIF($I$2:I1103,'[1]Detalle Pilotos'!$G$3)</f>
        <v>0</v>
      </c>
      <c r="B1103">
        <f t="shared" si="21"/>
        <v>1102</v>
      </c>
      <c r="C1103" s="40">
        <v>44965</v>
      </c>
      <c r="D1103" s="41" t="s">
        <v>545</v>
      </c>
      <c r="E1103" s="8">
        <v>2000000</v>
      </c>
      <c r="F1103" s="3"/>
      <c r="G1103" s="7">
        <f>IF(Tabla1[[#This Row],[Fecha]]="","",G1102+Tabla1[[#This Row],[ingreso]]-Tabla1[[#This Row],[egreso]])</f>
        <v>2751156.1442999989</v>
      </c>
      <c r="H1103" s="7"/>
      <c r="I1103" s="7"/>
      <c r="J1103" s="4"/>
      <c r="K1103" t="str">
        <f>IF(Tabla1[[#This Row],[Tipo]]="","",Tabla1[[#This Row],[ingreso]]/Tabla1[[#This Row],[Tipo]])</f>
        <v/>
      </c>
      <c r="M1103" s="44">
        <v>45352</v>
      </c>
      <c r="N1103" s="19">
        <v>952.53</v>
      </c>
      <c r="O1103" s="42">
        <v>25000</v>
      </c>
      <c r="P1103">
        <f t="shared" si="25"/>
        <v>3.4535106697248193E-2</v>
      </c>
      <c r="Q1103">
        <f t="shared" si="22"/>
        <v>32.895725182329819</v>
      </c>
      <c r="R1103" s="45">
        <f t="shared" si="23"/>
        <v>3.4535106697248193E-2</v>
      </c>
      <c r="U1103" s="43">
        <f t="shared" si="24"/>
        <v>23813250</v>
      </c>
    </row>
    <row r="1104" spans="1:21" x14ac:dyDescent="0.2">
      <c r="A1104">
        <f>COUNTIF($I$2:I1104,'[1]Detalle Pilotos'!$G$3)</f>
        <v>0</v>
      </c>
      <c r="B1104">
        <f t="shared" si="21"/>
        <v>1103</v>
      </c>
      <c r="C1104" s="9">
        <v>44970</v>
      </c>
      <c r="D1104" s="4" t="s">
        <v>266</v>
      </c>
      <c r="E1104" s="8">
        <v>96300</v>
      </c>
      <c r="F1104" s="3"/>
      <c r="G1104" s="7">
        <f>IF(Tabla1[[#This Row],[Fecha]]="","",G1103+Tabla1[[#This Row],[ingreso]]-Tabla1[[#This Row],[egreso]])</f>
        <v>2654856.1442999989</v>
      </c>
      <c r="H1104" s="7"/>
      <c r="I1104" s="7"/>
      <c r="J1104" s="4"/>
      <c r="K1104" t="str">
        <f>IF(Tabla1[[#This Row],[Tipo]]="","",Tabla1[[#This Row],[ingreso]]/Tabla1[[#This Row],[Tipo]])</f>
        <v/>
      </c>
      <c r="M1104" s="44">
        <v>45365</v>
      </c>
      <c r="N1104" s="19">
        <f>12980520/14000</f>
        <v>927.18</v>
      </c>
      <c r="O1104" s="42">
        <v>14000</v>
      </c>
      <c r="P1104">
        <f t="shared" si="25"/>
        <v>1.9339659750458989E-2</v>
      </c>
      <c r="Q1104">
        <f t="shared" si="22"/>
        <v>17.931345727430564</v>
      </c>
      <c r="R1104" s="45">
        <f t="shared" si="23"/>
        <v>1.9339659750458989E-2</v>
      </c>
      <c r="U1104" s="43">
        <f t="shared" si="24"/>
        <v>12980520</v>
      </c>
    </row>
    <row r="1105" spans="1:28" x14ac:dyDescent="0.2">
      <c r="A1105">
        <f>COUNTIF($I$2:I1105,'[1]Detalle Pilotos'!$G$3)</f>
        <v>0</v>
      </c>
      <c r="B1105">
        <f t="shared" si="21"/>
        <v>1104</v>
      </c>
      <c r="C1105" s="9">
        <v>44970</v>
      </c>
      <c r="D1105" s="4" t="s">
        <v>166</v>
      </c>
      <c r="E1105" s="8"/>
      <c r="F1105" s="3">
        <v>179420</v>
      </c>
      <c r="G1105" s="7">
        <f>IF(Tabla1[[#This Row],[Fecha]]="","",G1104+Tabla1[[#This Row],[ingreso]]-Tabla1[[#This Row],[egreso]])</f>
        <v>2834276.1442999989</v>
      </c>
      <c r="H1105" s="7"/>
      <c r="I1105" s="7" t="s">
        <v>167</v>
      </c>
      <c r="J1105" s="4"/>
      <c r="K1105" t="str">
        <f>IF(Tabla1[[#This Row],[Tipo]]="","",Tabla1[[#This Row],[ingreso]]/Tabla1[[#This Row],[Tipo]])</f>
        <v/>
      </c>
      <c r="M1105" s="44">
        <v>45373</v>
      </c>
      <c r="N1105" s="19">
        <f>19309600/O1105</f>
        <v>965.48</v>
      </c>
      <c r="O1105" s="42">
        <v>20000</v>
      </c>
      <c r="P1105">
        <f t="shared" si="25"/>
        <v>2.7628085357798555E-2</v>
      </c>
      <c r="Q1105">
        <f t="shared" si="22"/>
        <v>26.67436385124735</v>
      </c>
      <c r="R1105" s="45">
        <f t="shared" si="23"/>
        <v>2.7628085357798555E-2</v>
      </c>
      <c r="U1105" s="43">
        <f t="shared" si="24"/>
        <v>19309600</v>
      </c>
    </row>
    <row r="1106" spans="1:28" x14ac:dyDescent="0.2">
      <c r="A1106">
        <f>COUNTIF($I$2:I1106,'[1]Detalle Pilotos'!$G$3)</f>
        <v>0</v>
      </c>
      <c r="B1106">
        <f t="shared" si="21"/>
        <v>1105</v>
      </c>
      <c r="C1106" s="9">
        <v>44970</v>
      </c>
      <c r="D1106" s="4" t="s">
        <v>546</v>
      </c>
      <c r="E1106" s="8"/>
      <c r="F1106" s="3">
        <v>189000</v>
      </c>
      <c r="G1106" s="7">
        <f>IF(Tabla1[[#This Row],[Fecha]]="","",G1105+Tabla1[[#This Row],[ingreso]]-Tabla1[[#This Row],[egreso]])</f>
        <v>3023276.1442999989</v>
      </c>
      <c r="H1106" s="7"/>
      <c r="I1106" s="7" t="s">
        <v>64</v>
      </c>
      <c r="J1106" s="4"/>
      <c r="K1106" t="str">
        <f>IF(Tabla1[[#This Row],[Tipo]]="","",Tabla1[[#This Row],[ingreso]]/Tabla1[[#This Row],[Tipo]])</f>
        <v/>
      </c>
      <c r="M1106" s="44">
        <v>45386</v>
      </c>
      <c r="N1106" s="19">
        <v>919.15</v>
      </c>
      <c r="O1106" s="42">
        <v>45000</v>
      </c>
      <c r="P1106">
        <f t="shared" si="25"/>
        <v>6.2163192055046744E-2</v>
      </c>
      <c r="Q1106">
        <f t="shared" si="22"/>
        <v>57.137297977396216</v>
      </c>
      <c r="R1106" s="45">
        <f t="shared" si="23"/>
        <v>6.2163192055046744E-2</v>
      </c>
      <c r="U1106" s="43">
        <f t="shared" si="24"/>
        <v>41361750</v>
      </c>
    </row>
    <row r="1107" spans="1:28" x14ac:dyDescent="0.2">
      <c r="A1107">
        <f>COUNTIF($I$2:I1107,'[1]Detalle Pilotos'!$G$3)</f>
        <v>0</v>
      </c>
      <c r="B1107">
        <f t="shared" si="21"/>
        <v>1106</v>
      </c>
      <c r="C1107" s="9">
        <v>45274</v>
      </c>
      <c r="D1107" s="4" t="s">
        <v>547</v>
      </c>
      <c r="E1107" s="8"/>
      <c r="F1107" s="3">
        <v>40000</v>
      </c>
      <c r="G1107" s="7">
        <f>IF(Tabla1[[#This Row],[Fecha]]="","",G1106+Tabla1[[#This Row],[ingreso]]-Tabla1[[#This Row],[egreso]])</f>
        <v>3063276.1442999989</v>
      </c>
      <c r="H1107" s="7"/>
      <c r="I1107" s="7" t="s">
        <v>16</v>
      </c>
      <c r="J1107" s="4"/>
      <c r="K1107" t="str">
        <f>IF(Tabla1[[#This Row],[Tipo]]="","",Tabla1[[#This Row],[ingreso]]/Tabla1[[#This Row],[Tipo]])</f>
        <v/>
      </c>
      <c r="M1107" s="44">
        <v>45405</v>
      </c>
      <c r="N1107" s="19">
        <v>931.7</v>
      </c>
      <c r="O1107" s="42">
        <v>12000</v>
      </c>
      <c r="P1107">
        <f t="shared" si="25"/>
        <v>1.6576851214679132E-2</v>
      </c>
      <c r="Q1107">
        <f t="shared" si="22"/>
        <v>15.444652276716548</v>
      </c>
      <c r="R1107" s="45">
        <f t="shared" si="23"/>
        <v>1.6576851214679132E-2</v>
      </c>
      <c r="U1107" s="43">
        <f t="shared" si="24"/>
        <v>11180400</v>
      </c>
    </row>
    <row r="1108" spans="1:28" x14ac:dyDescent="0.2">
      <c r="A1108">
        <f>COUNTIF($I$2:I1108,'[1]Detalle Pilotos'!$G$3)</f>
        <v>0</v>
      </c>
      <c r="B1108">
        <f t="shared" si="21"/>
        <v>1107</v>
      </c>
      <c r="C1108" s="9">
        <v>45274</v>
      </c>
      <c r="D1108" s="4" t="s">
        <v>543</v>
      </c>
      <c r="E1108" s="8">
        <v>162000</v>
      </c>
      <c r="F1108" s="3"/>
      <c r="G1108" s="7">
        <f>IF(Tabla1[[#This Row],[Fecha]]="","",G1107+Tabla1[[#This Row],[ingreso]]-Tabla1[[#This Row],[egreso]])</f>
        <v>2901276.1442999989</v>
      </c>
      <c r="H1108" s="7"/>
      <c r="I1108" s="7"/>
      <c r="J1108" s="4"/>
      <c r="K1108" t="str">
        <f>IF(Tabla1[[#This Row],[Tipo]]="","",Tabla1[[#This Row],[ingreso]]/Tabla1[[#This Row],[Tipo]])</f>
        <v/>
      </c>
      <c r="M1108" s="44">
        <v>45415</v>
      </c>
      <c r="N1108" s="19">
        <v>923.75</v>
      </c>
      <c r="O1108" s="42">
        <v>2500</v>
      </c>
      <c r="P1108">
        <f t="shared" si="25"/>
        <v>3.4535106697248194E-3</v>
      </c>
      <c r="Q1108">
        <f t="shared" si="22"/>
        <v>3.1901804811583019</v>
      </c>
      <c r="R1108" s="45">
        <f t="shared" si="23"/>
        <v>3.4535106697248194E-3</v>
      </c>
      <c r="U1108" s="43">
        <f t="shared" si="24"/>
        <v>2309375</v>
      </c>
    </row>
    <row r="1109" spans="1:28" x14ac:dyDescent="0.2">
      <c r="A1109">
        <f>COUNTIF($I$2:I1109,'[1]Detalle Pilotos'!$G$3)</f>
        <v>0</v>
      </c>
      <c r="B1109">
        <f t="shared" si="21"/>
        <v>1108</v>
      </c>
      <c r="C1109" s="9">
        <v>45274</v>
      </c>
      <c r="D1109" s="4" t="s">
        <v>539</v>
      </c>
      <c r="E1109" s="8">
        <v>162000</v>
      </c>
      <c r="F1109" s="3"/>
      <c r="G1109" s="7">
        <f>IF(Tabla1[[#This Row],[Fecha]]="","",G1108+Tabla1[[#This Row],[ingreso]]-Tabla1[[#This Row],[egreso]])</f>
        <v>2739276.1442999989</v>
      </c>
      <c r="H1109" s="7"/>
      <c r="I1109" s="7"/>
      <c r="J1109" s="4"/>
      <c r="K1109" t="str">
        <f>IF(Tabla1[[#This Row],[Tipo]]="","",Tabla1[[#This Row],[ingreso]]/Tabla1[[#This Row],[Tipo]])</f>
        <v/>
      </c>
      <c r="M1109" s="44">
        <v>45421</v>
      </c>
      <c r="N1109" s="19">
        <v>904</v>
      </c>
      <c r="O1109" s="42">
        <v>20000</v>
      </c>
      <c r="P1109">
        <f t="shared" si="25"/>
        <v>2.7628085357798555E-2</v>
      </c>
      <c r="Q1109">
        <f t="shared" si="22"/>
        <v>24.975789163449893</v>
      </c>
      <c r="R1109" s="45">
        <f t="shared" si="23"/>
        <v>2.7628085357798555E-2</v>
      </c>
      <c r="U1109" s="43">
        <f t="shared" si="24"/>
        <v>18080000</v>
      </c>
    </row>
    <row r="1110" spans="1:28" x14ac:dyDescent="0.2">
      <c r="A1110">
        <f>COUNTIF($I$2:I1110,'[1]Detalle Pilotos'!$G$3)</f>
        <v>0</v>
      </c>
      <c r="B1110">
        <f t="shared" si="21"/>
        <v>1109</v>
      </c>
      <c r="C1110" s="9">
        <v>45274</v>
      </c>
      <c r="D1110" s="4" t="s">
        <v>539</v>
      </c>
      <c r="E1110" s="8">
        <v>20000</v>
      </c>
      <c r="F1110" s="3"/>
      <c r="G1110" s="7">
        <f>IF(Tabla1[[#This Row],[Fecha]]="","",G1109+Tabla1[[#This Row],[ingreso]]-Tabla1[[#This Row],[egreso]])</f>
        <v>2719276.1442999989</v>
      </c>
      <c r="H1110" s="7"/>
      <c r="I1110" s="7"/>
      <c r="J1110" s="4"/>
      <c r="K1110" t="str">
        <f>IF(Tabla1[[#This Row],[Tipo]]="","",Tabla1[[#This Row],[ingreso]]/Tabla1[[#This Row],[Tipo]])</f>
        <v/>
      </c>
      <c r="M1110" s="44">
        <v>45429</v>
      </c>
      <c r="N1110" s="19">
        <v>869</v>
      </c>
      <c r="O1110" s="42">
        <v>15000</v>
      </c>
      <c r="P1110">
        <f t="shared" si="25"/>
        <v>2.0721064018348917E-2</v>
      </c>
      <c r="Q1110">
        <f t="shared" si="22"/>
        <v>18.006604631945208</v>
      </c>
      <c r="R1110" s="45">
        <f t="shared" si="23"/>
        <v>2.0721064018348917E-2</v>
      </c>
      <c r="U1110" s="43">
        <f t="shared" si="24"/>
        <v>13035000</v>
      </c>
    </row>
    <row r="1111" spans="1:28" x14ac:dyDescent="0.2">
      <c r="A1111">
        <f>COUNTIF($I$2:I1111,'[1]Detalle Pilotos'!$G$3)</f>
        <v>0</v>
      </c>
      <c r="B1111">
        <f t="shared" si="21"/>
        <v>1110</v>
      </c>
      <c r="C1111" s="9">
        <v>44972</v>
      </c>
      <c r="D1111" s="4" t="s">
        <v>548</v>
      </c>
      <c r="E1111" s="8"/>
      <c r="F1111" s="3">
        <v>113700</v>
      </c>
      <c r="G1111" s="7">
        <f>IF(Tabla1[[#This Row],[Fecha]]="","",G1110+Tabla1[[#This Row],[ingreso]]-Tabla1[[#This Row],[egreso]])</f>
        <v>2832976.1442999989</v>
      </c>
      <c r="H1111" s="7"/>
      <c r="I1111" s="7" t="s">
        <v>13</v>
      </c>
      <c r="J1111" s="4"/>
      <c r="K1111" t="str">
        <f>IF(Tabla1[[#This Row],[Tipo]]="","",Tabla1[[#This Row],[ingreso]]/Tabla1[[#This Row],[Tipo]])</f>
        <v/>
      </c>
      <c r="L1111" t="s">
        <v>549</v>
      </c>
      <c r="M1111" s="44">
        <v>45485</v>
      </c>
      <c r="N1111" s="19">
        <v>893.65</v>
      </c>
      <c r="O1111" s="50">
        <v>5000</v>
      </c>
      <c r="P1111">
        <f t="shared" si="25"/>
        <v>6.9070213394496387E-3</v>
      </c>
      <c r="Q1111">
        <f t="shared" si="22"/>
        <v>6.1724596199991693</v>
      </c>
      <c r="R1111" s="45">
        <f t="shared" si="23"/>
        <v>6.9070213394496387E-3</v>
      </c>
      <c r="U1111" s="43">
        <f t="shared" si="24"/>
        <v>4468250</v>
      </c>
      <c r="W1111" s="17"/>
    </row>
    <row r="1112" spans="1:28" x14ac:dyDescent="0.2">
      <c r="A1112">
        <f>COUNTIF($I$2:I1112,'[1]Detalle Pilotos'!$G$3)</f>
        <v>0</v>
      </c>
      <c r="B1112">
        <f t="shared" si="21"/>
        <v>1111</v>
      </c>
      <c r="C1112" s="9">
        <v>44972</v>
      </c>
      <c r="D1112" s="4" t="s">
        <v>550</v>
      </c>
      <c r="E1112" s="8"/>
      <c r="F1112" s="3">
        <v>3911000</v>
      </c>
      <c r="G1112" s="7">
        <f>IF(Tabla1[[#This Row],[Fecha]]="","",G1111+Tabla1[[#This Row],[ingreso]]-Tabla1[[#This Row],[egreso]])</f>
        <v>6743976.1442999989</v>
      </c>
      <c r="H1112" s="7">
        <v>5000</v>
      </c>
      <c r="I1112" s="7" t="s">
        <v>329</v>
      </c>
      <c r="J1112" s="4"/>
      <c r="K1112">
        <f>IF(Tabla1[[#This Row],[Tipo]]="","",Tabla1[[#This Row],[ingreso]]/Tabla1[[#This Row],[Tipo]])</f>
        <v>782.2</v>
      </c>
      <c r="L1112" t="s">
        <v>549</v>
      </c>
      <c r="M1112" s="44">
        <v>45502</v>
      </c>
      <c r="N1112" s="19">
        <v>940.65</v>
      </c>
      <c r="O1112" s="50">
        <v>5000</v>
      </c>
      <c r="P1112">
        <f t="shared" si="25"/>
        <v>6.9070213394496387E-3</v>
      </c>
      <c r="Q1112">
        <f t="shared" si="22"/>
        <v>6.4970896229533022</v>
      </c>
      <c r="R1112" s="45">
        <f t="shared" si="23"/>
        <v>6.9070213394496387E-3</v>
      </c>
      <c r="U1112" s="43">
        <f t="shared" si="24"/>
        <v>4703250</v>
      </c>
    </row>
    <row r="1113" spans="1:28" x14ac:dyDescent="0.2">
      <c r="A1113">
        <f>COUNTIF($I$2:I1113,'[1]Detalle Pilotos'!$G$3)</f>
        <v>0</v>
      </c>
      <c r="B1113">
        <f t="shared" si="21"/>
        <v>1112</v>
      </c>
      <c r="C1113" s="9">
        <v>44972</v>
      </c>
      <c r="D1113" s="4" t="s">
        <v>356</v>
      </c>
      <c r="E1113" s="8">
        <v>1540025</v>
      </c>
      <c r="F1113" s="3"/>
      <c r="G1113" s="7">
        <f>IF(Tabla1[[#This Row],[Fecha]]="","",G1112+Tabla1[[#This Row],[ingreso]]-Tabla1[[#This Row],[egreso]])</f>
        <v>5203951.1442999989</v>
      </c>
      <c r="H1113" s="7"/>
      <c r="I1113" s="7"/>
      <c r="J1113" s="4"/>
      <c r="K1113" t="str">
        <f>IF(Tabla1[[#This Row],[Tipo]]="","",Tabla1[[#This Row],[ingreso]]/Tabla1[[#This Row],[Tipo]])</f>
        <v/>
      </c>
      <c r="L1113" t="s">
        <v>549</v>
      </c>
      <c r="M1113" s="44">
        <v>45519</v>
      </c>
      <c r="N1113" s="19">
        <v>911.5</v>
      </c>
      <c r="O1113" s="50">
        <v>5000</v>
      </c>
      <c r="P1113">
        <f t="shared" si="25"/>
        <v>6.9070213394496387E-3</v>
      </c>
      <c r="Q1113">
        <f t="shared" si="22"/>
        <v>6.2957499509083457</v>
      </c>
      <c r="R1113" s="45">
        <f t="shared" si="23"/>
        <v>6.9070213394496387E-3</v>
      </c>
      <c r="U1113" s="43">
        <f t="shared" si="24"/>
        <v>4557500</v>
      </c>
    </row>
    <row r="1114" spans="1:28" x14ac:dyDescent="0.2">
      <c r="A1114">
        <f>COUNTIF($I$2:I1114,'[1]Detalle Pilotos'!$G$3)</f>
        <v>0</v>
      </c>
      <c r="B1114">
        <f t="shared" si="21"/>
        <v>1113</v>
      </c>
      <c r="C1114" s="9">
        <v>44972</v>
      </c>
      <c r="D1114" s="4" t="s">
        <v>356</v>
      </c>
      <c r="E1114" s="8">
        <v>3000000</v>
      </c>
      <c r="F1114" s="3"/>
      <c r="G1114" s="7">
        <f>IF(Tabla1[[#This Row],[Fecha]]="","",G1113+Tabla1[[#This Row],[ingreso]]-Tabla1[[#This Row],[egreso]])</f>
        <v>2203951.1442999989</v>
      </c>
      <c r="H1114" s="7"/>
      <c r="I1114" s="7"/>
      <c r="J1114" s="4"/>
      <c r="K1114" t="str">
        <f>IF(Tabla1[[#This Row],[Tipo]]="","",Tabla1[[#This Row],[ingreso]]/Tabla1[[#This Row],[Tipo]])</f>
        <v/>
      </c>
      <c r="L1114" t="s">
        <v>549</v>
      </c>
      <c r="M1114" s="44">
        <v>45534</v>
      </c>
      <c r="N1114" s="19">
        <v>898.15</v>
      </c>
      <c r="O1114" s="50">
        <v>5000</v>
      </c>
      <c r="P1114">
        <f t="shared" si="25"/>
        <v>6.9070213394496387E-3</v>
      </c>
      <c r="Q1114">
        <f t="shared" si="22"/>
        <v>6.203541216026693</v>
      </c>
      <c r="R1114" s="45">
        <f t="shared" si="23"/>
        <v>6.9070213394496387E-3</v>
      </c>
      <c r="U1114" s="43">
        <f t="shared" si="24"/>
        <v>4490750</v>
      </c>
    </row>
    <row r="1115" spans="1:28" x14ac:dyDescent="0.2">
      <c r="A1115">
        <f>COUNTIF($I$2:I1115,'[1]Detalle Pilotos'!$G$3)</f>
        <v>0</v>
      </c>
      <c r="B1115">
        <f t="shared" si="21"/>
        <v>1114</v>
      </c>
      <c r="C1115" s="9">
        <v>44972</v>
      </c>
      <c r="D1115" s="4" t="s">
        <v>539</v>
      </c>
      <c r="E1115" s="8">
        <v>183000</v>
      </c>
      <c r="F1115" s="3"/>
      <c r="G1115" s="7">
        <f>IF(Tabla1[[#This Row],[Fecha]]="","",G1114+Tabla1[[#This Row],[ingreso]]-Tabla1[[#This Row],[egreso]])</f>
        <v>2020951.1442999989</v>
      </c>
      <c r="H1115" s="7"/>
      <c r="I1115" s="7"/>
      <c r="J1115" s="4"/>
      <c r="K1115" t="str">
        <f>IF(Tabla1[[#This Row],[Tipo]]="","",Tabla1[[#This Row],[ingreso]]/Tabla1[[#This Row],[Tipo]])</f>
        <v/>
      </c>
      <c r="L1115" t="s">
        <v>549</v>
      </c>
      <c r="M1115" s="44">
        <v>45558</v>
      </c>
      <c r="N1115" s="19">
        <v>908.2</v>
      </c>
      <c r="O1115" s="50">
        <v>10000</v>
      </c>
      <c r="P1115">
        <f t="shared" si="25"/>
        <v>1.3814042678899277E-2</v>
      </c>
      <c r="Q1115">
        <f t="shared" si="22"/>
        <v>12.545913560976324</v>
      </c>
      <c r="R1115" s="45">
        <f t="shared" si="23"/>
        <v>1.3814042678899277E-2</v>
      </c>
      <c r="U1115" s="43">
        <f t="shared" si="24"/>
        <v>9082000</v>
      </c>
      <c r="V1115" t="s">
        <v>551</v>
      </c>
      <c r="X1115" s="17"/>
      <c r="Y1115" s="17">
        <f>U1115/2</f>
        <v>4541000</v>
      </c>
    </row>
    <row r="1116" spans="1:28" x14ac:dyDescent="0.2">
      <c r="A1116">
        <f>COUNTIF($I$2:I1116,'[1]Detalle Pilotos'!$G$3)</f>
        <v>0</v>
      </c>
      <c r="B1116">
        <f t="shared" si="21"/>
        <v>1115</v>
      </c>
      <c r="C1116" s="9">
        <v>44972</v>
      </c>
      <c r="D1116" s="4" t="s">
        <v>539</v>
      </c>
      <c r="E1116" s="8">
        <v>20000</v>
      </c>
      <c r="F1116" s="3"/>
      <c r="G1116" s="7">
        <f>IF(Tabla1[[#This Row],[Fecha]]="","",G1115+Tabla1[[#This Row],[ingreso]]-Tabla1[[#This Row],[egreso]])</f>
        <v>2000951.1442999989</v>
      </c>
      <c r="H1116" s="7"/>
      <c r="I1116" s="7"/>
      <c r="J1116" s="4"/>
      <c r="K1116" t="str">
        <f>IF(Tabla1[[#This Row],[Tipo]]="","",Tabla1[[#This Row],[ingreso]]/Tabla1[[#This Row],[Tipo]])</f>
        <v/>
      </c>
      <c r="L1116" t="s">
        <v>552</v>
      </c>
      <c r="M1116" s="44">
        <v>45664</v>
      </c>
      <c r="N1116" s="19">
        <v>989.95</v>
      </c>
      <c r="O1116" s="42">
        <v>10000</v>
      </c>
      <c r="P1116">
        <f t="shared" si="25"/>
        <v>1.3814042678899277E-2</v>
      </c>
      <c r="Q1116">
        <f t="shared" si="22"/>
        <v>13.675211549976341</v>
      </c>
      <c r="R1116" s="45">
        <f t="shared" si="23"/>
        <v>1.3814042678899277E-2</v>
      </c>
      <c r="U1116" s="43">
        <f>N1116*O1116</f>
        <v>9899500</v>
      </c>
      <c r="X1116" s="51"/>
      <c r="Y1116" s="17">
        <f>Y1115-1000000</f>
        <v>3541000</v>
      </c>
    </row>
    <row r="1117" spans="1:28" x14ac:dyDescent="0.2">
      <c r="A1117">
        <f>COUNTIF($I$2:I1117,'[1]Detalle Pilotos'!$G$3)</f>
        <v>0</v>
      </c>
      <c r="B1117">
        <f t="shared" si="21"/>
        <v>1116</v>
      </c>
      <c r="C1117" s="9">
        <v>44973</v>
      </c>
      <c r="D1117" s="4" t="s">
        <v>539</v>
      </c>
      <c r="E1117" s="8">
        <v>201000</v>
      </c>
      <c r="F1117" s="3"/>
      <c r="G1117" s="7">
        <f>IF(Tabla1[[#This Row],[Fecha]]="","",G1116+Tabla1[[#This Row],[ingreso]]-Tabla1[[#This Row],[egreso]])</f>
        <v>1799951.1442999989</v>
      </c>
      <c r="H1117" s="7"/>
      <c r="I1117" s="7"/>
      <c r="J1117" s="4"/>
      <c r="K1117" t="str">
        <f>IF(Tabla1[[#This Row],[Tipo]]="","",Tabla1[[#This Row],[ingreso]]/Tabla1[[#This Row],[Tipo]])</f>
        <v/>
      </c>
      <c r="M1117" s="44">
        <v>45807</v>
      </c>
      <c r="N1117" s="19">
        <v>923.55</v>
      </c>
      <c r="O1117" s="42">
        <v>10000</v>
      </c>
      <c r="P1117">
        <f t="shared" si="25"/>
        <v>1.3814042678899277E-2</v>
      </c>
      <c r="Q1117">
        <f t="shared" si="22"/>
        <v>12.757959116097426</v>
      </c>
      <c r="R1117" s="45">
        <f t="shared" si="23"/>
        <v>1.3814042678899277E-2</v>
      </c>
      <c r="U1117" s="43">
        <f>N1117*O1117</f>
        <v>9235500</v>
      </c>
      <c r="V1117" t="s">
        <v>553</v>
      </c>
      <c r="X1117" s="51"/>
    </row>
    <row r="1118" spans="1:28" x14ac:dyDescent="0.2">
      <c r="A1118">
        <f>COUNTIF($I$2:I1118,'[1]Detalle Pilotos'!$G$3)</f>
        <v>0</v>
      </c>
      <c r="B1118">
        <f t="shared" si="21"/>
        <v>1117</v>
      </c>
      <c r="C1118" s="9">
        <v>44973</v>
      </c>
      <c r="D1118" s="4" t="s">
        <v>539</v>
      </c>
      <c r="E1118" s="8">
        <v>200400</v>
      </c>
      <c r="F1118" s="3"/>
      <c r="G1118" s="7">
        <f>IF(Tabla1[[#This Row],[Fecha]]="","",G1117+Tabla1[[#This Row],[ingreso]]-Tabla1[[#This Row],[egreso]])</f>
        <v>1599551.1442999989</v>
      </c>
      <c r="H1118" s="7"/>
      <c r="I1118" s="7"/>
      <c r="J1118" s="4"/>
      <c r="K1118" t="str">
        <f>IF(Tabla1[[#This Row],[Tipo]]="","",Tabla1[[#This Row],[ingreso]]/Tabla1[[#This Row],[Tipo]])</f>
        <v/>
      </c>
      <c r="M1118" s="44">
        <v>45849</v>
      </c>
      <c r="N1118" s="19">
        <v>943.3</v>
      </c>
      <c r="O1118" s="42">
        <v>5000</v>
      </c>
      <c r="P1118">
        <f t="shared" si="25"/>
        <v>6.9070213394496387E-3</v>
      </c>
      <c r="Q1118">
        <f t="shared" si="22"/>
        <v>6.5153932295028438</v>
      </c>
      <c r="R1118" s="45">
        <f t="shared" si="23"/>
        <v>6.9070213394496387E-3</v>
      </c>
      <c r="U1118" s="43">
        <f>N1118*O1118</f>
        <v>4716500</v>
      </c>
      <c r="V1118" s="43"/>
      <c r="W1118" s="43"/>
      <c r="X1118" s="43"/>
      <c r="Y1118" s="43"/>
      <c r="Z1118" s="43"/>
      <c r="AA1118" s="43"/>
      <c r="AB1118" s="43"/>
    </row>
    <row r="1119" spans="1:28" x14ac:dyDescent="0.2">
      <c r="A1119">
        <f>COUNTIF($I$2:I1119,'[1]Detalle Pilotos'!$G$3)</f>
        <v>0</v>
      </c>
      <c r="B1119">
        <f t="shared" si="21"/>
        <v>1118</v>
      </c>
      <c r="C1119" s="9">
        <v>44973</v>
      </c>
      <c r="D1119" s="4" t="s">
        <v>554</v>
      </c>
      <c r="E1119" s="8">
        <v>113050</v>
      </c>
      <c r="F1119" s="3"/>
      <c r="G1119" s="7">
        <f>IF(Tabla1[[#This Row],[Fecha]]="","",G1118+Tabla1[[#This Row],[ingreso]]-Tabla1[[#This Row],[egreso]])</f>
        <v>1486501.1442999989</v>
      </c>
      <c r="H1119" s="7"/>
      <c r="I1119" s="7"/>
      <c r="J1119" s="4"/>
      <c r="K1119" t="str">
        <f>IF(Tabla1[[#This Row],[Tipo]]="","",Tabla1[[#This Row],[ingreso]]/Tabla1[[#This Row],[Tipo]])</f>
        <v/>
      </c>
      <c r="M1119" s="44">
        <v>45854</v>
      </c>
      <c r="N1119" s="19">
        <v>943.46</v>
      </c>
      <c r="O1119" s="42">
        <v>15000</v>
      </c>
      <c r="P1119">
        <f t="shared" si="25"/>
        <v>2.0721064018348917E-2</v>
      </c>
      <c r="Q1119">
        <f t="shared" si="22"/>
        <v>19.549495058751472</v>
      </c>
      <c r="R1119" s="45">
        <f t="shared" si="23"/>
        <v>2.0721064018348917E-2</v>
      </c>
      <c r="U1119" s="43">
        <f>N1119*O1119</f>
        <v>14151900</v>
      </c>
      <c r="V1119" s="43"/>
      <c r="W1119" s="43"/>
      <c r="X1119" s="43"/>
      <c r="Y1119" s="43"/>
      <c r="Z1119" s="43"/>
      <c r="AA1119" s="43"/>
      <c r="AB1119" s="43"/>
    </row>
    <row r="1120" spans="1:28" x14ac:dyDescent="0.2">
      <c r="A1120">
        <f>COUNTIF($I$2:I1120,'[1]Detalle Pilotos'!$G$3)</f>
        <v>0</v>
      </c>
      <c r="B1120">
        <f t="shared" si="21"/>
        <v>1119</v>
      </c>
      <c r="C1120" s="9">
        <v>44974</v>
      </c>
      <c r="D1120" s="4" t="s">
        <v>539</v>
      </c>
      <c r="E1120" s="8">
        <v>35860</v>
      </c>
      <c r="F1120" s="3"/>
      <c r="G1120" s="7">
        <f>IF(Tabla1[[#This Row],[Fecha]]="","",G1119+Tabla1[[#This Row],[ingreso]]-Tabla1[[#This Row],[egreso]])</f>
        <v>1450641.1442999989</v>
      </c>
      <c r="H1120" s="7"/>
      <c r="I1120" s="7"/>
      <c r="J1120" s="4"/>
      <c r="K1120" t="str">
        <f>IF(Tabla1[[#This Row],[Tipo]]="","",Tabla1[[#This Row],[ingreso]]/Tabla1[[#This Row],[Tipo]])</f>
        <v/>
      </c>
    </row>
    <row r="1121" spans="1:11" x14ac:dyDescent="0.2">
      <c r="A1121">
        <f>COUNTIF($I$2:I1121,'[1]Detalle Pilotos'!$G$3)</f>
        <v>0</v>
      </c>
      <c r="B1121">
        <f t="shared" si="21"/>
        <v>1120</v>
      </c>
      <c r="C1121" s="9">
        <v>44974</v>
      </c>
      <c r="D1121" s="4" t="s">
        <v>539</v>
      </c>
      <c r="E1121" s="8">
        <v>171000</v>
      </c>
      <c r="F1121" s="3"/>
      <c r="G1121" s="7">
        <f>IF(Tabla1[[#This Row],[Fecha]]="","",G1120+Tabla1[[#This Row],[ingreso]]-Tabla1[[#This Row],[egreso]])</f>
        <v>1279641.1442999989</v>
      </c>
      <c r="H1121" s="7"/>
      <c r="I1121" s="7"/>
      <c r="J1121" s="4"/>
      <c r="K1121" t="str">
        <f>IF(Tabla1[[#This Row],[Tipo]]="","",Tabla1[[#This Row],[ingreso]]/Tabla1[[#This Row],[Tipo]])</f>
        <v/>
      </c>
    </row>
    <row r="1122" spans="1:11" x14ac:dyDescent="0.2">
      <c r="A1122">
        <f>COUNTIF($I$2:I1122,'[1]Detalle Pilotos'!$G$3)</f>
        <v>0</v>
      </c>
      <c r="B1122">
        <f t="shared" si="21"/>
        <v>1121</v>
      </c>
      <c r="C1122" s="9">
        <v>44975</v>
      </c>
      <c r="D1122" s="4" t="s">
        <v>237</v>
      </c>
      <c r="E1122" s="8"/>
      <c r="F1122" s="3">
        <v>3839750</v>
      </c>
      <c r="G1122" s="7">
        <f>IF(Tabla1[[#This Row],[Fecha]]="","",G1121+Tabla1[[#This Row],[ingreso]]-Tabla1[[#This Row],[egreso]])</f>
        <v>5119391.1442999989</v>
      </c>
      <c r="H1122" s="7">
        <v>5000</v>
      </c>
      <c r="I1122" s="7" t="s">
        <v>329</v>
      </c>
      <c r="J1122" s="4"/>
      <c r="K1122">
        <f>IF(Tabla1[[#This Row],[Tipo]]="","",Tabla1[[#This Row],[ingreso]]/Tabla1[[#This Row],[Tipo]])</f>
        <v>767.95</v>
      </c>
    </row>
    <row r="1123" spans="1:11" x14ac:dyDescent="0.2">
      <c r="A1123">
        <f>COUNTIF($I$2:I1123,'[1]Detalle Pilotos'!$G$3)</f>
        <v>0</v>
      </c>
      <c r="B1123">
        <f t="shared" si="21"/>
        <v>1122</v>
      </c>
      <c r="C1123" s="9">
        <v>44975</v>
      </c>
      <c r="D1123" s="4" t="s">
        <v>306</v>
      </c>
      <c r="E1123" s="8">
        <v>4390614</v>
      </c>
      <c r="F1123" s="3"/>
      <c r="G1123" s="7">
        <f>IF(Tabla1[[#This Row],[Fecha]]="","",G1122+Tabla1[[#This Row],[ingreso]]-Tabla1[[#This Row],[egreso]])</f>
        <v>728777.14429999888</v>
      </c>
      <c r="H1123" s="7"/>
      <c r="I1123" s="7"/>
      <c r="J1123" s="4"/>
      <c r="K1123" t="str">
        <f>IF(Tabla1[[#This Row],[Tipo]]="","",Tabla1[[#This Row],[ingreso]]/Tabla1[[#This Row],[Tipo]])</f>
        <v/>
      </c>
    </row>
    <row r="1124" spans="1:11" x14ac:dyDescent="0.2">
      <c r="A1124">
        <f>COUNTIF($I$2:I1124,'[1]Detalle Pilotos'!$G$3)</f>
        <v>0</v>
      </c>
      <c r="B1124">
        <f t="shared" si="21"/>
        <v>1123</v>
      </c>
      <c r="C1124" s="9">
        <v>44975</v>
      </c>
      <c r="D1124" s="4" t="s">
        <v>547</v>
      </c>
      <c r="E1124" s="8"/>
      <c r="F1124" s="3">
        <v>55000</v>
      </c>
      <c r="G1124" s="7">
        <f>IF(Tabla1[[#This Row],[Fecha]]="","",G1123+Tabla1[[#This Row],[ingreso]]-Tabla1[[#This Row],[egreso]])</f>
        <v>783777.14429999888</v>
      </c>
      <c r="H1124" s="7"/>
      <c r="I1124" s="7" t="s">
        <v>16</v>
      </c>
      <c r="J1124" s="4"/>
      <c r="K1124" t="str">
        <f>IF(Tabla1[[#This Row],[Tipo]]="","",Tabla1[[#This Row],[ingreso]]/Tabla1[[#This Row],[Tipo]])</f>
        <v/>
      </c>
    </row>
    <row r="1125" spans="1:11" x14ac:dyDescent="0.2">
      <c r="A1125">
        <f>COUNTIF($I$2:I1125,'[1]Detalle Pilotos'!$G$3)</f>
        <v>0</v>
      </c>
      <c r="B1125">
        <f t="shared" si="21"/>
        <v>1124</v>
      </c>
      <c r="C1125" s="9">
        <v>44978</v>
      </c>
      <c r="D1125" s="4" t="s">
        <v>555</v>
      </c>
      <c r="E1125" s="8">
        <v>33558</v>
      </c>
      <c r="F1125" s="3"/>
      <c r="G1125" s="7">
        <f>IF(Tabla1[[#This Row],[Fecha]]="","",G1124+Tabla1[[#This Row],[ingreso]]-Tabla1[[#This Row],[egreso]])</f>
        <v>750219.14429999888</v>
      </c>
      <c r="H1125" s="7"/>
      <c r="I1125" s="7"/>
      <c r="J1125" s="4"/>
      <c r="K1125" t="str">
        <f>IF(Tabla1[[#This Row],[Tipo]]="","",Tabla1[[#This Row],[ingreso]]/Tabla1[[#This Row],[Tipo]])</f>
        <v/>
      </c>
    </row>
    <row r="1126" spans="1:11" x14ac:dyDescent="0.2">
      <c r="A1126">
        <f>COUNTIF($I$2:I1126,'[1]Detalle Pilotos'!$G$3)</f>
        <v>0</v>
      </c>
      <c r="B1126">
        <f t="shared" si="21"/>
        <v>1125</v>
      </c>
      <c r="C1126" s="9">
        <v>44980</v>
      </c>
      <c r="D1126" s="4" t="s">
        <v>539</v>
      </c>
      <c r="E1126" s="8">
        <v>168000</v>
      </c>
      <c r="F1126" s="3"/>
      <c r="G1126" s="7">
        <f>IF(Tabla1[[#This Row],[Fecha]]="","",G1125+Tabla1[[#This Row],[ingreso]]-Tabla1[[#This Row],[egreso]])</f>
        <v>582219.14429999888</v>
      </c>
      <c r="H1126" s="7"/>
      <c r="I1126" s="7"/>
      <c r="J1126" s="4"/>
      <c r="K1126" t="str">
        <f>IF(Tabla1[[#This Row],[Tipo]]="","",Tabla1[[#This Row],[ingreso]]/Tabla1[[#This Row],[Tipo]])</f>
        <v/>
      </c>
    </row>
    <row r="1127" spans="1:11" x14ac:dyDescent="0.2">
      <c r="A1127">
        <f>COUNTIF($I$2:I1127,'[1]Detalle Pilotos'!$G$3)</f>
        <v>0</v>
      </c>
      <c r="B1127">
        <f t="shared" si="21"/>
        <v>1126</v>
      </c>
      <c r="C1127" s="9">
        <v>44980</v>
      </c>
      <c r="D1127" s="4" t="s">
        <v>543</v>
      </c>
      <c r="E1127" s="8">
        <v>225000</v>
      </c>
      <c r="F1127" s="3"/>
      <c r="G1127" s="7">
        <f>IF(Tabla1[[#This Row],[Fecha]]="","",G1126+Tabla1[[#This Row],[ingreso]]-Tabla1[[#This Row],[egreso]])</f>
        <v>357219.14429999888</v>
      </c>
      <c r="H1127" s="7"/>
      <c r="I1127" s="7"/>
      <c r="J1127" s="4"/>
      <c r="K1127" t="str">
        <f>IF(Tabla1[[#This Row],[Tipo]]="","",Tabla1[[#This Row],[ingreso]]/Tabla1[[#This Row],[Tipo]])</f>
        <v/>
      </c>
    </row>
    <row r="1128" spans="1:11" x14ac:dyDescent="0.2">
      <c r="A1128">
        <f>COUNTIF($I$2:I1128,'[1]Detalle Pilotos'!$G$3)</f>
        <v>0</v>
      </c>
      <c r="B1128">
        <f t="shared" si="21"/>
        <v>1127</v>
      </c>
      <c r="C1128" s="9">
        <v>44980</v>
      </c>
      <c r="D1128" s="4" t="s">
        <v>237</v>
      </c>
      <c r="E1128" s="8"/>
      <c r="F1128" s="3">
        <v>11889750</v>
      </c>
      <c r="G1128" s="7">
        <f>IF(Tabla1[[#This Row],[Fecha]]="","",G1127+Tabla1[[#This Row],[ingreso]]-Tabla1[[#This Row],[egreso]])</f>
        <v>12246969.144299999</v>
      </c>
      <c r="H1128" s="7">
        <v>15000</v>
      </c>
      <c r="I1128" s="7" t="s">
        <v>329</v>
      </c>
      <c r="J1128" s="4"/>
      <c r="K1128">
        <f>IF(Tabla1[[#This Row],[Tipo]]="","",Tabla1[[#This Row],[ingreso]]/Tabla1[[#This Row],[Tipo]])</f>
        <v>792.65</v>
      </c>
    </row>
    <row r="1129" spans="1:11" x14ac:dyDescent="0.2">
      <c r="A1129">
        <f>COUNTIF($I$2:I1129,'[1]Detalle Pilotos'!$G$3)</f>
        <v>0</v>
      </c>
      <c r="B1129">
        <f t="shared" si="21"/>
        <v>1128</v>
      </c>
      <c r="C1129" s="9">
        <v>44980</v>
      </c>
      <c r="D1129" s="4" t="s">
        <v>556</v>
      </c>
      <c r="E1129" s="8">
        <v>10000000</v>
      </c>
      <c r="F1129" s="3"/>
      <c r="G1129" s="7">
        <f>IF(Tabla1[[#This Row],[Fecha]]="","",G1128+Tabla1[[#This Row],[ingreso]]-Tabla1[[#This Row],[egreso]])</f>
        <v>2246969.1442999989</v>
      </c>
      <c r="H1129" s="7"/>
      <c r="I1129" s="7"/>
      <c r="J1129" s="4"/>
      <c r="K1129" t="str">
        <f>IF(Tabla1[[#This Row],[Tipo]]="","",Tabla1[[#This Row],[ingreso]]/Tabla1[[#This Row],[Tipo]])</f>
        <v/>
      </c>
    </row>
    <row r="1130" spans="1:11" x14ac:dyDescent="0.2">
      <c r="A1130">
        <f>COUNTIF($I$2:I1130,'[1]Detalle Pilotos'!$G$3)</f>
        <v>0</v>
      </c>
      <c r="B1130">
        <f t="shared" si="21"/>
        <v>1129</v>
      </c>
      <c r="C1130" s="9">
        <v>44982</v>
      </c>
      <c r="D1130" s="4" t="s">
        <v>266</v>
      </c>
      <c r="E1130" s="8">
        <v>53607</v>
      </c>
      <c r="F1130" s="3"/>
      <c r="G1130" s="7">
        <f>IF(Tabla1[[#This Row],[Fecha]]="","",G1129+Tabla1[[#This Row],[ingreso]]-Tabla1[[#This Row],[egreso]])</f>
        <v>2193362.1442999989</v>
      </c>
      <c r="H1130" s="7"/>
      <c r="I1130" s="7"/>
      <c r="J1130" s="4"/>
      <c r="K1130" t="str">
        <f>IF(Tabla1[[#This Row],[Tipo]]="","",Tabla1[[#This Row],[ingreso]]/Tabla1[[#This Row],[Tipo]])</f>
        <v/>
      </c>
    </row>
    <row r="1131" spans="1:11" x14ac:dyDescent="0.2">
      <c r="A1131">
        <f>COUNTIF($I$2:I1131,'[1]Detalle Pilotos'!$G$3)</f>
        <v>0</v>
      </c>
      <c r="B1131">
        <f t="shared" si="21"/>
        <v>1130</v>
      </c>
      <c r="C1131" s="9">
        <v>44982</v>
      </c>
      <c r="D1131" s="4" t="s">
        <v>266</v>
      </c>
      <c r="E1131" s="8">
        <v>152475</v>
      </c>
      <c r="F1131" s="3"/>
      <c r="G1131" s="7">
        <f>IF(Tabla1[[#This Row],[Fecha]]="","",G1130+Tabla1[[#This Row],[ingreso]]-Tabla1[[#This Row],[egreso]])</f>
        <v>2040887.1442999989</v>
      </c>
      <c r="H1131" s="7"/>
      <c r="I1131" s="7"/>
      <c r="J1131" s="4"/>
      <c r="K1131" t="str">
        <f>IF(Tabla1[[#This Row],[Tipo]]="","",Tabla1[[#This Row],[ingreso]]/Tabla1[[#This Row],[Tipo]])</f>
        <v/>
      </c>
    </row>
    <row r="1132" spans="1:11" x14ac:dyDescent="0.2">
      <c r="A1132">
        <f>COUNTIF($I$2:I1132,'[1]Detalle Pilotos'!$G$3)</f>
        <v>0</v>
      </c>
      <c r="B1132">
        <f t="shared" si="21"/>
        <v>1131</v>
      </c>
      <c r="C1132" s="9">
        <v>44982</v>
      </c>
      <c r="D1132" s="4" t="s">
        <v>557</v>
      </c>
      <c r="E1132" s="8"/>
      <c r="F1132" s="3">
        <v>250000</v>
      </c>
      <c r="G1132" s="7">
        <f>IF(Tabla1[[#This Row],[Fecha]]="","",G1131+Tabla1[[#This Row],[ingreso]]-Tabla1[[#This Row],[egreso]])</f>
        <v>2290887.1442999989</v>
      </c>
      <c r="H1132" s="7"/>
      <c r="I1132" s="7" t="s">
        <v>558</v>
      </c>
      <c r="J1132" s="4"/>
      <c r="K1132" t="str">
        <f>IF(Tabla1[[#This Row],[Tipo]]="","",Tabla1[[#This Row],[ingreso]]/Tabla1[[#This Row],[Tipo]])</f>
        <v/>
      </c>
    </row>
    <row r="1133" spans="1:11" x14ac:dyDescent="0.2">
      <c r="A1133">
        <f>COUNTIF($I$2:I1133,'[1]Detalle Pilotos'!$G$3)</f>
        <v>0</v>
      </c>
      <c r="B1133">
        <f t="shared" si="21"/>
        <v>1132</v>
      </c>
      <c r="C1133" s="9">
        <v>44983</v>
      </c>
      <c r="D1133" s="4" t="s">
        <v>557</v>
      </c>
      <c r="E1133" s="8"/>
      <c r="F1133" s="3">
        <v>327500</v>
      </c>
      <c r="G1133" s="7">
        <f>IF(Tabla1[[#This Row],[Fecha]]="","",G1132+Tabla1[[#This Row],[ingreso]]-Tabla1[[#This Row],[egreso]])</f>
        <v>2618387.1442999989</v>
      </c>
      <c r="H1133" s="7"/>
      <c r="I1133" s="7" t="s">
        <v>558</v>
      </c>
      <c r="J1133" s="4"/>
      <c r="K1133" t="str">
        <f>IF(Tabla1[[#This Row],[Tipo]]="","",Tabla1[[#This Row],[ingreso]]/Tabla1[[#This Row],[Tipo]])</f>
        <v/>
      </c>
    </row>
    <row r="1134" spans="1:11" x14ac:dyDescent="0.2">
      <c r="A1134">
        <f>COUNTIF($I$2:I1134,'[1]Detalle Pilotos'!$G$3)</f>
        <v>0</v>
      </c>
      <c r="B1134">
        <f t="shared" si="21"/>
        <v>1133</v>
      </c>
      <c r="C1134" s="9">
        <v>44983</v>
      </c>
      <c r="D1134" s="4" t="s">
        <v>559</v>
      </c>
      <c r="E1134" s="8">
        <v>132000</v>
      </c>
      <c r="F1134" s="3"/>
      <c r="G1134" s="7">
        <f>IF(Tabla1[[#This Row],[Fecha]]="","",G1133+Tabla1[[#This Row],[ingreso]]-Tabla1[[#This Row],[egreso]])</f>
        <v>2486387.1442999989</v>
      </c>
      <c r="H1134" s="7"/>
      <c r="I1134" s="7"/>
      <c r="J1134" s="4"/>
      <c r="K1134" t="str">
        <f>IF(Tabla1[[#This Row],[Tipo]]="","",Tabla1[[#This Row],[ingreso]]/Tabla1[[#This Row],[Tipo]])</f>
        <v/>
      </c>
    </row>
    <row r="1135" spans="1:11" x14ac:dyDescent="0.2">
      <c r="A1135">
        <f>COUNTIF($I$2:I1135,'[1]Detalle Pilotos'!$G$3)</f>
        <v>0</v>
      </c>
      <c r="B1135">
        <f t="shared" si="21"/>
        <v>1134</v>
      </c>
      <c r="C1135" s="9">
        <v>44984</v>
      </c>
      <c r="D1135" s="4" t="s">
        <v>506</v>
      </c>
      <c r="E1135" s="8"/>
      <c r="F1135" s="3">
        <v>297000</v>
      </c>
      <c r="G1135" s="7">
        <f>IF(Tabla1[[#This Row],[Fecha]]="","",G1134+Tabla1[[#This Row],[ingreso]]-Tabla1[[#This Row],[egreso]])</f>
        <v>2783387.1442999989</v>
      </c>
      <c r="H1135" s="7"/>
      <c r="I1135" s="7" t="s">
        <v>507</v>
      </c>
      <c r="J1135" s="4"/>
      <c r="K1135" t="str">
        <f>IF(Tabla1[[#This Row],[Tipo]]="","",Tabla1[[#This Row],[ingreso]]/Tabla1[[#This Row],[Tipo]])</f>
        <v/>
      </c>
    </row>
    <row r="1136" spans="1:11" x14ac:dyDescent="0.2">
      <c r="A1136">
        <f>COUNTIF($I$2:I1136,'[1]Detalle Pilotos'!$G$3)</f>
        <v>0</v>
      </c>
      <c r="B1136">
        <f t="shared" si="21"/>
        <v>1135</v>
      </c>
      <c r="C1136" s="9">
        <v>44985</v>
      </c>
      <c r="D1136" s="4" t="s">
        <v>560</v>
      </c>
      <c r="E1136" s="8">
        <v>92608</v>
      </c>
      <c r="F1136" s="3"/>
      <c r="G1136" s="7">
        <f>IF(Tabla1[[#This Row],[Fecha]]="","",G1135+Tabla1[[#This Row],[ingreso]]-Tabla1[[#This Row],[egreso]])</f>
        <v>2690779.1442999989</v>
      </c>
      <c r="H1136" s="7"/>
      <c r="I1136" s="7"/>
      <c r="J1136" s="4"/>
      <c r="K1136" t="str">
        <f>IF(Tabla1[[#This Row],[Tipo]]="","",Tabla1[[#This Row],[ingreso]]/Tabla1[[#This Row],[Tipo]])</f>
        <v/>
      </c>
    </row>
    <row r="1137" spans="1:11" x14ac:dyDescent="0.2">
      <c r="A1137">
        <f>COUNTIF($I$2:I1137,'[1]Detalle Pilotos'!$G$3)</f>
        <v>0</v>
      </c>
      <c r="B1137">
        <f t="shared" si="21"/>
        <v>1136</v>
      </c>
      <c r="C1137" s="9">
        <v>44985</v>
      </c>
      <c r="D1137" s="4" t="s">
        <v>561</v>
      </c>
      <c r="E1137" s="8">
        <v>84000</v>
      </c>
      <c r="F1137" s="3"/>
      <c r="G1137" s="7">
        <f>IF(Tabla1[[#This Row],[Fecha]]="","",G1136+Tabla1[[#This Row],[ingreso]]-Tabla1[[#This Row],[egreso]])</f>
        <v>2606779.1442999989</v>
      </c>
      <c r="H1137" s="7"/>
      <c r="I1137" s="7"/>
      <c r="J1137" s="4"/>
      <c r="K1137" t="str">
        <f>IF(Tabla1[[#This Row],[Tipo]]="","",Tabla1[[#This Row],[ingreso]]/Tabla1[[#This Row],[Tipo]])</f>
        <v/>
      </c>
    </row>
    <row r="1138" spans="1:11" x14ac:dyDescent="0.2">
      <c r="A1138">
        <f>COUNTIF($I$2:I1138,'[1]Detalle Pilotos'!$G$3)</f>
        <v>0</v>
      </c>
      <c r="B1138">
        <f t="shared" si="21"/>
        <v>1137</v>
      </c>
      <c r="C1138" s="9">
        <v>44985</v>
      </c>
      <c r="D1138" s="4" t="s">
        <v>562</v>
      </c>
      <c r="E1138" s="8">
        <v>156000</v>
      </c>
      <c r="F1138" s="3"/>
      <c r="G1138" s="7">
        <f>IF(Tabla1[[#This Row],[Fecha]]="","",G1137+Tabla1[[#This Row],[ingreso]]-Tabla1[[#This Row],[egreso]])</f>
        <v>2450779.1442999989</v>
      </c>
      <c r="H1138" s="7"/>
      <c r="I1138" s="7"/>
      <c r="J1138" s="4"/>
      <c r="K1138" t="str">
        <f>IF(Tabla1[[#This Row],[Tipo]]="","",Tabla1[[#This Row],[ingreso]]/Tabla1[[#This Row],[Tipo]])</f>
        <v/>
      </c>
    </row>
    <row r="1139" spans="1:11" x14ac:dyDescent="0.2">
      <c r="A1139">
        <f>COUNTIF($I$2:I1139,'[1]Detalle Pilotos'!$G$3)</f>
        <v>0</v>
      </c>
      <c r="B1139">
        <f t="shared" si="21"/>
        <v>1138</v>
      </c>
      <c r="C1139" s="9">
        <v>44986</v>
      </c>
      <c r="D1139" s="4" t="s">
        <v>395</v>
      </c>
      <c r="E1139" s="8"/>
      <c r="F1139" s="3">
        <v>141500</v>
      </c>
      <c r="G1139" s="7">
        <f>IF(Tabla1[[#This Row],[Fecha]]="","",G1138+Tabla1[[#This Row],[ingreso]]-Tabla1[[#This Row],[egreso]])</f>
        <v>2592279.1442999989</v>
      </c>
      <c r="H1139" s="7"/>
      <c r="I1139" s="7"/>
      <c r="J1139" s="4"/>
      <c r="K1139" t="str">
        <f>IF(Tabla1[[#This Row],[Tipo]]="","",Tabla1[[#This Row],[ingreso]]/Tabla1[[#This Row],[Tipo]])</f>
        <v/>
      </c>
    </row>
    <row r="1140" spans="1:11" x14ac:dyDescent="0.2">
      <c r="A1140">
        <f>COUNTIF($I$2:I1140,'[1]Detalle Pilotos'!$G$3)</f>
        <v>0</v>
      </c>
      <c r="B1140">
        <f t="shared" si="21"/>
        <v>1139</v>
      </c>
      <c r="C1140" s="9">
        <v>44986</v>
      </c>
      <c r="D1140" s="4" t="s">
        <v>528</v>
      </c>
      <c r="E1140" s="8"/>
      <c r="F1140" s="3">
        <v>251314</v>
      </c>
      <c r="G1140" s="7">
        <f>IF(Tabla1[[#This Row],[Fecha]]="","",G1139+Tabla1[[#This Row],[ingreso]]-Tabla1[[#This Row],[egreso]])</f>
        <v>2843593.1442999989</v>
      </c>
      <c r="H1140" s="7"/>
      <c r="I1140" s="7" t="s">
        <v>529</v>
      </c>
      <c r="J1140" s="4"/>
      <c r="K1140" t="str">
        <f>IF(Tabla1[[#This Row],[Tipo]]="","",Tabla1[[#This Row],[ingreso]]/Tabla1[[#This Row],[Tipo]])</f>
        <v/>
      </c>
    </row>
    <row r="1141" spans="1:11" x14ac:dyDescent="0.2">
      <c r="A1141">
        <f>COUNTIF($I$2:I1141,'[1]Detalle Pilotos'!$G$3)</f>
        <v>0</v>
      </c>
      <c r="B1141">
        <f t="shared" si="21"/>
        <v>1140</v>
      </c>
      <c r="C1141" s="9">
        <v>44986</v>
      </c>
      <c r="D1141" s="4" t="s">
        <v>563</v>
      </c>
      <c r="E1141" s="8">
        <v>402558</v>
      </c>
      <c r="F1141" s="3"/>
      <c r="G1141" s="7">
        <f>IF(Tabla1[[#This Row],[Fecha]]="","",G1140+Tabla1[[#This Row],[ingreso]]-Tabla1[[#This Row],[egreso]])</f>
        <v>2441035.1442999989</v>
      </c>
      <c r="H1141" s="7"/>
      <c r="I1141" s="7"/>
      <c r="J1141" s="4"/>
      <c r="K1141" t="str">
        <f>IF(Tabla1[[#This Row],[Tipo]]="","",Tabla1[[#This Row],[ingreso]]/Tabla1[[#This Row],[Tipo]])</f>
        <v/>
      </c>
    </row>
    <row r="1142" spans="1:11" x14ac:dyDescent="0.2">
      <c r="A1142">
        <f>COUNTIF($I$2:I1142,'[1]Detalle Pilotos'!$G$3)</f>
        <v>0</v>
      </c>
      <c r="B1142">
        <f t="shared" si="21"/>
        <v>1141</v>
      </c>
      <c r="C1142" s="9">
        <v>44986</v>
      </c>
      <c r="D1142" s="4" t="s">
        <v>564</v>
      </c>
      <c r="E1142" s="8"/>
      <c r="F1142" s="3">
        <v>250000</v>
      </c>
      <c r="G1142" s="7">
        <f>IF(Tabla1[[#This Row],[Fecha]]="","",G1141+Tabla1[[#This Row],[ingreso]]-Tabla1[[#This Row],[egreso]])</f>
        <v>2691035.1442999989</v>
      </c>
      <c r="H1142" s="7"/>
      <c r="I1142" s="7" t="s">
        <v>565</v>
      </c>
      <c r="J1142" s="4"/>
      <c r="K1142" t="str">
        <f>IF(Tabla1[[#This Row],[Tipo]]="","",Tabla1[[#This Row],[ingreso]]/Tabla1[[#This Row],[Tipo]])</f>
        <v/>
      </c>
    </row>
    <row r="1143" spans="1:11" x14ac:dyDescent="0.2">
      <c r="A1143">
        <f>COUNTIF($I$2:I1143,'[1]Detalle Pilotos'!$G$3)</f>
        <v>0</v>
      </c>
      <c r="B1143">
        <f t="shared" si="21"/>
        <v>1142</v>
      </c>
      <c r="C1143" s="9">
        <v>44987</v>
      </c>
      <c r="D1143" s="4" t="s">
        <v>237</v>
      </c>
      <c r="E1143" s="8"/>
      <c r="F1143" s="3">
        <v>11859000</v>
      </c>
      <c r="G1143" s="7">
        <f>IF(Tabla1[[#This Row],[Fecha]]="","",G1142+Tabla1[[#This Row],[ingreso]]-Tabla1[[#This Row],[egreso]])</f>
        <v>14550035.144299999</v>
      </c>
      <c r="H1143" s="7">
        <v>15000</v>
      </c>
      <c r="I1143" s="7" t="s">
        <v>329</v>
      </c>
      <c r="J1143" s="4"/>
      <c r="K1143">
        <f>IF(Tabla1[[#This Row],[Tipo]]="","",Tabla1[[#This Row],[ingreso]]/Tabla1[[#This Row],[Tipo]])</f>
        <v>790.6</v>
      </c>
    </row>
    <row r="1144" spans="1:11" x14ac:dyDescent="0.2">
      <c r="A1144">
        <f>COUNTIF($I$2:I1144,'[1]Detalle Pilotos'!$G$3)</f>
        <v>0</v>
      </c>
      <c r="B1144">
        <f t="shared" si="21"/>
        <v>1143</v>
      </c>
      <c r="C1144" s="9">
        <v>44987</v>
      </c>
      <c r="D1144" s="4" t="s">
        <v>566</v>
      </c>
      <c r="E1144" s="8"/>
      <c r="F1144" s="3">
        <v>10019833</v>
      </c>
      <c r="G1144" s="7">
        <f>IF(Tabla1[[#This Row],[Fecha]]="","",G1143+Tabla1[[#This Row],[ingreso]]-Tabla1[[#This Row],[egreso]])</f>
        <v>24569868.144299999</v>
      </c>
      <c r="H1144" s="7"/>
      <c r="I1144" s="7"/>
      <c r="J1144" s="4"/>
      <c r="K1144" t="str">
        <f>IF(Tabla1[[#This Row],[Tipo]]="","",Tabla1[[#This Row],[ingreso]]/Tabla1[[#This Row],[Tipo]])</f>
        <v/>
      </c>
    </row>
    <row r="1145" spans="1:11" x14ac:dyDescent="0.2">
      <c r="A1145">
        <f>COUNTIF($I$2:I1145,'[1]Detalle Pilotos'!$G$3)</f>
        <v>0</v>
      </c>
      <c r="B1145">
        <f t="shared" si="21"/>
        <v>1144</v>
      </c>
      <c r="C1145" s="9">
        <v>44987</v>
      </c>
      <c r="D1145" s="4" t="s">
        <v>567</v>
      </c>
      <c r="E1145" s="8">
        <v>10000000</v>
      </c>
      <c r="F1145" s="3"/>
      <c r="G1145" s="7">
        <f>IF(Tabla1[[#This Row],[Fecha]]="","",G1144+Tabla1[[#This Row],[ingreso]]-Tabla1[[#This Row],[egreso]])</f>
        <v>14569868.144299999</v>
      </c>
      <c r="H1145" s="7"/>
      <c r="I1145" s="7"/>
      <c r="J1145" s="4"/>
      <c r="K1145" t="str">
        <f>IF(Tabla1[[#This Row],[Tipo]]="","",Tabla1[[#This Row],[ingreso]]/Tabla1[[#This Row],[Tipo]])</f>
        <v/>
      </c>
    </row>
    <row r="1146" spans="1:11" x14ac:dyDescent="0.2">
      <c r="A1146">
        <f>COUNTIF($I$2:I1146,'[1]Detalle Pilotos'!$G$3)</f>
        <v>0</v>
      </c>
      <c r="B1146">
        <f t="shared" si="21"/>
        <v>1145</v>
      </c>
      <c r="C1146" s="9">
        <v>44987</v>
      </c>
      <c r="D1146" s="4" t="s">
        <v>567</v>
      </c>
      <c r="E1146" s="8">
        <v>10000000</v>
      </c>
      <c r="F1146" s="3"/>
      <c r="G1146" s="7">
        <f>IF(Tabla1[[#This Row],[Fecha]]="","",G1145+Tabla1[[#This Row],[ingreso]]-Tabla1[[#This Row],[egreso]])</f>
        <v>4569868.1442999989</v>
      </c>
      <c r="H1146" s="7"/>
      <c r="I1146" s="7"/>
      <c r="J1146" s="4"/>
      <c r="K1146" t="str">
        <f>IF(Tabla1[[#This Row],[Tipo]]="","",Tabla1[[#This Row],[ingreso]]/Tabla1[[#This Row],[Tipo]])</f>
        <v/>
      </c>
    </row>
    <row r="1147" spans="1:11" x14ac:dyDescent="0.2">
      <c r="A1147">
        <f>COUNTIF($I$2:I1147,'[1]Detalle Pilotos'!$G$3)</f>
        <v>0</v>
      </c>
      <c r="B1147">
        <f t="shared" si="21"/>
        <v>1146</v>
      </c>
      <c r="C1147" s="9">
        <v>44988</v>
      </c>
      <c r="D1147" s="4" t="s">
        <v>568</v>
      </c>
      <c r="E1147" s="8">
        <v>134820</v>
      </c>
      <c r="F1147" s="3"/>
      <c r="G1147" s="7">
        <f>IF(Tabla1[[#This Row],[Fecha]]="","",G1146+Tabla1[[#This Row],[ingreso]]-Tabla1[[#This Row],[egreso]])</f>
        <v>4435048.1442999989</v>
      </c>
      <c r="H1147" s="7"/>
      <c r="I1147" s="7"/>
      <c r="J1147" s="4"/>
      <c r="K1147" t="str">
        <f>IF(Tabla1[[#This Row],[Tipo]]="","",Tabla1[[#This Row],[ingreso]]/Tabla1[[#This Row],[Tipo]])</f>
        <v/>
      </c>
    </row>
    <row r="1148" spans="1:11" x14ac:dyDescent="0.2">
      <c r="A1148">
        <f>COUNTIF($I$2:I1148,'[1]Detalle Pilotos'!$G$3)</f>
        <v>0</v>
      </c>
      <c r="B1148">
        <f t="shared" si="21"/>
        <v>1147</v>
      </c>
      <c r="C1148" s="9">
        <v>44988</v>
      </c>
      <c r="D1148" s="4" t="s">
        <v>557</v>
      </c>
      <c r="E1148" s="8"/>
      <c r="F1148" s="3">
        <v>165000</v>
      </c>
      <c r="G1148" s="7">
        <f>IF(Tabla1[[#This Row],[Fecha]]="","",G1147+Tabla1[[#This Row],[ingreso]]-Tabla1[[#This Row],[egreso]])</f>
        <v>4600048.1442999989</v>
      </c>
      <c r="H1148" s="7"/>
      <c r="I1148" s="7" t="s">
        <v>558</v>
      </c>
      <c r="J1148" s="4"/>
      <c r="K1148" t="str">
        <f>IF(Tabla1[[#This Row],[Tipo]]="","",Tabla1[[#This Row],[ingreso]]/Tabla1[[#This Row],[Tipo]])</f>
        <v/>
      </c>
    </row>
    <row r="1149" spans="1:11" x14ac:dyDescent="0.2">
      <c r="A1149">
        <f>COUNTIF($I$2:I1149,'[1]Detalle Pilotos'!$G$3)</f>
        <v>0</v>
      </c>
      <c r="B1149">
        <f t="shared" si="21"/>
        <v>1148</v>
      </c>
      <c r="C1149" s="9">
        <v>44990</v>
      </c>
      <c r="D1149" s="4" t="s">
        <v>528</v>
      </c>
      <c r="E1149" s="8"/>
      <c r="F1149" s="3">
        <v>336000</v>
      </c>
      <c r="G1149" s="7">
        <f>IF(Tabla1[[#This Row],[Fecha]]="","",G1148+Tabla1[[#This Row],[ingreso]]-Tabla1[[#This Row],[egreso]])</f>
        <v>4936048.1442999989</v>
      </c>
      <c r="H1149" s="7"/>
      <c r="I1149" s="7" t="s">
        <v>529</v>
      </c>
      <c r="J1149" s="4"/>
      <c r="K1149" t="str">
        <f>IF(Tabla1[[#This Row],[Tipo]]="","",Tabla1[[#This Row],[ingreso]]/Tabla1[[#This Row],[Tipo]])</f>
        <v/>
      </c>
    </row>
    <row r="1150" spans="1:11" x14ac:dyDescent="0.2">
      <c r="A1150">
        <f>COUNTIF($I$2:I1150,'[1]Detalle Pilotos'!$G$3)</f>
        <v>0</v>
      </c>
      <c r="B1150">
        <f t="shared" si="21"/>
        <v>1149</v>
      </c>
      <c r="C1150" s="9">
        <v>44990</v>
      </c>
      <c r="D1150" s="4" t="s">
        <v>569</v>
      </c>
      <c r="E1150" s="8">
        <v>240000</v>
      </c>
      <c r="F1150" s="3"/>
      <c r="G1150" s="7">
        <f>IF(Tabla1[[#This Row],[Fecha]]="","",G1149+Tabla1[[#This Row],[ingreso]]-Tabla1[[#This Row],[egreso]])</f>
        <v>4696048.1442999989</v>
      </c>
      <c r="H1150" s="7"/>
      <c r="I1150" s="7"/>
      <c r="J1150" s="4"/>
      <c r="K1150" t="str">
        <f>IF(Tabla1[[#This Row],[Tipo]]="","",Tabla1[[#This Row],[ingreso]]/Tabla1[[#This Row],[Tipo]])</f>
        <v/>
      </c>
    </row>
    <row r="1151" spans="1:11" x14ac:dyDescent="0.2">
      <c r="A1151">
        <f>COUNTIF($I$2:I1151,'[1]Detalle Pilotos'!$G$3)</f>
        <v>0</v>
      </c>
      <c r="B1151">
        <f t="shared" si="21"/>
        <v>1150</v>
      </c>
      <c r="C1151" s="9">
        <v>44992</v>
      </c>
      <c r="D1151" s="4" t="s">
        <v>570</v>
      </c>
      <c r="E1151" s="8">
        <v>72000</v>
      </c>
      <c r="F1151" s="3"/>
      <c r="G1151" s="7">
        <f>IF(Tabla1[[#This Row],[Fecha]]="","",G1150+Tabla1[[#This Row],[ingreso]]-Tabla1[[#This Row],[egreso]])</f>
        <v>4624048.1442999989</v>
      </c>
      <c r="H1151" s="7"/>
      <c r="I1151" s="7"/>
      <c r="J1151" s="4"/>
      <c r="K1151" t="str">
        <f>IF(Tabla1[[#This Row],[Tipo]]="","",Tabla1[[#This Row],[ingreso]]/Tabla1[[#This Row],[Tipo]])</f>
        <v/>
      </c>
    </row>
    <row r="1152" spans="1:11" x14ac:dyDescent="0.2">
      <c r="A1152">
        <f>COUNTIF($I$2:I1152,'[1]Detalle Pilotos'!$G$3)</f>
        <v>0</v>
      </c>
      <c r="B1152">
        <f t="shared" si="21"/>
        <v>1151</v>
      </c>
      <c r="C1152" s="9">
        <v>44993</v>
      </c>
      <c r="D1152" s="4" t="s">
        <v>571</v>
      </c>
      <c r="E1152" s="8">
        <v>72225</v>
      </c>
      <c r="F1152" s="3"/>
      <c r="G1152" s="7">
        <f>IF(Tabla1[[#This Row],[Fecha]]="","",G1151+Tabla1[[#This Row],[ingreso]]-Tabla1[[#This Row],[egreso]])</f>
        <v>4551823.1442999989</v>
      </c>
      <c r="H1152" s="7"/>
      <c r="I1152" s="7"/>
      <c r="J1152" s="4"/>
      <c r="K1152" t="str">
        <f>IF(Tabla1[[#This Row],[Tipo]]="","",Tabla1[[#This Row],[ingreso]]/Tabla1[[#This Row],[Tipo]])</f>
        <v/>
      </c>
    </row>
    <row r="1153" spans="1:11" x14ac:dyDescent="0.2">
      <c r="A1153">
        <f>COUNTIF($I$2:I1153,'[1]Detalle Pilotos'!$G$3)</f>
        <v>0</v>
      </c>
      <c r="B1153">
        <f t="shared" si="21"/>
        <v>1152</v>
      </c>
      <c r="C1153" s="9">
        <v>44993</v>
      </c>
      <c r="D1153" s="4" t="s">
        <v>528</v>
      </c>
      <c r="E1153" s="8"/>
      <c r="F1153" s="3">
        <v>190000</v>
      </c>
      <c r="G1153" s="7">
        <f>IF(Tabla1[[#This Row],[Fecha]]="","",G1152+Tabla1[[#This Row],[ingreso]]-Tabla1[[#This Row],[egreso]])</f>
        <v>4741823.1442999989</v>
      </c>
      <c r="H1153" s="7"/>
      <c r="I1153" s="7" t="s">
        <v>529</v>
      </c>
      <c r="J1153" s="4"/>
      <c r="K1153" t="str">
        <f>IF(Tabla1[[#This Row],[Tipo]]="","",Tabla1[[#This Row],[ingreso]]/Tabla1[[#This Row],[Tipo]])</f>
        <v/>
      </c>
    </row>
    <row r="1154" spans="1:11" x14ac:dyDescent="0.2">
      <c r="A1154">
        <f>COUNTIF($I$2:I1154,'[1]Detalle Pilotos'!$G$3)</f>
        <v>0</v>
      </c>
      <c r="B1154">
        <f t="shared" si="21"/>
        <v>1153</v>
      </c>
      <c r="C1154" s="9">
        <v>44994</v>
      </c>
      <c r="D1154" s="4" t="s">
        <v>566</v>
      </c>
      <c r="E1154" s="8"/>
      <c r="F1154" s="3">
        <v>10019717</v>
      </c>
      <c r="G1154" s="7">
        <f>IF(Tabla1[[#This Row],[Fecha]]="","",G1153+Tabla1[[#This Row],[ingreso]]-Tabla1[[#This Row],[egreso]])</f>
        <v>14761540.144299999</v>
      </c>
      <c r="H1154" s="7"/>
      <c r="I1154" s="7"/>
      <c r="J1154" s="4"/>
      <c r="K1154" t="str">
        <f>IF(Tabla1[[#This Row],[Tipo]]="","",Tabla1[[#This Row],[ingreso]]/Tabla1[[#This Row],[Tipo]])</f>
        <v/>
      </c>
    </row>
    <row r="1155" spans="1:11" x14ac:dyDescent="0.2">
      <c r="A1155">
        <f>COUNTIF($I$2:I1155,'[1]Detalle Pilotos'!$G$3)</f>
        <v>0</v>
      </c>
      <c r="B1155">
        <f t="shared" si="21"/>
        <v>1154</v>
      </c>
      <c r="C1155" s="9">
        <v>44994</v>
      </c>
      <c r="D1155" s="4" t="s">
        <v>572</v>
      </c>
      <c r="E1155" s="8">
        <v>3000000</v>
      </c>
      <c r="F1155" s="3"/>
      <c r="G1155" s="7">
        <f>IF(Tabla1[[#This Row],[Fecha]]="","",G1154+Tabla1[[#This Row],[ingreso]]-Tabla1[[#This Row],[egreso]])</f>
        <v>11761540.144299999</v>
      </c>
      <c r="H1155" s="7"/>
      <c r="I1155" s="7"/>
      <c r="J1155" s="4"/>
      <c r="K1155" t="str">
        <f>IF(Tabla1[[#This Row],[Tipo]]="","",Tabla1[[#This Row],[ingreso]]/Tabla1[[#This Row],[Tipo]])</f>
        <v/>
      </c>
    </row>
    <row r="1156" spans="1:11" x14ac:dyDescent="0.2">
      <c r="A1156">
        <f>COUNTIF($I$2:I1156,'[1]Detalle Pilotos'!$G$3)</f>
        <v>0</v>
      </c>
      <c r="B1156">
        <f t="shared" ref="B1156:B1219" si="26">IF(C1156="","",1+B1155)</f>
        <v>1155</v>
      </c>
      <c r="C1156" s="9">
        <v>44998</v>
      </c>
      <c r="D1156" s="4" t="s">
        <v>573</v>
      </c>
      <c r="E1156" s="8">
        <v>4000000</v>
      </c>
      <c r="F1156" s="3"/>
      <c r="G1156" s="7">
        <f>IF(Tabla1[[#This Row],[Fecha]]="","",G1155+Tabla1[[#This Row],[ingreso]]-Tabla1[[#This Row],[egreso]])</f>
        <v>7761540.1442999989</v>
      </c>
      <c r="H1156" s="7"/>
      <c r="I1156" s="7"/>
      <c r="J1156" s="4"/>
      <c r="K1156" t="str">
        <f>IF(Tabla1[[#This Row],[Tipo]]="","",Tabla1[[#This Row],[ingreso]]/Tabla1[[#This Row],[Tipo]])</f>
        <v/>
      </c>
    </row>
    <row r="1157" spans="1:11" x14ac:dyDescent="0.2">
      <c r="A1157">
        <f>COUNTIF($I$2:I1157,'[1]Detalle Pilotos'!$G$3)</f>
        <v>0</v>
      </c>
      <c r="B1157">
        <f t="shared" si="26"/>
        <v>1156</v>
      </c>
      <c r="C1157" s="9">
        <v>44998</v>
      </c>
      <c r="D1157" s="4" t="s">
        <v>574</v>
      </c>
      <c r="E1157" s="8">
        <v>2500000</v>
      </c>
      <c r="F1157" s="3"/>
      <c r="G1157" s="7">
        <f>IF(Tabla1[[#This Row],[Fecha]]="","",G1156+Tabla1[[#This Row],[ingreso]]-Tabla1[[#This Row],[egreso]])</f>
        <v>5261540.1442999989</v>
      </c>
      <c r="H1157" s="7"/>
      <c r="I1157" s="7"/>
      <c r="J1157" s="4"/>
      <c r="K1157" t="str">
        <f>IF(Tabla1[[#This Row],[Tipo]]="","",Tabla1[[#This Row],[ingreso]]/Tabla1[[#This Row],[Tipo]])</f>
        <v/>
      </c>
    </row>
    <row r="1158" spans="1:11" x14ac:dyDescent="0.2">
      <c r="A1158">
        <f>COUNTIF($I$2:I1158,'[1]Detalle Pilotos'!$G$3)</f>
        <v>0</v>
      </c>
      <c r="B1158">
        <f t="shared" si="26"/>
        <v>1157</v>
      </c>
      <c r="C1158" s="9">
        <v>44998</v>
      </c>
      <c r="D1158" s="4" t="s">
        <v>575</v>
      </c>
      <c r="E1158" s="8">
        <v>1789361</v>
      </c>
      <c r="F1158" s="3"/>
      <c r="G1158" s="7">
        <f>IF(Tabla1[[#This Row],[Fecha]]="","",G1157+Tabla1[[#This Row],[ingreso]]-Tabla1[[#This Row],[egreso]])</f>
        <v>3472179.1442999989</v>
      </c>
      <c r="H1158" s="7"/>
      <c r="I1158" s="7"/>
      <c r="J1158" s="4"/>
      <c r="K1158" t="str">
        <f>IF(Tabla1[[#This Row],[Tipo]]="","",Tabla1[[#This Row],[ingreso]]/Tabla1[[#This Row],[Tipo]])</f>
        <v/>
      </c>
    </row>
    <row r="1159" spans="1:11" x14ac:dyDescent="0.2">
      <c r="A1159">
        <f>COUNTIF($I$2:I1159,'[1]Detalle Pilotos'!$G$3)</f>
        <v>0</v>
      </c>
      <c r="B1159">
        <f t="shared" si="26"/>
        <v>1158</v>
      </c>
      <c r="C1159" s="9">
        <v>44998</v>
      </c>
      <c r="D1159" s="4" t="s">
        <v>576</v>
      </c>
      <c r="E1159" s="8">
        <v>216000</v>
      </c>
      <c r="F1159" s="3"/>
      <c r="G1159" s="7">
        <f>IF(Tabla1[[#This Row],[Fecha]]="","",G1158+Tabla1[[#This Row],[ingreso]]-Tabla1[[#This Row],[egreso]])</f>
        <v>3256179.1442999989</v>
      </c>
      <c r="H1159" s="7"/>
      <c r="I1159" s="7"/>
      <c r="J1159" s="4"/>
      <c r="K1159" t="str">
        <f>IF(Tabla1[[#This Row],[Tipo]]="","",Tabla1[[#This Row],[ingreso]]/Tabla1[[#This Row],[Tipo]])</f>
        <v/>
      </c>
    </row>
    <row r="1160" spans="1:11" x14ac:dyDescent="0.2">
      <c r="A1160">
        <f>COUNTIF($I$2:I1160,'[1]Detalle Pilotos'!$G$3)</f>
        <v>0</v>
      </c>
      <c r="B1160">
        <f t="shared" si="26"/>
        <v>1159</v>
      </c>
      <c r="C1160" s="9">
        <v>44998</v>
      </c>
      <c r="D1160" s="4" t="s">
        <v>577</v>
      </c>
      <c r="E1160" s="8">
        <v>64200</v>
      </c>
      <c r="F1160" s="3"/>
      <c r="G1160" s="7">
        <f>IF(Tabla1[[#This Row],[Fecha]]="","",G1159+Tabla1[[#This Row],[ingreso]]-Tabla1[[#This Row],[egreso]])</f>
        <v>3191979.1442999989</v>
      </c>
      <c r="H1160" s="7"/>
      <c r="I1160" s="7"/>
      <c r="J1160" s="4"/>
      <c r="K1160" t="str">
        <f>IF(Tabla1[[#This Row],[Tipo]]="","",Tabla1[[#This Row],[ingreso]]/Tabla1[[#This Row],[Tipo]])</f>
        <v/>
      </c>
    </row>
    <row r="1161" spans="1:11" x14ac:dyDescent="0.2">
      <c r="A1161">
        <f>COUNTIF($I$2:I1161,'[1]Detalle Pilotos'!$G$3)</f>
        <v>0</v>
      </c>
      <c r="B1161">
        <f t="shared" si="26"/>
        <v>1160</v>
      </c>
      <c r="C1161" s="9">
        <v>45001</v>
      </c>
      <c r="D1161" s="4" t="s">
        <v>566</v>
      </c>
      <c r="E1161" s="8"/>
      <c r="F1161" s="3">
        <v>10039433</v>
      </c>
      <c r="G1161" s="7">
        <f>IF(Tabla1[[#This Row],[Fecha]]="","",G1160+Tabla1[[#This Row],[ingreso]]-Tabla1[[#This Row],[egreso]])</f>
        <v>13231412.144299999</v>
      </c>
      <c r="H1161" s="7"/>
      <c r="I1161" s="7"/>
      <c r="J1161" s="4"/>
      <c r="K1161" t="str">
        <f>IF(Tabla1[[#This Row],[Tipo]]="","",Tabla1[[#This Row],[ingreso]]/Tabla1[[#This Row],[Tipo]])</f>
        <v/>
      </c>
    </row>
    <row r="1162" spans="1:11" x14ac:dyDescent="0.2">
      <c r="A1162">
        <f>COUNTIF($I$2:I1162,'[1]Detalle Pilotos'!$G$3)</f>
        <v>0</v>
      </c>
      <c r="B1162">
        <f t="shared" si="26"/>
        <v>1161</v>
      </c>
      <c r="C1162" s="9">
        <v>45001</v>
      </c>
      <c r="D1162" s="4" t="s">
        <v>237</v>
      </c>
      <c r="E1162" s="8"/>
      <c r="F1162" s="3">
        <v>4021750</v>
      </c>
      <c r="G1162" s="7">
        <f>IF(Tabla1[[#This Row],[Fecha]]="","",G1161+Tabla1[[#This Row],[ingreso]]-Tabla1[[#This Row],[egreso]])</f>
        <v>17253162.144299999</v>
      </c>
      <c r="H1162" s="7">
        <v>5000</v>
      </c>
      <c r="I1162" s="7" t="s">
        <v>329</v>
      </c>
      <c r="J1162" s="4"/>
      <c r="K1162">
        <f>IF(Tabla1[[#This Row],[Tipo]]="","",Tabla1[[#This Row],[ingreso]]/Tabla1[[#This Row],[Tipo]])</f>
        <v>804.35</v>
      </c>
    </row>
    <row r="1163" spans="1:11" x14ac:dyDescent="0.2">
      <c r="A1163">
        <f>COUNTIF($I$2:I1163,'[1]Detalle Pilotos'!$G$3)</f>
        <v>0</v>
      </c>
      <c r="B1163">
        <f t="shared" si="26"/>
        <v>1162</v>
      </c>
      <c r="C1163" s="9">
        <v>45001</v>
      </c>
      <c r="D1163" s="4" t="s">
        <v>53</v>
      </c>
      <c r="E1163" s="8"/>
      <c r="F1163" s="3">
        <v>393288</v>
      </c>
      <c r="G1163" s="7">
        <f>IF(Tabla1[[#This Row],[Fecha]]="","",G1162+Tabla1[[#This Row],[ingreso]]-Tabla1[[#This Row],[egreso]])</f>
        <v>17646450.144299999</v>
      </c>
      <c r="H1163" s="7"/>
      <c r="I1163" s="7" t="s">
        <v>54</v>
      </c>
      <c r="J1163" s="4"/>
      <c r="K1163" t="str">
        <f>IF(Tabla1[[#This Row],[Tipo]]="","",Tabla1[[#This Row],[ingreso]]/Tabla1[[#This Row],[Tipo]])</f>
        <v/>
      </c>
    </row>
    <row r="1164" spans="1:11" x14ac:dyDescent="0.2">
      <c r="A1164">
        <f>COUNTIF($I$2:I1164,'[1]Detalle Pilotos'!$G$3)</f>
        <v>0</v>
      </c>
      <c r="B1164">
        <f t="shared" si="26"/>
        <v>1163</v>
      </c>
      <c r="C1164" s="9">
        <v>45001</v>
      </c>
      <c r="D1164" s="4" t="s">
        <v>567</v>
      </c>
      <c r="E1164" s="8">
        <v>5000000</v>
      </c>
      <c r="F1164" s="3"/>
      <c r="G1164" s="7">
        <f>IF(Tabla1[[#This Row],[Fecha]]="","",G1163+Tabla1[[#This Row],[ingreso]]-Tabla1[[#This Row],[egreso]])</f>
        <v>12646450.144299999</v>
      </c>
      <c r="H1164" s="7"/>
      <c r="I1164" s="7"/>
      <c r="J1164" s="4"/>
      <c r="K1164" t="str">
        <f>IF(Tabla1[[#This Row],[Tipo]]="","",Tabla1[[#This Row],[ingreso]]/Tabla1[[#This Row],[Tipo]])</f>
        <v/>
      </c>
    </row>
    <row r="1165" spans="1:11" x14ac:dyDescent="0.2">
      <c r="A1165">
        <f>COUNTIF($I$2:I1165,'[1]Detalle Pilotos'!$G$3)</f>
        <v>0</v>
      </c>
      <c r="B1165">
        <f t="shared" si="26"/>
        <v>1164</v>
      </c>
      <c r="C1165" s="9">
        <v>45001</v>
      </c>
      <c r="D1165" s="4" t="s">
        <v>578</v>
      </c>
      <c r="E1165" s="8">
        <v>4000000</v>
      </c>
      <c r="F1165" s="3"/>
      <c r="G1165" s="7">
        <f>IF(Tabla1[[#This Row],[Fecha]]="","",G1164+Tabla1[[#This Row],[ingreso]]-Tabla1[[#This Row],[egreso]])</f>
        <v>8646450.1442999989</v>
      </c>
      <c r="H1165" s="7"/>
      <c r="I1165" s="7"/>
      <c r="J1165" s="4"/>
      <c r="K1165" t="str">
        <f>IF(Tabla1[[#This Row],[Tipo]]="","",Tabla1[[#This Row],[ingreso]]/Tabla1[[#This Row],[Tipo]])</f>
        <v/>
      </c>
    </row>
    <row r="1166" spans="1:11" x14ac:dyDescent="0.2">
      <c r="A1166">
        <f>COUNTIF($I$2:I1166,'[1]Detalle Pilotos'!$G$3)</f>
        <v>0</v>
      </c>
      <c r="B1166">
        <f t="shared" si="26"/>
        <v>1165</v>
      </c>
      <c r="C1166" s="9">
        <v>45001</v>
      </c>
      <c r="D1166" s="4" t="s">
        <v>579</v>
      </c>
      <c r="E1166" s="8">
        <v>162000</v>
      </c>
      <c r="F1166" s="3"/>
      <c r="G1166" s="7">
        <f>IF(Tabla1[[#This Row],[Fecha]]="","",G1165+Tabla1[[#This Row],[ingreso]]-Tabla1[[#This Row],[egreso]])</f>
        <v>8484450.1442999989</v>
      </c>
      <c r="H1166" s="7"/>
      <c r="I1166" s="7"/>
      <c r="J1166" s="4"/>
      <c r="K1166" t="str">
        <f>IF(Tabla1[[#This Row],[Tipo]]="","",Tabla1[[#This Row],[ingreso]]/Tabla1[[#This Row],[Tipo]])</f>
        <v/>
      </c>
    </row>
    <row r="1167" spans="1:11" x14ac:dyDescent="0.2">
      <c r="A1167">
        <f>COUNTIF($I$2:I1167,'[1]Detalle Pilotos'!$G$3)</f>
        <v>0</v>
      </c>
      <c r="B1167">
        <f t="shared" si="26"/>
        <v>1166</v>
      </c>
      <c r="C1167" s="9">
        <v>45001</v>
      </c>
      <c r="D1167" s="4" t="s">
        <v>580</v>
      </c>
      <c r="E1167" s="8">
        <v>156000</v>
      </c>
      <c r="F1167" s="3"/>
      <c r="G1167" s="7">
        <f>IF(Tabla1[[#This Row],[Fecha]]="","",G1166+Tabla1[[#This Row],[ingreso]]-Tabla1[[#This Row],[egreso]])</f>
        <v>8328450.1442999989</v>
      </c>
      <c r="H1167" s="7"/>
      <c r="I1167" s="7"/>
      <c r="J1167" s="4"/>
      <c r="K1167" t="str">
        <f>IF(Tabla1[[#This Row],[Tipo]]="","",Tabla1[[#This Row],[ingreso]]/Tabla1[[#This Row],[Tipo]])</f>
        <v/>
      </c>
    </row>
    <row r="1168" spans="1:11" x14ac:dyDescent="0.2">
      <c r="A1168">
        <f>COUNTIF($I$2:I1168,'[1]Detalle Pilotos'!$G$3)</f>
        <v>0</v>
      </c>
      <c r="B1168">
        <f t="shared" si="26"/>
        <v>1167</v>
      </c>
      <c r="C1168" s="9">
        <v>45002</v>
      </c>
      <c r="D1168" s="4" t="s">
        <v>528</v>
      </c>
      <c r="E1168" s="8"/>
      <c r="F1168" s="3">
        <v>117245</v>
      </c>
      <c r="G1168" s="7">
        <f>IF(Tabla1[[#This Row],[Fecha]]="","",G1167+Tabla1[[#This Row],[ingreso]]-Tabla1[[#This Row],[egreso]])</f>
        <v>8445695.1442999989</v>
      </c>
      <c r="H1168" s="7"/>
      <c r="I1168" s="7" t="s">
        <v>529</v>
      </c>
      <c r="J1168" s="4"/>
      <c r="K1168" t="str">
        <f>IF(Tabla1[[#This Row],[Tipo]]="","",Tabla1[[#This Row],[ingreso]]/Tabla1[[#This Row],[Tipo]])</f>
        <v/>
      </c>
    </row>
    <row r="1169" spans="1:11" x14ac:dyDescent="0.2">
      <c r="A1169">
        <f>COUNTIF($I$2:I1169,'[1]Detalle Pilotos'!$G$3)</f>
        <v>0</v>
      </c>
      <c r="B1169">
        <f t="shared" si="26"/>
        <v>1168</v>
      </c>
      <c r="C1169" s="9">
        <v>45005</v>
      </c>
      <c r="D1169" s="4" t="s">
        <v>581</v>
      </c>
      <c r="E1169" s="8">
        <v>3683827</v>
      </c>
      <c r="F1169" s="3"/>
      <c r="G1169" s="7">
        <f>IF(Tabla1[[#This Row],[Fecha]]="","",G1168+Tabla1[[#This Row],[ingreso]]-Tabla1[[#This Row],[egreso]])</f>
        <v>4761868.1442999989</v>
      </c>
      <c r="H1169" s="7"/>
      <c r="I1169" s="7"/>
      <c r="J1169" s="4"/>
      <c r="K1169" t="str">
        <f>IF(Tabla1[[#This Row],[Tipo]]="","",Tabla1[[#This Row],[ingreso]]/Tabla1[[#This Row],[Tipo]])</f>
        <v/>
      </c>
    </row>
    <row r="1170" spans="1:11" x14ac:dyDescent="0.2">
      <c r="A1170">
        <f>COUNTIF($I$2:I1170,'[1]Detalle Pilotos'!$G$3)</f>
        <v>0</v>
      </c>
      <c r="B1170">
        <f t="shared" si="26"/>
        <v>1169</v>
      </c>
      <c r="C1170" s="9">
        <v>45006</v>
      </c>
      <c r="D1170" s="4" t="s">
        <v>582</v>
      </c>
      <c r="E1170" s="8">
        <v>135000</v>
      </c>
      <c r="F1170" s="3"/>
      <c r="G1170" s="7">
        <f>IF(Tabla1[[#This Row],[Fecha]]="","",G1169+Tabla1[[#This Row],[ingreso]]-Tabla1[[#This Row],[egreso]])</f>
        <v>4626868.1442999989</v>
      </c>
      <c r="H1170" s="7"/>
      <c r="I1170" s="7"/>
      <c r="J1170" s="4"/>
      <c r="K1170" t="str">
        <f>IF(Tabla1[[#This Row],[Tipo]]="","",Tabla1[[#This Row],[ingreso]]/Tabla1[[#This Row],[Tipo]])</f>
        <v/>
      </c>
    </row>
    <row r="1171" spans="1:11" x14ac:dyDescent="0.2">
      <c r="A1171">
        <f>COUNTIF($I$2:I1171,'[1]Detalle Pilotos'!$G$3)</f>
        <v>0</v>
      </c>
      <c r="B1171">
        <f t="shared" si="26"/>
        <v>1170</v>
      </c>
      <c r="C1171" s="9">
        <v>45007</v>
      </c>
      <c r="D1171" s="4" t="s">
        <v>583</v>
      </c>
      <c r="E1171" s="8">
        <v>198000</v>
      </c>
      <c r="F1171" s="3"/>
      <c r="G1171" s="7">
        <f>IF(Tabla1[[#This Row],[Fecha]]="","",G1170+Tabla1[[#This Row],[ingreso]]-Tabla1[[#This Row],[egreso]])</f>
        <v>4428868.1442999989</v>
      </c>
      <c r="H1171" s="7"/>
      <c r="I1171" s="7"/>
      <c r="J1171" s="4"/>
      <c r="K1171" t="str">
        <f>IF(Tabla1[[#This Row],[Tipo]]="","",Tabla1[[#This Row],[ingreso]]/Tabla1[[#This Row],[Tipo]])</f>
        <v/>
      </c>
    </row>
    <row r="1172" spans="1:11" x14ac:dyDescent="0.2">
      <c r="A1172">
        <f>COUNTIF($I$2:I1172,'[1]Detalle Pilotos'!$G$3)</f>
        <v>0</v>
      </c>
      <c r="B1172">
        <f t="shared" si="26"/>
        <v>1171</v>
      </c>
      <c r="C1172" s="9">
        <v>45008</v>
      </c>
      <c r="D1172" s="4" t="s">
        <v>566</v>
      </c>
      <c r="E1172" s="8"/>
      <c r="F1172" s="3">
        <v>5009858</v>
      </c>
      <c r="G1172" s="7">
        <f>IF(Tabla1[[#This Row],[Fecha]]="","",G1171+Tabla1[[#This Row],[ingreso]]-Tabla1[[#This Row],[egreso]])</f>
        <v>9438726.1442999989</v>
      </c>
      <c r="H1172" s="7"/>
      <c r="I1172" s="7"/>
      <c r="J1172" s="4"/>
      <c r="K1172" t="str">
        <f>IF(Tabla1[[#This Row],[Tipo]]="","",Tabla1[[#This Row],[ingreso]]/Tabla1[[#This Row],[Tipo]])</f>
        <v/>
      </c>
    </row>
    <row r="1173" spans="1:11" x14ac:dyDescent="0.2">
      <c r="A1173">
        <f>COUNTIF($I$2:I1173,'[1]Detalle Pilotos'!$G$3)</f>
        <v>0</v>
      </c>
      <c r="B1173">
        <f t="shared" si="26"/>
        <v>1172</v>
      </c>
      <c r="C1173" s="9">
        <v>45008</v>
      </c>
      <c r="D1173" s="4" t="s">
        <v>584</v>
      </c>
      <c r="E1173" s="8">
        <v>4000000</v>
      </c>
      <c r="F1173" s="3"/>
      <c r="G1173" s="7">
        <f>IF(Tabla1[[#This Row],[Fecha]]="","",G1172+Tabla1[[#This Row],[ingreso]]-Tabla1[[#This Row],[egreso]])</f>
        <v>5438726.1442999989</v>
      </c>
      <c r="H1173" s="7"/>
      <c r="I1173" s="7"/>
      <c r="J1173" s="4"/>
      <c r="K1173" t="str">
        <f>IF(Tabla1[[#This Row],[Tipo]]="","",Tabla1[[#This Row],[ingreso]]/Tabla1[[#This Row],[Tipo]])</f>
        <v/>
      </c>
    </row>
    <row r="1174" spans="1:11" x14ac:dyDescent="0.2">
      <c r="A1174">
        <f>COUNTIF($I$2:I1174,'[1]Detalle Pilotos'!$G$3)</f>
        <v>0</v>
      </c>
      <c r="B1174">
        <f t="shared" si="26"/>
        <v>1173</v>
      </c>
      <c r="C1174" s="9">
        <v>45009</v>
      </c>
      <c r="D1174" s="4" t="s">
        <v>585</v>
      </c>
      <c r="E1174" s="8">
        <v>153000</v>
      </c>
      <c r="F1174" s="3"/>
      <c r="G1174" s="7">
        <f>IF(Tabla1[[#This Row],[Fecha]]="","",G1173+Tabla1[[#This Row],[ingreso]]-Tabla1[[#This Row],[egreso]])</f>
        <v>5285726.1442999989</v>
      </c>
      <c r="H1174" s="7"/>
      <c r="I1174" s="7"/>
      <c r="J1174" s="4"/>
      <c r="K1174" t="str">
        <f>IF(Tabla1[[#This Row],[Tipo]]="","",Tabla1[[#This Row],[ingreso]]/Tabla1[[#This Row],[Tipo]])</f>
        <v/>
      </c>
    </row>
    <row r="1175" spans="1:11" x14ac:dyDescent="0.2">
      <c r="A1175">
        <f>COUNTIF($I$2:I1175,'[1]Detalle Pilotos'!$G$3)</f>
        <v>0</v>
      </c>
      <c r="B1175">
        <f t="shared" si="26"/>
        <v>1174</v>
      </c>
      <c r="C1175" s="9">
        <v>45013</v>
      </c>
      <c r="D1175" s="4" t="s">
        <v>586</v>
      </c>
      <c r="E1175" s="8">
        <v>4409052</v>
      </c>
      <c r="F1175" s="3"/>
      <c r="G1175" s="7">
        <f>IF(Tabla1[[#This Row],[Fecha]]="","",G1174+Tabla1[[#This Row],[ingreso]]-Tabla1[[#This Row],[egreso]])</f>
        <v>876674.14429999888</v>
      </c>
      <c r="H1175" s="7"/>
      <c r="I1175" s="7"/>
      <c r="J1175" s="4"/>
      <c r="K1175" t="str">
        <f>IF(Tabla1[[#This Row],[Tipo]]="","",Tabla1[[#This Row],[ingreso]]/Tabla1[[#This Row],[Tipo]])</f>
        <v/>
      </c>
    </row>
    <row r="1176" spans="1:11" x14ac:dyDescent="0.2">
      <c r="A1176">
        <f>COUNTIF($I$2:I1176,'[1]Detalle Pilotos'!$G$3)</f>
        <v>0</v>
      </c>
      <c r="B1176">
        <f t="shared" si="26"/>
        <v>1175</v>
      </c>
      <c r="C1176" s="9">
        <v>45014</v>
      </c>
      <c r="D1176" s="4" t="s">
        <v>587</v>
      </c>
      <c r="E1176" s="8">
        <v>119091</v>
      </c>
      <c r="F1176" s="3"/>
      <c r="G1176" s="7">
        <f>IF(Tabla1[[#This Row],[Fecha]]="","",G1175+Tabla1[[#This Row],[ingreso]]-Tabla1[[#This Row],[egreso]])</f>
        <v>757583.14429999888</v>
      </c>
      <c r="H1176" s="7"/>
      <c r="I1176" s="7"/>
      <c r="J1176" s="4"/>
      <c r="K1176" t="str">
        <f>IF(Tabla1[[#This Row],[Tipo]]="","",Tabla1[[#This Row],[ingreso]]/Tabla1[[#This Row],[Tipo]])</f>
        <v/>
      </c>
    </row>
    <row r="1177" spans="1:11" x14ac:dyDescent="0.2">
      <c r="A1177">
        <f>COUNTIF($I$2:I1177,'[1]Detalle Pilotos'!$G$3)</f>
        <v>0</v>
      </c>
      <c r="B1177">
        <f t="shared" si="26"/>
        <v>1176</v>
      </c>
      <c r="C1177" s="9">
        <v>45014</v>
      </c>
      <c r="D1177" s="4" t="s">
        <v>588</v>
      </c>
      <c r="E1177" s="8">
        <v>71158</v>
      </c>
      <c r="F1177" s="3"/>
      <c r="G1177" s="7">
        <f>IF(Tabla1[[#This Row],[Fecha]]="","",G1176+Tabla1[[#This Row],[ingreso]]-Tabla1[[#This Row],[egreso]])</f>
        <v>686425.14429999888</v>
      </c>
      <c r="H1177" s="7"/>
      <c r="I1177" s="7"/>
      <c r="J1177" s="4"/>
      <c r="K1177" t="str">
        <f>IF(Tabla1[[#This Row],[Tipo]]="","",Tabla1[[#This Row],[ingreso]]/Tabla1[[#This Row],[Tipo]])</f>
        <v/>
      </c>
    </row>
    <row r="1178" spans="1:11" x14ac:dyDescent="0.2">
      <c r="A1178">
        <f>COUNTIF($I$2:I1178,'[1]Detalle Pilotos'!$G$3)</f>
        <v>0</v>
      </c>
      <c r="B1178">
        <f t="shared" si="26"/>
        <v>1177</v>
      </c>
      <c r="C1178" s="9">
        <v>45016</v>
      </c>
      <c r="D1178" s="4" t="s">
        <v>564</v>
      </c>
      <c r="E1178" s="8"/>
      <c r="F1178" s="3">
        <v>787129</v>
      </c>
      <c r="G1178" s="7">
        <f>IF(Tabla1[[#This Row],[Fecha]]="","",G1177+Tabla1[[#This Row],[ingreso]]-Tabla1[[#This Row],[egreso]])</f>
        <v>1473554.1442999989</v>
      </c>
      <c r="H1178" s="7"/>
      <c r="I1178" s="7" t="s">
        <v>565</v>
      </c>
      <c r="J1178" s="4"/>
      <c r="K1178" t="str">
        <f>IF(Tabla1[[#This Row],[Tipo]]="","",Tabla1[[#This Row],[ingreso]]/Tabla1[[#This Row],[Tipo]])</f>
        <v/>
      </c>
    </row>
    <row r="1179" spans="1:11" x14ac:dyDescent="0.2">
      <c r="A1179">
        <f>COUNTIF($I$2:I1179,'[1]Detalle Pilotos'!$G$3)</f>
        <v>0</v>
      </c>
      <c r="B1179">
        <f t="shared" si="26"/>
        <v>1178</v>
      </c>
      <c r="C1179" s="9">
        <v>45016</v>
      </c>
      <c r="D1179" s="4" t="s">
        <v>589</v>
      </c>
      <c r="E1179" s="8"/>
      <c r="F1179" s="3">
        <v>600000</v>
      </c>
      <c r="G1179" s="7">
        <f>IF(Tabla1[[#This Row],[Fecha]]="","",G1178+Tabla1[[#This Row],[ingreso]]-Tabla1[[#This Row],[egreso]])</f>
        <v>2073554.1442999989</v>
      </c>
      <c r="H1179" s="7"/>
      <c r="I1179" s="7" t="s">
        <v>590</v>
      </c>
      <c r="J1179" s="4"/>
      <c r="K1179" t="str">
        <f>IF(Tabla1[[#This Row],[Tipo]]="","",Tabla1[[#This Row],[ingreso]]/Tabla1[[#This Row],[Tipo]])</f>
        <v/>
      </c>
    </row>
    <row r="1180" spans="1:11" x14ac:dyDescent="0.2">
      <c r="A1180">
        <f>COUNTIF($I$2:I1180,'[1]Detalle Pilotos'!$G$3)</f>
        <v>0</v>
      </c>
      <c r="B1180">
        <f t="shared" si="26"/>
        <v>1179</v>
      </c>
      <c r="C1180" s="9">
        <v>45016</v>
      </c>
      <c r="D1180" s="4" t="s">
        <v>589</v>
      </c>
      <c r="E1180" s="8"/>
      <c r="F1180" s="3">
        <v>237168</v>
      </c>
      <c r="G1180" s="7">
        <f>IF(Tabla1[[#This Row],[Fecha]]="","",G1179+Tabla1[[#This Row],[ingreso]]-Tabla1[[#This Row],[egreso]])</f>
        <v>2310722.1442999989</v>
      </c>
      <c r="H1180" s="7"/>
      <c r="I1180" s="7" t="s">
        <v>590</v>
      </c>
      <c r="J1180" s="4"/>
      <c r="K1180" t="str">
        <f>IF(Tabla1[[#This Row],[Tipo]]="","",Tabla1[[#This Row],[ingreso]]/Tabla1[[#This Row],[Tipo]])</f>
        <v/>
      </c>
    </row>
    <row r="1181" spans="1:11" x14ac:dyDescent="0.2">
      <c r="A1181">
        <f>COUNTIF($I$2:I1181,'[1]Detalle Pilotos'!$G$3)</f>
        <v>0</v>
      </c>
      <c r="B1181">
        <f t="shared" si="26"/>
        <v>1180</v>
      </c>
      <c r="C1181" s="9">
        <v>45016</v>
      </c>
      <c r="D1181" s="4" t="s">
        <v>591</v>
      </c>
      <c r="E1181" s="8">
        <v>78000</v>
      </c>
      <c r="F1181" s="3"/>
      <c r="G1181" s="7">
        <f>IF(Tabla1[[#This Row],[Fecha]]="","",G1180+Tabla1[[#This Row],[ingreso]]-Tabla1[[#This Row],[egreso]])</f>
        <v>2232722.1442999989</v>
      </c>
      <c r="H1181" s="7"/>
      <c r="I1181" s="7"/>
      <c r="J1181" s="4"/>
      <c r="K1181" t="str">
        <f>IF(Tabla1[[#This Row],[Tipo]]="","",Tabla1[[#This Row],[ingreso]]/Tabla1[[#This Row],[Tipo]])</f>
        <v/>
      </c>
    </row>
    <row r="1182" spans="1:11" x14ac:dyDescent="0.2">
      <c r="A1182">
        <f>COUNTIF($I$2:I1182,'[1]Detalle Pilotos'!$G$3)</f>
        <v>0</v>
      </c>
      <c r="B1182">
        <f t="shared" si="26"/>
        <v>1181</v>
      </c>
      <c r="C1182" s="9">
        <v>45016</v>
      </c>
      <c r="D1182" s="4" t="s">
        <v>237</v>
      </c>
      <c r="E1182" s="8"/>
      <c r="F1182" s="3">
        <v>3108200</v>
      </c>
      <c r="G1182" s="7">
        <f>IF(Tabla1[[#This Row],[Fecha]]="","",G1181+Tabla1[[#This Row],[ingreso]]-Tabla1[[#This Row],[egreso]])</f>
        <v>5340922.1442999989</v>
      </c>
      <c r="H1182" s="7">
        <v>4000</v>
      </c>
      <c r="I1182" s="7" t="s">
        <v>329</v>
      </c>
      <c r="J1182" s="4"/>
      <c r="K1182">
        <f>IF(Tabla1[[#This Row],[Tipo]]="","",Tabla1[[#This Row],[ingreso]]/Tabla1[[#This Row],[Tipo]])</f>
        <v>777.05</v>
      </c>
    </row>
    <row r="1183" spans="1:11" x14ac:dyDescent="0.2">
      <c r="A1183">
        <f>COUNTIF($I$2:I1183,'[1]Detalle Pilotos'!$G$3)</f>
        <v>0</v>
      </c>
      <c r="B1183">
        <f t="shared" si="26"/>
        <v>1182</v>
      </c>
      <c r="C1183" s="9">
        <v>45016</v>
      </c>
      <c r="D1183" s="4" t="s">
        <v>592</v>
      </c>
      <c r="E1183" s="8">
        <v>403189</v>
      </c>
      <c r="F1183" s="3"/>
      <c r="G1183" s="7">
        <f>IF(Tabla1[[#This Row],[Fecha]]="","",G1182+Tabla1[[#This Row],[ingreso]]-Tabla1[[#This Row],[egreso]])</f>
        <v>4937733.1442999989</v>
      </c>
      <c r="H1183" s="7"/>
      <c r="I1183" s="7"/>
      <c r="J1183" s="4"/>
      <c r="K1183" t="str">
        <f>IF(Tabla1[[#This Row],[Tipo]]="","",Tabla1[[#This Row],[ingreso]]/Tabla1[[#This Row],[Tipo]])</f>
        <v/>
      </c>
    </row>
    <row r="1184" spans="1:11" x14ac:dyDescent="0.2">
      <c r="A1184">
        <f>COUNTIF($I$2:I1184,'[1]Detalle Pilotos'!$G$3)</f>
        <v>0</v>
      </c>
      <c r="B1184">
        <f t="shared" si="26"/>
        <v>1183</v>
      </c>
      <c r="C1184" s="9">
        <v>45016</v>
      </c>
      <c r="D1184" s="4" t="s">
        <v>593</v>
      </c>
      <c r="E1184" s="8">
        <v>186000</v>
      </c>
      <c r="F1184" s="3"/>
      <c r="G1184" s="7">
        <f>IF(Tabla1[[#This Row],[Fecha]]="","",G1183+Tabla1[[#This Row],[ingreso]]-Tabla1[[#This Row],[egreso]])</f>
        <v>4751733.1442999989</v>
      </c>
      <c r="H1184" s="7"/>
      <c r="I1184" s="7"/>
      <c r="J1184" s="4"/>
      <c r="K1184" t="str">
        <f>IF(Tabla1[[#This Row],[Tipo]]="","",Tabla1[[#This Row],[ingreso]]/Tabla1[[#This Row],[Tipo]])</f>
        <v/>
      </c>
    </row>
    <row r="1185" spans="1:11" x14ac:dyDescent="0.2">
      <c r="A1185">
        <f>COUNTIF($I$2:I1185,'[1]Detalle Pilotos'!$G$3)</f>
        <v>0</v>
      </c>
      <c r="B1185">
        <f t="shared" si="26"/>
        <v>1184</v>
      </c>
      <c r="C1185" s="9">
        <v>45016</v>
      </c>
      <c r="D1185" s="4" t="s">
        <v>594</v>
      </c>
      <c r="E1185" s="8">
        <v>4000000</v>
      </c>
      <c r="F1185" s="3"/>
      <c r="G1185" s="7">
        <f>IF(Tabla1[[#This Row],[Fecha]]="","",G1184+Tabla1[[#This Row],[ingreso]]-Tabla1[[#This Row],[egreso]])</f>
        <v>751733.14429999888</v>
      </c>
      <c r="H1185" s="7"/>
      <c r="I1185" s="7"/>
      <c r="J1185" s="4"/>
      <c r="K1185" t="str">
        <f>IF(Tabla1[[#This Row],[Tipo]]="","",Tabla1[[#This Row],[ingreso]]/Tabla1[[#This Row],[Tipo]])</f>
        <v/>
      </c>
    </row>
    <row r="1186" spans="1:11" x14ac:dyDescent="0.2">
      <c r="A1186">
        <f>COUNTIF($I$2:I1186,'[1]Detalle Pilotos'!$G$3)</f>
        <v>0</v>
      </c>
      <c r="B1186">
        <f t="shared" si="26"/>
        <v>1185</v>
      </c>
      <c r="C1186" s="9">
        <v>45016</v>
      </c>
      <c r="D1186" s="4" t="s">
        <v>395</v>
      </c>
      <c r="E1186" s="8"/>
      <c r="F1186" s="3">
        <v>251500</v>
      </c>
      <c r="G1186" s="7">
        <f>IF(Tabla1[[#This Row],[Fecha]]="","",G1185+Tabla1[[#This Row],[ingreso]]-Tabla1[[#This Row],[egreso]])</f>
        <v>1003233.1442999989</v>
      </c>
      <c r="H1186" s="7"/>
      <c r="I1186" s="7"/>
      <c r="J1186" s="4"/>
      <c r="K1186" t="str">
        <f>IF(Tabla1[[#This Row],[Tipo]]="","",Tabla1[[#This Row],[ingreso]]/Tabla1[[#This Row],[Tipo]])</f>
        <v/>
      </c>
    </row>
    <row r="1187" spans="1:11" x14ac:dyDescent="0.2">
      <c r="A1187">
        <f>COUNTIF($I$2:I1187,'[1]Detalle Pilotos'!$G$3)</f>
        <v>0</v>
      </c>
      <c r="B1187">
        <f t="shared" si="26"/>
        <v>1186</v>
      </c>
      <c r="C1187" s="9">
        <v>45018</v>
      </c>
      <c r="D1187" s="4" t="s">
        <v>595</v>
      </c>
      <c r="E1187" s="8">
        <v>119660</v>
      </c>
      <c r="F1187" s="3"/>
      <c r="G1187" s="7">
        <f>IF(Tabla1[[#This Row],[Fecha]]="","",G1186+Tabla1[[#This Row],[ingreso]]-Tabla1[[#This Row],[egreso]])</f>
        <v>883573.14429999888</v>
      </c>
      <c r="H1187" s="7"/>
      <c r="I1187" s="7"/>
      <c r="J1187" s="4"/>
      <c r="K1187" t="str">
        <f>IF(Tabla1[[#This Row],[Tipo]]="","",Tabla1[[#This Row],[ingreso]]/Tabla1[[#This Row],[Tipo]])</f>
        <v/>
      </c>
    </row>
    <row r="1188" spans="1:11" x14ac:dyDescent="0.2">
      <c r="A1188">
        <f>COUNTIF($I$2:I1188,'[1]Detalle Pilotos'!$G$3)</f>
        <v>0</v>
      </c>
      <c r="B1188">
        <f t="shared" si="26"/>
        <v>1187</v>
      </c>
      <c r="C1188" s="9">
        <v>45018</v>
      </c>
      <c r="D1188" s="4" t="s">
        <v>557</v>
      </c>
      <c r="E1188" s="8"/>
      <c r="F1188" s="3">
        <v>165000</v>
      </c>
      <c r="G1188" s="7">
        <f>IF(Tabla1[[#This Row],[Fecha]]="","",G1187+Tabla1[[#This Row],[ingreso]]-Tabla1[[#This Row],[egreso]])</f>
        <v>1048573.1442999989</v>
      </c>
      <c r="H1188" s="7"/>
      <c r="I1188" s="7" t="s">
        <v>558</v>
      </c>
      <c r="J1188" s="4"/>
      <c r="K1188" t="str">
        <f>IF(Tabla1[[#This Row],[Tipo]]="","",Tabla1[[#This Row],[ingreso]]/Tabla1[[#This Row],[Tipo]])</f>
        <v/>
      </c>
    </row>
    <row r="1189" spans="1:11" x14ac:dyDescent="0.2">
      <c r="A1189">
        <f>COUNTIF($I$2:I1189,'[1]Detalle Pilotos'!$G$3)</f>
        <v>0</v>
      </c>
      <c r="B1189">
        <f t="shared" si="26"/>
        <v>1188</v>
      </c>
      <c r="C1189" s="9">
        <v>45019</v>
      </c>
      <c r="D1189" s="4" t="s">
        <v>53</v>
      </c>
      <c r="E1189" s="8"/>
      <c r="F1189" s="3">
        <v>279807</v>
      </c>
      <c r="G1189" s="7">
        <f>IF(Tabla1[[#This Row],[Fecha]]="","",G1188+Tabla1[[#This Row],[ingreso]]-Tabla1[[#This Row],[egreso]])</f>
        <v>1328380.1442999989</v>
      </c>
      <c r="H1189" s="7"/>
      <c r="I1189" s="7" t="s">
        <v>54</v>
      </c>
      <c r="J1189" s="4"/>
      <c r="K1189" t="str">
        <f>IF(Tabla1[[#This Row],[Tipo]]="","",Tabla1[[#This Row],[ingreso]]/Tabla1[[#This Row],[Tipo]])</f>
        <v/>
      </c>
    </row>
    <row r="1190" spans="1:11" x14ac:dyDescent="0.2">
      <c r="A1190">
        <f>COUNTIF($I$2:I1190,'[1]Detalle Pilotos'!$G$3)</f>
        <v>0</v>
      </c>
      <c r="B1190">
        <f t="shared" si="26"/>
        <v>1189</v>
      </c>
      <c r="C1190" s="9">
        <v>45020</v>
      </c>
      <c r="D1190" s="4" t="s">
        <v>237</v>
      </c>
      <c r="E1190" s="8"/>
      <c r="F1190" s="3">
        <v>15923000</v>
      </c>
      <c r="G1190" s="7">
        <f>IF(Tabla1[[#This Row],[Fecha]]="","",G1189+Tabla1[[#This Row],[ingreso]]-Tabla1[[#This Row],[egreso]])</f>
        <v>17251380.144299999</v>
      </c>
      <c r="H1190" s="7">
        <v>20000</v>
      </c>
      <c r="I1190" s="7" t="s">
        <v>329</v>
      </c>
      <c r="J1190" s="4"/>
      <c r="K1190">
        <f>IF(Tabla1[[#This Row],[Tipo]]="","",Tabla1[[#This Row],[ingreso]]/Tabla1[[#This Row],[Tipo]])</f>
        <v>796.15</v>
      </c>
    </row>
    <row r="1191" spans="1:11" x14ac:dyDescent="0.2">
      <c r="A1191">
        <f>COUNTIF($I$2:I1191,'[1]Detalle Pilotos'!$G$3)</f>
        <v>0</v>
      </c>
      <c r="B1191">
        <f t="shared" si="26"/>
        <v>1190</v>
      </c>
      <c r="C1191" s="9">
        <v>45020</v>
      </c>
      <c r="D1191" s="4" t="s">
        <v>596</v>
      </c>
      <c r="E1191" s="8">
        <v>3369975</v>
      </c>
      <c r="F1191" s="3"/>
      <c r="G1191" s="7">
        <f>IF(Tabla1[[#This Row],[Fecha]]="","",G1190+Tabla1[[#This Row],[ingreso]]-Tabla1[[#This Row],[egreso]])</f>
        <v>13881405.144299999</v>
      </c>
      <c r="H1191" s="7"/>
      <c r="I1191" s="7"/>
      <c r="J1191" s="4"/>
      <c r="K1191" t="str">
        <f>IF(Tabla1[[#This Row],[Tipo]]="","",Tabla1[[#This Row],[ingreso]]/Tabla1[[#This Row],[Tipo]])</f>
        <v/>
      </c>
    </row>
    <row r="1192" spans="1:11" x14ac:dyDescent="0.2">
      <c r="A1192">
        <f>COUNTIF($I$2:I1192,'[1]Detalle Pilotos'!$G$3)</f>
        <v>0</v>
      </c>
      <c r="B1192">
        <f t="shared" si="26"/>
        <v>1191</v>
      </c>
      <c r="C1192" s="9">
        <v>45020</v>
      </c>
      <c r="D1192" s="4" t="s">
        <v>271</v>
      </c>
      <c r="E1192" s="8"/>
      <c r="F1192" s="3">
        <v>337191</v>
      </c>
      <c r="G1192" s="7">
        <f>IF(Tabla1[[#This Row],[Fecha]]="","",G1191+Tabla1[[#This Row],[ingreso]]-Tabla1[[#This Row],[egreso]])</f>
        <v>14218596.144299999</v>
      </c>
      <c r="H1192" s="7"/>
      <c r="I1192" s="7" t="s">
        <v>184</v>
      </c>
      <c r="J1192" s="4"/>
      <c r="K1192" t="str">
        <f>IF(Tabla1[[#This Row],[Tipo]]="","",Tabla1[[#This Row],[ingreso]]/Tabla1[[#This Row],[Tipo]])</f>
        <v/>
      </c>
    </row>
    <row r="1193" spans="1:11" x14ac:dyDescent="0.2">
      <c r="A1193">
        <f>COUNTIF($I$2:I1193,'[1]Detalle Pilotos'!$G$3)</f>
        <v>0</v>
      </c>
      <c r="B1193">
        <f t="shared" si="26"/>
        <v>1192</v>
      </c>
      <c r="C1193" s="9">
        <v>45021</v>
      </c>
      <c r="D1193" s="4" t="s">
        <v>597</v>
      </c>
      <c r="E1193" s="8">
        <v>4000000</v>
      </c>
      <c r="F1193" s="3"/>
      <c r="G1193" s="7">
        <f>IF(Tabla1[[#This Row],[Fecha]]="","",G1192+Tabla1[[#This Row],[ingreso]]-Tabla1[[#This Row],[egreso]])</f>
        <v>10218596.144299999</v>
      </c>
      <c r="H1193" s="7"/>
      <c r="I1193" s="7"/>
      <c r="J1193" s="4"/>
      <c r="K1193" t="str">
        <f>IF(Tabla1[[#This Row],[Tipo]]="","",Tabla1[[#This Row],[ingreso]]/Tabla1[[#This Row],[Tipo]])</f>
        <v/>
      </c>
    </row>
    <row r="1194" spans="1:11" x14ac:dyDescent="0.2">
      <c r="A1194">
        <f>COUNTIF($I$2:I1194,'[1]Detalle Pilotos'!$G$3)</f>
        <v>0</v>
      </c>
      <c r="B1194">
        <f t="shared" si="26"/>
        <v>1193</v>
      </c>
      <c r="C1194" s="9">
        <v>45023</v>
      </c>
      <c r="D1194" s="4" t="s">
        <v>598</v>
      </c>
      <c r="E1194" s="8">
        <v>4000000</v>
      </c>
      <c r="F1194" s="3"/>
      <c r="G1194" s="7">
        <f>IF(Tabla1[[#This Row],[Fecha]]="","",G1193+Tabla1[[#This Row],[ingreso]]-Tabla1[[#This Row],[egreso]])</f>
        <v>6218596.1442999989</v>
      </c>
      <c r="H1194" s="7"/>
      <c r="I1194" s="7"/>
      <c r="J1194" s="4"/>
      <c r="K1194" t="str">
        <f>IF(Tabla1[[#This Row],[Tipo]]="","",Tabla1[[#This Row],[ingreso]]/Tabla1[[#This Row],[Tipo]])</f>
        <v/>
      </c>
    </row>
    <row r="1195" spans="1:11" x14ac:dyDescent="0.2">
      <c r="A1195">
        <f>COUNTIF($I$2:I1195,'[1]Detalle Pilotos'!$G$3)</f>
        <v>0</v>
      </c>
      <c r="B1195">
        <f t="shared" si="26"/>
        <v>1194</v>
      </c>
      <c r="C1195" s="9">
        <v>45023</v>
      </c>
      <c r="D1195" s="4" t="s">
        <v>237</v>
      </c>
      <c r="E1195" s="8"/>
      <c r="F1195" s="3">
        <v>7988500</v>
      </c>
      <c r="G1195" s="7">
        <f>IF(Tabla1[[#This Row],[Fecha]]="","",G1194+Tabla1[[#This Row],[ingreso]]-Tabla1[[#This Row],[egreso]])</f>
        <v>14207096.144299999</v>
      </c>
      <c r="H1195" s="7">
        <v>10000</v>
      </c>
      <c r="I1195" s="7" t="s">
        <v>329</v>
      </c>
      <c r="J1195" s="4"/>
      <c r="K1195">
        <f>IF(Tabla1[[#This Row],[Tipo]]="","",Tabla1[[#This Row],[ingreso]]/Tabla1[[#This Row],[Tipo]])</f>
        <v>798.85</v>
      </c>
    </row>
    <row r="1196" spans="1:11" x14ac:dyDescent="0.2">
      <c r="A1196">
        <f>COUNTIF($I$2:I1196,'[1]Detalle Pilotos'!$G$3)</f>
        <v>0</v>
      </c>
      <c r="B1196">
        <f t="shared" si="26"/>
        <v>1195</v>
      </c>
      <c r="C1196" s="9">
        <v>45025</v>
      </c>
      <c r="D1196" s="4" t="s">
        <v>599</v>
      </c>
      <c r="E1196" s="8">
        <v>90000</v>
      </c>
      <c r="F1196" s="3"/>
      <c r="G1196" s="7">
        <f>IF(Tabla1[[#This Row],[Fecha]]="","",G1195+Tabla1[[#This Row],[ingreso]]-Tabla1[[#This Row],[egreso]])</f>
        <v>14117096.144299999</v>
      </c>
      <c r="H1196" s="7"/>
      <c r="I1196" s="7"/>
      <c r="J1196" s="4"/>
      <c r="K1196" t="str">
        <f>IF(Tabla1[[#This Row],[Tipo]]="","",Tabla1[[#This Row],[ingreso]]/Tabla1[[#This Row],[Tipo]])</f>
        <v/>
      </c>
    </row>
    <row r="1197" spans="1:11" x14ac:dyDescent="0.2">
      <c r="A1197">
        <f>COUNTIF($I$2:I1197,'[1]Detalle Pilotos'!$G$3)</f>
        <v>0</v>
      </c>
      <c r="B1197">
        <f t="shared" si="26"/>
        <v>1196</v>
      </c>
      <c r="C1197" s="9">
        <v>45025</v>
      </c>
      <c r="D1197" s="4" t="s">
        <v>600</v>
      </c>
      <c r="E1197" s="8">
        <v>210000</v>
      </c>
      <c r="F1197" s="3"/>
      <c r="G1197" s="7">
        <f>IF(Tabla1[[#This Row],[Fecha]]="","",G1196+Tabla1[[#This Row],[ingreso]]-Tabla1[[#This Row],[egreso]])</f>
        <v>13907096.144299999</v>
      </c>
      <c r="H1197" s="7"/>
      <c r="I1197" s="7"/>
      <c r="J1197" s="4"/>
      <c r="K1197" t="str">
        <f>IF(Tabla1[[#This Row],[Tipo]]="","",Tabla1[[#This Row],[ingreso]]/Tabla1[[#This Row],[Tipo]])</f>
        <v/>
      </c>
    </row>
    <row r="1198" spans="1:11" x14ac:dyDescent="0.2">
      <c r="A1198">
        <f>COUNTIF($I$2:I1198,'[1]Detalle Pilotos'!$G$3)</f>
        <v>0</v>
      </c>
      <c r="B1198">
        <f t="shared" si="26"/>
        <v>1197</v>
      </c>
      <c r="C1198" s="9">
        <v>45025</v>
      </c>
      <c r="D1198" s="4" t="s">
        <v>601</v>
      </c>
      <c r="E1198" s="8">
        <v>1737314</v>
      </c>
      <c r="F1198" s="3"/>
      <c r="G1198" s="7">
        <f>IF(Tabla1[[#This Row],[Fecha]]="","",G1197+Tabla1[[#This Row],[ingreso]]-Tabla1[[#This Row],[egreso]])</f>
        <v>12169782.144299999</v>
      </c>
      <c r="H1198" s="7"/>
      <c r="I1198" s="7"/>
      <c r="J1198" s="4"/>
      <c r="K1198" t="str">
        <f>IF(Tabla1[[#This Row],[Tipo]]="","",Tabla1[[#This Row],[ingreso]]/Tabla1[[#This Row],[Tipo]])</f>
        <v/>
      </c>
    </row>
    <row r="1199" spans="1:11" x14ac:dyDescent="0.2">
      <c r="A1199">
        <f>COUNTIF($I$2:I1199,'[1]Detalle Pilotos'!$G$3)</f>
        <v>0</v>
      </c>
      <c r="B1199">
        <f t="shared" si="26"/>
        <v>1198</v>
      </c>
      <c r="C1199" s="9">
        <v>45027</v>
      </c>
      <c r="D1199" s="4" t="s">
        <v>602</v>
      </c>
      <c r="E1199" s="8">
        <v>35000</v>
      </c>
      <c r="F1199" s="3"/>
      <c r="G1199" s="7">
        <f>IF(Tabla1[[#This Row],[Fecha]]="","",G1198+Tabla1[[#This Row],[ingreso]]-Tabla1[[#This Row],[egreso]])</f>
        <v>12134782.144299999</v>
      </c>
      <c r="H1199" s="7"/>
      <c r="I1199" s="7"/>
      <c r="J1199" s="4"/>
      <c r="K1199" t="str">
        <f>IF(Tabla1[[#This Row],[Tipo]]="","",Tabla1[[#This Row],[ingreso]]/Tabla1[[#This Row],[Tipo]])</f>
        <v/>
      </c>
    </row>
    <row r="1200" spans="1:11" x14ac:dyDescent="0.2">
      <c r="A1200">
        <f>COUNTIF($I$2:I1200,'[1]Detalle Pilotos'!$G$3)</f>
        <v>0</v>
      </c>
      <c r="B1200">
        <f t="shared" si="26"/>
        <v>1199</v>
      </c>
      <c r="C1200" s="9">
        <v>45031</v>
      </c>
      <c r="D1200" s="4" t="s">
        <v>603</v>
      </c>
      <c r="E1200" s="8">
        <v>136482</v>
      </c>
      <c r="F1200" s="3"/>
      <c r="G1200" s="7">
        <f>IF(Tabla1[[#This Row],[Fecha]]="","",G1199+Tabla1[[#This Row],[ingreso]]-Tabla1[[#This Row],[egreso]])</f>
        <v>11998300.144299999</v>
      </c>
      <c r="H1200" s="7"/>
      <c r="I1200" s="7"/>
      <c r="J1200" s="4"/>
      <c r="K1200" t="str">
        <f>IF(Tabla1[[#This Row],[Tipo]]="","",Tabla1[[#This Row],[ingreso]]/Tabla1[[#This Row],[Tipo]])</f>
        <v/>
      </c>
    </row>
    <row r="1201" spans="1:11" x14ac:dyDescent="0.2">
      <c r="A1201">
        <f>COUNTIF($I$2:I1201,'[1]Detalle Pilotos'!$G$3)</f>
        <v>0</v>
      </c>
      <c r="B1201">
        <f t="shared" si="26"/>
        <v>1200</v>
      </c>
      <c r="C1201" s="9">
        <v>45033</v>
      </c>
      <c r="D1201" s="4" t="s">
        <v>604</v>
      </c>
      <c r="E1201" s="8"/>
      <c r="F1201" s="3">
        <v>240000</v>
      </c>
      <c r="G1201" s="7">
        <f>IF(Tabla1[[#This Row],[Fecha]]="","",G1200+Tabla1[[#This Row],[ingreso]]-Tabla1[[#This Row],[egreso]])</f>
        <v>12238300.144299999</v>
      </c>
      <c r="H1201" s="7"/>
      <c r="I1201" s="7" t="s">
        <v>37</v>
      </c>
      <c r="J1201" s="4"/>
      <c r="K1201" t="str">
        <f>IF(Tabla1[[#This Row],[Tipo]]="","",Tabla1[[#This Row],[ingreso]]/Tabla1[[#This Row],[Tipo]])</f>
        <v/>
      </c>
    </row>
    <row r="1202" spans="1:11" x14ac:dyDescent="0.2">
      <c r="A1202">
        <f>COUNTIF($I$2:I1202,'[1]Detalle Pilotos'!$G$3)</f>
        <v>0</v>
      </c>
      <c r="B1202">
        <f t="shared" si="26"/>
        <v>1201</v>
      </c>
      <c r="C1202" s="9">
        <v>45033</v>
      </c>
      <c r="D1202" s="4" t="s">
        <v>53</v>
      </c>
      <c r="E1202" s="8"/>
      <c r="F1202" s="3">
        <v>391500</v>
      </c>
      <c r="G1202" s="7">
        <f>IF(Tabla1[[#This Row],[Fecha]]="","",G1201+Tabla1[[#This Row],[ingreso]]-Tabla1[[#This Row],[egreso]])</f>
        <v>12629800.144299999</v>
      </c>
      <c r="H1202" s="7"/>
      <c r="I1202" s="7" t="s">
        <v>54</v>
      </c>
      <c r="J1202" s="4"/>
      <c r="K1202" t="str">
        <f>IF(Tabla1[[#This Row],[Tipo]]="","",Tabla1[[#This Row],[ingreso]]/Tabla1[[#This Row],[Tipo]])</f>
        <v/>
      </c>
    </row>
    <row r="1203" spans="1:11" x14ac:dyDescent="0.2">
      <c r="A1203">
        <f>COUNTIF($I$2:I1203,'[1]Detalle Pilotos'!$G$3)</f>
        <v>0</v>
      </c>
      <c r="B1203">
        <f t="shared" si="26"/>
        <v>1202</v>
      </c>
      <c r="C1203" s="9">
        <v>45033</v>
      </c>
      <c r="D1203" s="4" t="s">
        <v>605</v>
      </c>
      <c r="E1203" s="8"/>
      <c r="F1203" s="3">
        <v>94500</v>
      </c>
      <c r="G1203" s="7">
        <f>IF(Tabla1[[#This Row],[Fecha]]="","",G1202+Tabla1[[#This Row],[ingreso]]-Tabla1[[#This Row],[egreso]])</f>
        <v>12724300.144299999</v>
      </c>
      <c r="H1203" s="7"/>
      <c r="I1203" s="7" t="s">
        <v>606</v>
      </c>
      <c r="J1203" s="4"/>
      <c r="K1203" t="str">
        <f>IF(Tabla1[[#This Row],[Tipo]]="","",Tabla1[[#This Row],[ingreso]]/Tabla1[[#This Row],[Tipo]])</f>
        <v/>
      </c>
    </row>
    <row r="1204" spans="1:11" x14ac:dyDescent="0.2">
      <c r="A1204">
        <f>COUNTIF($I$2:I1204,'[1]Detalle Pilotos'!$G$3)</f>
        <v>0</v>
      </c>
      <c r="B1204">
        <f t="shared" si="26"/>
        <v>1203</v>
      </c>
      <c r="C1204" s="9">
        <v>45034</v>
      </c>
      <c r="D1204" s="4" t="s">
        <v>607</v>
      </c>
      <c r="E1204" s="8">
        <v>111000</v>
      </c>
      <c r="F1204" s="3"/>
      <c r="G1204" s="7">
        <f>IF(Tabla1[[#This Row],[Fecha]]="","",G1203+Tabla1[[#This Row],[ingreso]]-Tabla1[[#This Row],[egreso]])</f>
        <v>12613300.144299999</v>
      </c>
      <c r="H1204" s="7"/>
      <c r="I1204" s="7"/>
      <c r="J1204" s="4"/>
      <c r="K1204" t="str">
        <f>IF(Tabla1[[#This Row],[Tipo]]="","",Tabla1[[#This Row],[ingreso]]/Tabla1[[#This Row],[Tipo]])</f>
        <v/>
      </c>
    </row>
    <row r="1205" spans="1:11" x14ac:dyDescent="0.2">
      <c r="A1205">
        <f>COUNTIF($I$2:I1205,'[1]Detalle Pilotos'!$G$3)</f>
        <v>0</v>
      </c>
      <c r="B1205">
        <f t="shared" si="26"/>
        <v>1204</v>
      </c>
      <c r="C1205" s="9">
        <v>45037</v>
      </c>
      <c r="D1205" s="4" t="s">
        <v>608</v>
      </c>
      <c r="E1205" s="8">
        <v>135000</v>
      </c>
      <c r="F1205" s="3"/>
      <c r="G1205" s="7">
        <f>IF(Tabla1[[#This Row],[Fecha]]="","",G1204+Tabla1[[#This Row],[ingreso]]-Tabla1[[#This Row],[egreso]])</f>
        <v>12478300.144299999</v>
      </c>
      <c r="H1205" s="7"/>
      <c r="I1205" s="7"/>
      <c r="J1205" s="4"/>
      <c r="K1205" t="str">
        <f>IF(Tabla1[[#This Row],[Tipo]]="","",Tabla1[[#This Row],[ingreso]]/Tabla1[[#This Row],[Tipo]])</f>
        <v/>
      </c>
    </row>
    <row r="1206" spans="1:11" x14ac:dyDescent="0.2">
      <c r="A1206">
        <f>COUNTIF($I$2:I1206,'[1]Detalle Pilotos'!$G$3)</f>
        <v>0</v>
      </c>
      <c r="B1206">
        <f t="shared" si="26"/>
        <v>1205</v>
      </c>
      <c r="C1206" s="9">
        <v>45037</v>
      </c>
      <c r="D1206" s="4" t="s">
        <v>609</v>
      </c>
      <c r="E1206" s="8">
        <v>180000</v>
      </c>
      <c r="F1206" s="3"/>
      <c r="G1206" s="7">
        <f>IF(Tabla1[[#This Row],[Fecha]]="","",G1205+Tabla1[[#This Row],[ingreso]]-Tabla1[[#This Row],[egreso]])</f>
        <v>12298300.144299999</v>
      </c>
      <c r="H1206" s="7"/>
      <c r="I1206" s="7"/>
      <c r="J1206" s="4"/>
      <c r="K1206" t="str">
        <f>IF(Tabla1[[#This Row],[Tipo]]="","",Tabla1[[#This Row],[ingreso]]/Tabla1[[#This Row],[Tipo]])</f>
        <v/>
      </c>
    </row>
    <row r="1207" spans="1:11" x14ac:dyDescent="0.2">
      <c r="A1207">
        <f>COUNTIF($I$2:I1207,'[1]Detalle Pilotos'!$G$3)</f>
        <v>0</v>
      </c>
      <c r="B1207">
        <f t="shared" si="26"/>
        <v>1206</v>
      </c>
      <c r="C1207" s="9">
        <v>45037</v>
      </c>
      <c r="D1207" s="4" t="s">
        <v>610</v>
      </c>
      <c r="E1207" s="8">
        <v>4000000</v>
      </c>
      <c r="F1207" s="3"/>
      <c r="G1207" s="7">
        <f>IF(Tabla1[[#This Row],[Fecha]]="","",G1206+Tabla1[[#This Row],[ingreso]]-Tabla1[[#This Row],[egreso]])</f>
        <v>8298300.1442999989</v>
      </c>
      <c r="H1207" s="7"/>
      <c r="I1207" s="7"/>
      <c r="J1207" s="4"/>
      <c r="K1207" t="str">
        <f>IF(Tabla1[[#This Row],[Tipo]]="","",Tabla1[[#This Row],[ingreso]]/Tabla1[[#This Row],[Tipo]])</f>
        <v/>
      </c>
    </row>
    <row r="1208" spans="1:11" x14ac:dyDescent="0.2">
      <c r="A1208">
        <f>COUNTIF($I$2:I1208,'[1]Detalle Pilotos'!$G$3)</f>
        <v>0</v>
      </c>
      <c r="B1208">
        <f t="shared" si="26"/>
        <v>1207</v>
      </c>
      <c r="C1208" s="9">
        <v>45040</v>
      </c>
      <c r="D1208" s="4" t="s">
        <v>237</v>
      </c>
      <c r="E1208" s="8"/>
      <c r="F1208" s="3">
        <v>8002500</v>
      </c>
      <c r="G1208" s="7">
        <f>IF(Tabla1[[#This Row],[Fecha]]="","",G1207+Tabla1[[#This Row],[ingreso]]-Tabla1[[#This Row],[egreso]])</f>
        <v>16300800.144299999</v>
      </c>
      <c r="H1208" s="7">
        <v>10000</v>
      </c>
      <c r="I1208" s="7" t="s">
        <v>329</v>
      </c>
      <c r="J1208" s="4"/>
      <c r="K1208">
        <f>IF(Tabla1[[#This Row],[Tipo]]="","",Tabla1[[#This Row],[ingreso]]/Tabla1[[#This Row],[Tipo]])</f>
        <v>800.25</v>
      </c>
    </row>
    <row r="1209" spans="1:11" x14ac:dyDescent="0.2">
      <c r="A1209">
        <f>COUNTIF($I$2:I1209,'[1]Detalle Pilotos'!$G$3)</f>
        <v>0</v>
      </c>
      <c r="B1209">
        <f t="shared" si="26"/>
        <v>1208</v>
      </c>
      <c r="C1209" s="9">
        <v>45040</v>
      </c>
      <c r="D1209" s="4" t="s">
        <v>611</v>
      </c>
      <c r="E1209" s="8">
        <v>3154811</v>
      </c>
      <c r="F1209" s="3"/>
      <c r="G1209" s="7">
        <f>IF(Tabla1[[#This Row],[Fecha]]="","",G1208+Tabla1[[#This Row],[ingreso]]-Tabla1[[#This Row],[egreso]])</f>
        <v>13145989.144299999</v>
      </c>
      <c r="H1209" s="7"/>
      <c r="I1209" s="7"/>
      <c r="J1209" s="4"/>
      <c r="K1209" t="str">
        <f>IF(Tabla1[[#This Row],[Tipo]]="","",Tabla1[[#This Row],[ingreso]]/Tabla1[[#This Row],[Tipo]])</f>
        <v/>
      </c>
    </row>
    <row r="1210" spans="1:11" x14ac:dyDescent="0.2">
      <c r="A1210">
        <f>COUNTIF($I$2:I1210,'[1]Detalle Pilotos'!$G$3)</f>
        <v>0</v>
      </c>
      <c r="B1210">
        <f t="shared" si="26"/>
        <v>1209</v>
      </c>
      <c r="C1210" s="9">
        <v>45040</v>
      </c>
      <c r="D1210" s="4" t="s">
        <v>567</v>
      </c>
      <c r="E1210" s="8">
        <v>10000000</v>
      </c>
      <c r="F1210" s="3"/>
      <c r="G1210" s="7">
        <f>IF(Tabla1[[#This Row],[Fecha]]="","",G1209+Tabla1[[#This Row],[ingreso]]-Tabla1[[#This Row],[egreso]])</f>
        <v>3145989.1442999989</v>
      </c>
      <c r="H1210" s="7"/>
      <c r="I1210" s="7"/>
      <c r="J1210" s="4"/>
      <c r="K1210" t="str">
        <f>IF(Tabla1[[#This Row],[Tipo]]="","",Tabla1[[#This Row],[ingreso]]/Tabla1[[#This Row],[Tipo]])</f>
        <v/>
      </c>
    </row>
    <row r="1211" spans="1:11" x14ac:dyDescent="0.2">
      <c r="A1211">
        <f>COUNTIF($I$2:I1211,'[1]Detalle Pilotos'!$G$3)</f>
        <v>0</v>
      </c>
      <c r="B1211">
        <f t="shared" si="26"/>
        <v>1210</v>
      </c>
      <c r="C1211" s="9">
        <v>45040</v>
      </c>
      <c r="D1211" s="4" t="s">
        <v>612</v>
      </c>
      <c r="E1211" s="8">
        <v>250000</v>
      </c>
      <c r="F1211" s="3"/>
      <c r="G1211" s="7">
        <f>IF(Tabla1[[#This Row],[Fecha]]="","",G1210+Tabla1[[#This Row],[ingreso]]-Tabla1[[#This Row],[egreso]])</f>
        <v>2895989.1442999989</v>
      </c>
      <c r="H1211" s="7"/>
      <c r="I1211" s="7"/>
      <c r="J1211" s="4"/>
      <c r="K1211" t="str">
        <f>IF(Tabla1[[#This Row],[Tipo]]="","",Tabla1[[#This Row],[ingreso]]/Tabla1[[#This Row],[Tipo]])</f>
        <v/>
      </c>
    </row>
    <row r="1212" spans="1:11" x14ac:dyDescent="0.2">
      <c r="A1212">
        <f>COUNTIF($I$2:I1212,'[1]Detalle Pilotos'!$G$3)</f>
        <v>0</v>
      </c>
      <c r="B1212">
        <f t="shared" si="26"/>
        <v>1211</v>
      </c>
      <c r="C1212" s="9">
        <v>45042</v>
      </c>
      <c r="D1212" s="4" t="s">
        <v>613</v>
      </c>
      <c r="E1212" s="8">
        <v>130134</v>
      </c>
      <c r="F1212" s="3"/>
      <c r="G1212" s="7">
        <f>IF(Tabla1[[#This Row],[Fecha]]="","",G1211+Tabla1[[#This Row],[ingreso]]-Tabla1[[#This Row],[egreso]])</f>
        <v>2765855.1442999989</v>
      </c>
      <c r="H1212" s="7"/>
      <c r="I1212" s="7"/>
      <c r="J1212" s="4"/>
      <c r="K1212" t="str">
        <f>IF(Tabla1[[#This Row],[Tipo]]="","",Tabla1[[#This Row],[ingreso]]/Tabla1[[#This Row],[Tipo]])</f>
        <v/>
      </c>
    </row>
    <row r="1213" spans="1:11" x14ac:dyDescent="0.2">
      <c r="A1213">
        <f>COUNTIF($I$2:I1213,'[1]Detalle Pilotos'!$G$3)</f>
        <v>0</v>
      </c>
      <c r="B1213">
        <f t="shared" si="26"/>
        <v>1212</v>
      </c>
      <c r="C1213" s="9">
        <v>45042</v>
      </c>
      <c r="D1213" s="4" t="s">
        <v>614</v>
      </c>
      <c r="E1213" s="8">
        <v>84111</v>
      </c>
      <c r="F1213" s="3"/>
      <c r="G1213" s="7">
        <f>IF(Tabla1[[#This Row],[Fecha]]="","",G1212+Tabla1[[#This Row],[ingreso]]-Tabla1[[#This Row],[egreso]])</f>
        <v>2681744.1442999989</v>
      </c>
      <c r="H1213" s="7"/>
      <c r="I1213" s="7"/>
      <c r="J1213" s="4"/>
      <c r="K1213" t="str">
        <f>IF(Tabla1[[#This Row],[Tipo]]="","",Tabla1[[#This Row],[ingreso]]/Tabla1[[#This Row],[Tipo]])</f>
        <v/>
      </c>
    </row>
    <row r="1214" spans="1:11" x14ac:dyDescent="0.2">
      <c r="A1214">
        <f>COUNTIF($I$2:I1214,'[1]Detalle Pilotos'!$G$3)</f>
        <v>0</v>
      </c>
      <c r="B1214">
        <f t="shared" si="26"/>
        <v>1213</v>
      </c>
      <c r="C1214" s="9">
        <v>45043</v>
      </c>
      <c r="D1214" s="4" t="s">
        <v>615</v>
      </c>
      <c r="E1214" s="8"/>
      <c r="F1214" s="3">
        <v>153000</v>
      </c>
      <c r="G1214" s="7">
        <f>IF(Tabla1[[#This Row],[Fecha]]="","",G1213+Tabla1[[#This Row],[ingreso]]-Tabla1[[#This Row],[egreso]])</f>
        <v>2834744.1442999989</v>
      </c>
      <c r="H1214" s="7"/>
      <c r="I1214" s="7" t="s">
        <v>616</v>
      </c>
      <c r="J1214" s="4"/>
      <c r="K1214" t="str">
        <f>IF(Tabla1[[#This Row],[Tipo]]="","",Tabla1[[#This Row],[ingreso]]/Tabla1[[#This Row],[Tipo]])</f>
        <v/>
      </c>
    </row>
    <row r="1215" spans="1:11" x14ac:dyDescent="0.2">
      <c r="A1215">
        <f>COUNTIF($I$2:I1215,'[1]Detalle Pilotos'!$G$3)</f>
        <v>0</v>
      </c>
      <c r="B1215">
        <f t="shared" si="26"/>
        <v>1214</v>
      </c>
      <c r="C1215" s="9">
        <v>45043</v>
      </c>
      <c r="D1215" s="4" t="s">
        <v>546</v>
      </c>
      <c r="E1215" s="8"/>
      <c r="F1215" s="3">
        <v>75000</v>
      </c>
      <c r="G1215" s="7">
        <f>IF(Tabla1[[#This Row],[Fecha]]="","",G1214+Tabla1[[#This Row],[ingreso]]-Tabla1[[#This Row],[egreso]])</f>
        <v>2909744.1442999989</v>
      </c>
      <c r="H1215" s="7"/>
      <c r="I1215" s="7" t="s">
        <v>64</v>
      </c>
      <c r="J1215" s="4"/>
      <c r="K1215" t="str">
        <f>IF(Tabla1[[#This Row],[Tipo]]="","",Tabla1[[#This Row],[ingreso]]/Tabla1[[#This Row],[Tipo]])</f>
        <v/>
      </c>
    </row>
    <row r="1216" spans="1:11" x14ac:dyDescent="0.2">
      <c r="A1216">
        <f>COUNTIF($I$2:I1216,'[1]Detalle Pilotos'!$G$3)</f>
        <v>0</v>
      </c>
      <c r="B1216">
        <f t="shared" si="26"/>
        <v>1215</v>
      </c>
      <c r="C1216" s="9">
        <v>45044</v>
      </c>
      <c r="D1216" s="4" t="s">
        <v>617</v>
      </c>
      <c r="E1216" s="8">
        <v>252280</v>
      </c>
      <c r="F1216" s="3"/>
      <c r="G1216" s="7">
        <f>IF(Tabla1[[#This Row],[Fecha]]="","",G1215+Tabla1[[#This Row],[ingreso]]-Tabla1[[#This Row],[egreso]])</f>
        <v>2657464.1442999989</v>
      </c>
      <c r="H1216" s="7"/>
      <c r="I1216" s="7"/>
      <c r="J1216" s="4"/>
      <c r="K1216" t="str">
        <f>IF(Tabla1[[#This Row],[Tipo]]="","",Tabla1[[#This Row],[ingreso]]/Tabla1[[#This Row],[Tipo]])</f>
        <v/>
      </c>
    </row>
    <row r="1217" spans="1:11" x14ac:dyDescent="0.2">
      <c r="A1217">
        <f>COUNTIF($I$2:I1217,'[1]Detalle Pilotos'!$G$3)</f>
        <v>0</v>
      </c>
      <c r="B1217">
        <f t="shared" si="26"/>
        <v>1216</v>
      </c>
      <c r="C1217" s="9">
        <v>45048</v>
      </c>
      <c r="D1217" s="4" t="s">
        <v>566</v>
      </c>
      <c r="E1217" s="8"/>
      <c r="F1217" s="3">
        <v>10022533</v>
      </c>
      <c r="G1217" s="7">
        <f>IF(Tabla1[[#This Row],[Fecha]]="","",G1216+Tabla1[[#This Row],[ingreso]]-Tabla1[[#This Row],[egreso]])</f>
        <v>12679997.144299999</v>
      </c>
      <c r="H1217" s="7"/>
      <c r="I1217" s="7"/>
      <c r="J1217" s="4"/>
      <c r="K1217" t="str">
        <f>IF(Tabla1[[#This Row],[Tipo]]="","",Tabla1[[#This Row],[ingreso]]/Tabla1[[#This Row],[Tipo]])</f>
        <v/>
      </c>
    </row>
    <row r="1218" spans="1:11" x14ac:dyDescent="0.2">
      <c r="A1218">
        <f>COUNTIF($I$2:I1218,'[1]Detalle Pilotos'!$G$3)</f>
        <v>0</v>
      </c>
      <c r="B1218">
        <f t="shared" si="26"/>
        <v>1217</v>
      </c>
      <c r="C1218" s="9">
        <v>45048</v>
      </c>
      <c r="D1218" s="4" t="s">
        <v>618</v>
      </c>
      <c r="E1218" s="8">
        <v>400000</v>
      </c>
      <c r="F1218" s="3"/>
      <c r="G1218" s="7">
        <f>IF(Tabla1[[#This Row],[Fecha]]="","",G1217+Tabla1[[#This Row],[ingreso]]-Tabla1[[#This Row],[egreso]])</f>
        <v>12279997.144299999</v>
      </c>
      <c r="H1218" s="7"/>
      <c r="I1218" s="7"/>
      <c r="J1218" s="4"/>
      <c r="K1218" t="str">
        <f>IF(Tabla1[[#This Row],[Tipo]]="","",Tabla1[[#This Row],[ingreso]]/Tabla1[[#This Row],[Tipo]])</f>
        <v/>
      </c>
    </row>
    <row r="1219" spans="1:11" x14ac:dyDescent="0.2">
      <c r="A1219">
        <f>COUNTIF($I$2:I1219,'[1]Detalle Pilotos'!$G$3)</f>
        <v>0</v>
      </c>
      <c r="B1219">
        <f t="shared" si="26"/>
        <v>1218</v>
      </c>
      <c r="C1219" s="9">
        <v>45048</v>
      </c>
      <c r="D1219" s="4" t="s">
        <v>619</v>
      </c>
      <c r="E1219" s="8">
        <v>119000</v>
      </c>
      <c r="F1219" s="3"/>
      <c r="G1219" s="7">
        <f>IF(Tabla1[[#This Row],[Fecha]]="","",G1218+Tabla1[[#This Row],[ingreso]]-Tabla1[[#This Row],[egreso]])</f>
        <v>12160997.144299999</v>
      </c>
      <c r="H1219" s="7"/>
      <c r="I1219" s="7" t="s">
        <v>620</v>
      </c>
      <c r="J1219" s="4"/>
      <c r="K1219" t="str">
        <f>IF(Tabla1[[#This Row],[Tipo]]="","",Tabla1[[#This Row],[ingreso]]/Tabla1[[#This Row],[Tipo]])</f>
        <v/>
      </c>
    </row>
    <row r="1220" spans="1:11" x14ac:dyDescent="0.2">
      <c r="A1220">
        <f>COUNTIF($I$2:I1220,'[1]Detalle Pilotos'!$G$3)</f>
        <v>0</v>
      </c>
      <c r="B1220">
        <f t="shared" ref="B1220:B1283" si="27">IF(C1220="","",1+B1219)</f>
        <v>1219</v>
      </c>
      <c r="C1220" s="9">
        <v>45048</v>
      </c>
      <c r="D1220" s="4" t="s">
        <v>621</v>
      </c>
      <c r="E1220" s="8"/>
      <c r="F1220" s="3">
        <v>3500</v>
      </c>
      <c r="G1220" s="7">
        <f>IF(Tabla1[[#This Row],[Fecha]]="","",G1219+Tabla1[[#This Row],[ingreso]]-Tabla1[[#This Row],[egreso]])</f>
        <v>12164497.144299999</v>
      </c>
      <c r="H1220" s="7"/>
      <c r="I1220" s="7"/>
      <c r="J1220" s="4"/>
      <c r="K1220" t="str">
        <f>IF(Tabla1[[#This Row],[Tipo]]="","",Tabla1[[#This Row],[ingreso]]/Tabla1[[#This Row],[Tipo]])</f>
        <v/>
      </c>
    </row>
    <row r="1221" spans="1:11" x14ac:dyDescent="0.2">
      <c r="A1221">
        <f>COUNTIF($I$2:I1221,'[1]Detalle Pilotos'!$G$3)</f>
        <v>0</v>
      </c>
      <c r="B1221">
        <f t="shared" si="27"/>
        <v>1220</v>
      </c>
      <c r="C1221" s="9">
        <v>45048</v>
      </c>
      <c r="D1221" s="4" t="s">
        <v>622</v>
      </c>
      <c r="E1221" s="8"/>
      <c r="F1221" s="3">
        <v>8450</v>
      </c>
      <c r="G1221" s="7">
        <f>IF(Tabla1[[#This Row],[Fecha]]="","",G1220+Tabla1[[#This Row],[ingreso]]-Tabla1[[#This Row],[egreso]])</f>
        <v>12172947.144299999</v>
      </c>
      <c r="H1221" s="7"/>
      <c r="I1221" s="7"/>
      <c r="J1221" s="4"/>
      <c r="K1221" t="str">
        <f>IF(Tabla1[[#This Row],[Tipo]]="","",Tabla1[[#This Row],[ingreso]]/Tabla1[[#This Row],[Tipo]])</f>
        <v/>
      </c>
    </row>
    <row r="1222" spans="1:11" x14ac:dyDescent="0.2">
      <c r="A1222">
        <f>COUNTIF($I$2:I1222,'[1]Detalle Pilotos'!$G$3)</f>
        <v>0</v>
      </c>
      <c r="B1222">
        <f t="shared" si="27"/>
        <v>1221</v>
      </c>
      <c r="C1222" s="9">
        <v>45050</v>
      </c>
      <c r="D1222" s="4" t="s">
        <v>623</v>
      </c>
      <c r="E1222" s="8">
        <v>34501</v>
      </c>
      <c r="F1222" s="3"/>
      <c r="G1222" s="7">
        <f>IF(Tabla1[[#This Row],[Fecha]]="","",G1221+Tabla1[[#This Row],[ingreso]]-Tabla1[[#This Row],[egreso]])</f>
        <v>12138446.144299999</v>
      </c>
      <c r="H1222" s="7"/>
      <c r="I1222" s="7"/>
      <c r="J1222" s="4"/>
      <c r="K1222" t="str">
        <f>IF(Tabla1[[#This Row],[Tipo]]="","",Tabla1[[#This Row],[ingreso]]/Tabla1[[#This Row],[Tipo]])</f>
        <v/>
      </c>
    </row>
    <row r="1223" spans="1:11" x14ac:dyDescent="0.2">
      <c r="A1223">
        <f>COUNTIF($I$2:I1223,'[1]Detalle Pilotos'!$G$3)</f>
        <v>0</v>
      </c>
      <c r="B1223">
        <f t="shared" si="27"/>
        <v>1222</v>
      </c>
      <c r="C1223" s="9">
        <v>45050</v>
      </c>
      <c r="D1223" s="4" t="s">
        <v>624</v>
      </c>
      <c r="E1223" s="8">
        <v>4000000</v>
      </c>
      <c r="F1223" s="3"/>
      <c r="G1223" s="7">
        <f>IF(Tabla1[[#This Row],[Fecha]]="","",G1222+Tabla1[[#This Row],[ingreso]]-Tabla1[[#This Row],[egreso]])</f>
        <v>8138446.1442999989</v>
      </c>
      <c r="H1223" s="7"/>
      <c r="I1223" s="7"/>
      <c r="J1223" s="4"/>
      <c r="K1223" t="str">
        <f>IF(Tabla1[[#This Row],[Tipo]]="","",Tabla1[[#This Row],[ingreso]]/Tabla1[[#This Row],[Tipo]])</f>
        <v/>
      </c>
    </row>
    <row r="1224" spans="1:11" x14ac:dyDescent="0.2">
      <c r="A1224">
        <f>COUNTIF($I$2:I1224,'[1]Detalle Pilotos'!$G$3)</f>
        <v>0</v>
      </c>
      <c r="B1224">
        <f t="shared" si="27"/>
        <v>1223</v>
      </c>
      <c r="C1224" s="9">
        <v>45051</v>
      </c>
      <c r="D1224" s="4" t="s">
        <v>395</v>
      </c>
      <c r="E1224" s="8"/>
      <c r="F1224" s="3">
        <v>143500</v>
      </c>
      <c r="G1224" s="7">
        <f>IF(Tabla1[[#This Row],[Fecha]]="","",G1223+Tabla1[[#This Row],[ingreso]]-Tabla1[[#This Row],[egreso]])</f>
        <v>8281946.1442999989</v>
      </c>
      <c r="H1224" s="7"/>
      <c r="I1224" s="7"/>
      <c r="J1224" s="4"/>
      <c r="K1224" t="str">
        <f>IF(Tabla1[[#This Row],[Tipo]]="","",Tabla1[[#This Row],[ingreso]]/Tabla1[[#This Row],[Tipo]])</f>
        <v/>
      </c>
    </row>
    <row r="1225" spans="1:11" x14ac:dyDescent="0.2">
      <c r="A1225">
        <f>COUNTIF($I$2:I1225,'[1]Detalle Pilotos'!$G$3)</f>
        <v>0</v>
      </c>
      <c r="B1225">
        <f t="shared" si="27"/>
        <v>1224</v>
      </c>
      <c r="C1225" s="9">
        <v>45051</v>
      </c>
      <c r="D1225" s="4" t="s">
        <v>625</v>
      </c>
      <c r="E1225" s="8">
        <v>25000</v>
      </c>
      <c r="F1225" s="3"/>
      <c r="G1225" s="7">
        <f>IF(Tabla1[[#This Row],[Fecha]]="","",G1224+Tabla1[[#This Row],[ingreso]]-Tabla1[[#This Row],[egreso]])</f>
        <v>8256946.1442999989</v>
      </c>
      <c r="H1225" s="7"/>
      <c r="I1225" s="7"/>
      <c r="J1225" s="4"/>
      <c r="K1225" t="str">
        <f>IF(Tabla1[[#This Row],[Tipo]]="","",Tabla1[[#This Row],[ingreso]]/Tabla1[[#This Row],[Tipo]])</f>
        <v/>
      </c>
    </row>
    <row r="1226" spans="1:11" x14ac:dyDescent="0.2">
      <c r="A1226">
        <f>COUNTIF($I$2:I1226,'[1]Detalle Pilotos'!$G$3)</f>
        <v>0</v>
      </c>
      <c r="B1226">
        <f t="shared" si="27"/>
        <v>1225</v>
      </c>
      <c r="C1226" s="9">
        <v>45055</v>
      </c>
      <c r="D1226" s="4" t="s">
        <v>626</v>
      </c>
      <c r="E1226" s="8">
        <v>75000</v>
      </c>
      <c r="F1226" s="3"/>
      <c r="G1226" s="7">
        <f>IF(Tabla1[[#This Row],[Fecha]]="","",G1225+Tabla1[[#This Row],[ingreso]]-Tabla1[[#This Row],[egreso]])</f>
        <v>8181946.1442999989</v>
      </c>
      <c r="H1226" s="7"/>
      <c r="I1226" s="7"/>
      <c r="J1226" s="4"/>
      <c r="K1226" t="str">
        <f>IF(Tabla1[[#This Row],[Tipo]]="","",Tabla1[[#This Row],[ingreso]]/Tabla1[[#This Row],[Tipo]])</f>
        <v/>
      </c>
    </row>
    <row r="1227" spans="1:11" x14ac:dyDescent="0.2">
      <c r="A1227">
        <f>COUNTIF($I$2:I1227,'[1]Detalle Pilotos'!$G$3)</f>
        <v>0</v>
      </c>
      <c r="B1227">
        <f t="shared" si="27"/>
        <v>1226</v>
      </c>
      <c r="C1227" s="9">
        <v>45056</v>
      </c>
      <c r="D1227" s="4" t="s">
        <v>627</v>
      </c>
      <c r="E1227" s="8">
        <v>78418</v>
      </c>
      <c r="F1227" s="3"/>
      <c r="G1227" s="7">
        <f>IF(Tabla1[[#This Row],[Fecha]]="","",G1226+Tabla1[[#This Row],[ingreso]]-Tabla1[[#This Row],[egreso]])</f>
        <v>8103528.1442999989</v>
      </c>
      <c r="H1227" s="7"/>
      <c r="I1227" s="7"/>
      <c r="J1227" s="4"/>
      <c r="K1227" t="str">
        <f>IF(Tabla1[[#This Row],[Tipo]]="","",Tabla1[[#This Row],[ingreso]]/Tabla1[[#This Row],[Tipo]])</f>
        <v/>
      </c>
    </row>
    <row r="1228" spans="1:11" x14ac:dyDescent="0.2">
      <c r="A1228">
        <f>COUNTIF($I$2:I1228,'[1]Detalle Pilotos'!$G$3)</f>
        <v>0</v>
      </c>
      <c r="B1228">
        <f t="shared" si="27"/>
        <v>1227</v>
      </c>
      <c r="C1228" s="9">
        <v>45057</v>
      </c>
      <c r="D1228" s="4" t="s">
        <v>628</v>
      </c>
      <c r="E1228" s="8">
        <v>407112</v>
      </c>
      <c r="F1228" s="3"/>
      <c r="G1228" s="7">
        <f>IF(Tabla1[[#This Row],[Fecha]]="","",G1227+Tabla1[[#This Row],[ingreso]]-Tabla1[[#This Row],[egreso]])</f>
        <v>7696416.1442999989</v>
      </c>
      <c r="H1228" s="7"/>
      <c r="I1228" s="7"/>
      <c r="J1228" s="4"/>
      <c r="K1228" t="str">
        <f>IF(Tabla1[[#This Row],[Tipo]]="","",Tabla1[[#This Row],[ingreso]]/Tabla1[[#This Row],[Tipo]])</f>
        <v/>
      </c>
    </row>
    <row r="1229" spans="1:11" x14ac:dyDescent="0.2">
      <c r="A1229">
        <f>COUNTIF($I$2:I1229,'[1]Detalle Pilotos'!$G$3)</f>
        <v>0</v>
      </c>
      <c r="B1229">
        <f t="shared" si="27"/>
        <v>1228</v>
      </c>
      <c r="C1229" s="9">
        <v>45058</v>
      </c>
      <c r="D1229" s="4" t="s">
        <v>629</v>
      </c>
      <c r="E1229" s="8">
        <v>2951613</v>
      </c>
      <c r="F1229" s="3"/>
      <c r="G1229" s="7">
        <f>IF(Tabla1[[#This Row],[Fecha]]="","",G1228+Tabla1[[#This Row],[ingreso]]-Tabla1[[#This Row],[egreso]])</f>
        <v>4744803.1442999989</v>
      </c>
      <c r="H1229" s="7"/>
      <c r="I1229" s="7"/>
      <c r="J1229" s="4"/>
      <c r="K1229" t="str">
        <f>IF(Tabla1[[#This Row],[Tipo]]="","",Tabla1[[#This Row],[ingreso]]/Tabla1[[#This Row],[Tipo]])</f>
        <v/>
      </c>
    </row>
    <row r="1230" spans="1:11" x14ac:dyDescent="0.2">
      <c r="A1230">
        <f>COUNTIF($I$2:I1230,'[1]Detalle Pilotos'!$G$3)</f>
        <v>0</v>
      </c>
      <c r="B1230">
        <f t="shared" si="27"/>
        <v>1229</v>
      </c>
      <c r="C1230" s="9">
        <v>45058</v>
      </c>
      <c r="D1230" s="4" t="s">
        <v>630</v>
      </c>
      <c r="E1230" s="8">
        <v>116724</v>
      </c>
      <c r="F1230" s="3"/>
      <c r="G1230" s="7">
        <f>IF(Tabla1[[#This Row],[Fecha]]="","",G1229+Tabla1[[#This Row],[ingreso]]-Tabla1[[#This Row],[egreso]])</f>
        <v>4628079.1442999989</v>
      </c>
      <c r="H1230" s="7"/>
      <c r="I1230" s="7"/>
      <c r="J1230" s="4"/>
      <c r="K1230" t="str">
        <f>IF(Tabla1[[#This Row],[Tipo]]="","",Tabla1[[#This Row],[ingreso]]/Tabla1[[#This Row],[Tipo]])</f>
        <v/>
      </c>
    </row>
    <row r="1231" spans="1:11" x14ac:dyDescent="0.2">
      <c r="A1231">
        <f>COUNTIF($I$2:I1231,'[1]Detalle Pilotos'!$G$3)</f>
        <v>0</v>
      </c>
      <c r="B1231">
        <f t="shared" si="27"/>
        <v>1230</v>
      </c>
      <c r="C1231" s="9">
        <v>45059</v>
      </c>
      <c r="D1231" s="4" t="s">
        <v>631</v>
      </c>
      <c r="E1231" s="8">
        <v>50000</v>
      </c>
      <c r="F1231" s="3"/>
      <c r="G1231" s="7">
        <f>IF(Tabla1[[#This Row],[Fecha]]="","",G1230+Tabla1[[#This Row],[ingreso]]-Tabla1[[#This Row],[egreso]])</f>
        <v>4578079.1442999989</v>
      </c>
      <c r="H1231" s="7"/>
      <c r="I1231" s="7"/>
      <c r="J1231" s="4"/>
      <c r="K1231" t="str">
        <f>IF(Tabla1[[#This Row],[Tipo]]="","",Tabla1[[#This Row],[ingreso]]/Tabla1[[#This Row],[Tipo]])</f>
        <v/>
      </c>
    </row>
    <row r="1232" spans="1:11" x14ac:dyDescent="0.2">
      <c r="A1232">
        <f>COUNTIF($I$2:I1232,'[1]Detalle Pilotos'!$G$3)</f>
        <v>0</v>
      </c>
      <c r="B1232">
        <f t="shared" si="27"/>
        <v>1231</v>
      </c>
      <c r="C1232" s="9">
        <v>45059</v>
      </c>
      <c r="D1232" s="4" t="s">
        <v>615</v>
      </c>
      <c r="E1232" s="8"/>
      <c r="F1232" s="3">
        <v>400988</v>
      </c>
      <c r="G1232" s="7">
        <f>IF(Tabla1[[#This Row],[Fecha]]="","",G1231+Tabla1[[#This Row],[ingreso]]-Tabla1[[#This Row],[egreso]])</f>
        <v>4979067.1442999989</v>
      </c>
      <c r="H1232" s="7"/>
      <c r="I1232" s="7" t="s">
        <v>616</v>
      </c>
      <c r="J1232" s="4"/>
      <c r="K1232" t="str">
        <f>IF(Tabla1[[#This Row],[Tipo]]="","",Tabla1[[#This Row],[ingreso]]/Tabla1[[#This Row],[Tipo]])</f>
        <v/>
      </c>
    </row>
    <row r="1233" spans="1:11" x14ac:dyDescent="0.2">
      <c r="A1233">
        <f>COUNTIF($I$2:I1233,'[1]Detalle Pilotos'!$G$3)</f>
        <v>0</v>
      </c>
      <c r="B1233">
        <f t="shared" si="27"/>
        <v>1232</v>
      </c>
      <c r="C1233" s="9">
        <v>45059</v>
      </c>
      <c r="D1233" s="4" t="s">
        <v>506</v>
      </c>
      <c r="E1233" s="8"/>
      <c r="F1233" s="3">
        <v>119000</v>
      </c>
      <c r="G1233" s="7">
        <f>IF(Tabla1[[#This Row],[Fecha]]="","",G1232+Tabla1[[#This Row],[ingreso]]-Tabla1[[#This Row],[egreso]])</f>
        <v>5098067.1442999989</v>
      </c>
      <c r="H1233" s="7"/>
      <c r="I1233" s="7" t="s">
        <v>507</v>
      </c>
      <c r="J1233" s="4"/>
      <c r="K1233" t="str">
        <f>IF(Tabla1[[#This Row],[Tipo]]="","",Tabla1[[#This Row],[ingreso]]/Tabla1[[#This Row],[Tipo]])</f>
        <v/>
      </c>
    </row>
    <row r="1234" spans="1:11" x14ac:dyDescent="0.2">
      <c r="A1234">
        <f>COUNTIF($I$2:I1234,'[1]Detalle Pilotos'!$G$3)</f>
        <v>0</v>
      </c>
      <c r="B1234">
        <f t="shared" si="27"/>
        <v>1233</v>
      </c>
      <c r="C1234" s="9">
        <v>45062</v>
      </c>
      <c r="D1234" s="4" t="s">
        <v>632</v>
      </c>
      <c r="E1234" s="8">
        <v>250000</v>
      </c>
      <c r="F1234" s="3"/>
      <c r="G1234" s="7">
        <f>IF(Tabla1[[#This Row],[Fecha]]="","",G1233+Tabla1[[#This Row],[ingreso]]-Tabla1[[#This Row],[egreso]])</f>
        <v>4848067.1442999989</v>
      </c>
      <c r="H1234" s="7"/>
      <c r="I1234" s="7"/>
      <c r="J1234" s="4"/>
      <c r="K1234" t="str">
        <f>IF(Tabla1[[#This Row],[Tipo]]="","",Tabla1[[#This Row],[ingreso]]/Tabla1[[#This Row],[Tipo]])</f>
        <v/>
      </c>
    </row>
    <row r="1235" spans="1:11" x14ac:dyDescent="0.2">
      <c r="A1235">
        <f>COUNTIF($I$2:I1235,'[1]Detalle Pilotos'!$G$3)</f>
        <v>0</v>
      </c>
      <c r="B1235">
        <f t="shared" si="27"/>
        <v>1234</v>
      </c>
      <c r="C1235" s="9">
        <v>45062</v>
      </c>
      <c r="D1235" s="4" t="s">
        <v>178</v>
      </c>
      <c r="E1235" s="8"/>
      <c r="F1235" s="3">
        <v>204000</v>
      </c>
      <c r="G1235" s="7">
        <f>IF(Tabla1[[#This Row],[Fecha]]="","",G1234+Tabla1[[#This Row],[ingreso]]-Tabla1[[#This Row],[egreso]])</f>
        <v>5052067.1442999989</v>
      </c>
      <c r="H1235" s="7"/>
      <c r="I1235" s="7" t="s">
        <v>179</v>
      </c>
      <c r="J1235" s="4"/>
      <c r="K1235" t="str">
        <f>IF(Tabla1[[#This Row],[Tipo]]="","",Tabla1[[#This Row],[ingreso]]/Tabla1[[#This Row],[Tipo]])</f>
        <v/>
      </c>
    </row>
    <row r="1236" spans="1:11" x14ac:dyDescent="0.2">
      <c r="A1236">
        <f>COUNTIF($I$2:I1236,'[1]Detalle Pilotos'!$G$3)</f>
        <v>0</v>
      </c>
      <c r="B1236">
        <f t="shared" si="27"/>
        <v>1235</v>
      </c>
      <c r="C1236" s="9">
        <v>45062</v>
      </c>
      <c r="D1236" s="4" t="s">
        <v>564</v>
      </c>
      <c r="E1236" s="8"/>
      <c r="F1236" s="3">
        <v>1628908</v>
      </c>
      <c r="G1236" s="7">
        <f>IF(Tabla1[[#This Row],[Fecha]]="","",G1235+Tabla1[[#This Row],[ingreso]]-Tabla1[[#This Row],[egreso]])</f>
        <v>6680975.1442999989</v>
      </c>
      <c r="H1236" s="7"/>
      <c r="I1236" s="7" t="s">
        <v>565</v>
      </c>
      <c r="J1236" s="4"/>
      <c r="K1236" t="str">
        <f>IF(Tabla1[[#This Row],[Tipo]]="","",Tabla1[[#This Row],[ingreso]]/Tabla1[[#This Row],[Tipo]])</f>
        <v/>
      </c>
    </row>
    <row r="1237" spans="1:11" x14ac:dyDescent="0.2">
      <c r="A1237">
        <f>COUNTIF($I$2:I1237,'[1]Detalle Pilotos'!$G$3)</f>
        <v>0</v>
      </c>
      <c r="B1237">
        <f t="shared" si="27"/>
        <v>1236</v>
      </c>
      <c r="C1237" s="9">
        <v>45063</v>
      </c>
      <c r="D1237" s="4" t="s">
        <v>633</v>
      </c>
      <c r="E1237" s="8">
        <v>4478033</v>
      </c>
      <c r="F1237" s="3"/>
      <c r="G1237" s="7">
        <f>IF(Tabla1[[#This Row],[Fecha]]="","",G1236+Tabla1[[#This Row],[ingreso]]-Tabla1[[#This Row],[egreso]])</f>
        <v>2202942.1442999989</v>
      </c>
      <c r="H1237" s="7"/>
      <c r="I1237" s="7"/>
      <c r="J1237" s="4"/>
      <c r="K1237" t="str">
        <f>IF(Tabla1[[#This Row],[Tipo]]="","",Tabla1[[#This Row],[ingreso]]/Tabla1[[#This Row],[Tipo]])</f>
        <v/>
      </c>
    </row>
    <row r="1238" spans="1:11" x14ac:dyDescent="0.2">
      <c r="A1238">
        <f>COUNTIF($I$2:I1238,'[1]Detalle Pilotos'!$G$3)</f>
        <v>0</v>
      </c>
      <c r="B1238">
        <f t="shared" si="27"/>
        <v>1237</v>
      </c>
      <c r="C1238" s="9">
        <v>45063</v>
      </c>
      <c r="D1238" s="4" t="s">
        <v>634</v>
      </c>
      <c r="E1238" s="8">
        <v>450000</v>
      </c>
      <c r="F1238" s="3"/>
      <c r="G1238" s="7">
        <f>IF(Tabla1[[#This Row],[Fecha]]="","",G1237+Tabla1[[#This Row],[ingreso]]-Tabla1[[#This Row],[egreso]])</f>
        <v>1752942.1442999989</v>
      </c>
      <c r="H1238" s="7"/>
      <c r="I1238" s="7"/>
      <c r="J1238" s="4"/>
      <c r="K1238" t="str">
        <f>IF(Tabla1[[#This Row],[Tipo]]="","",Tabla1[[#This Row],[ingreso]]/Tabla1[[#This Row],[Tipo]])</f>
        <v/>
      </c>
    </row>
    <row r="1239" spans="1:11" x14ac:dyDescent="0.2">
      <c r="A1239">
        <f>COUNTIF($I$2:I1239,'[1]Detalle Pilotos'!$G$3)</f>
        <v>0</v>
      </c>
      <c r="B1239">
        <f t="shared" si="27"/>
        <v>1238</v>
      </c>
      <c r="C1239" s="9">
        <v>45064</v>
      </c>
      <c r="D1239" s="4" t="s">
        <v>632</v>
      </c>
      <c r="E1239" s="8">
        <v>1000000</v>
      </c>
      <c r="F1239" s="3"/>
      <c r="G1239" s="7">
        <f>IF(Tabla1[[#This Row],[Fecha]]="","",G1238+Tabla1[[#This Row],[ingreso]]-Tabla1[[#This Row],[egreso]])</f>
        <v>752942.14429999888</v>
      </c>
      <c r="H1239" s="7"/>
      <c r="I1239" s="7"/>
      <c r="J1239" s="4"/>
      <c r="K1239" t="str">
        <f>IF(Tabla1[[#This Row],[Tipo]]="","",Tabla1[[#This Row],[ingreso]]/Tabla1[[#This Row],[Tipo]])</f>
        <v/>
      </c>
    </row>
    <row r="1240" spans="1:11" x14ac:dyDescent="0.2">
      <c r="A1240">
        <f>COUNTIF($I$2:I1240,'[1]Detalle Pilotos'!$G$3)</f>
        <v>0</v>
      </c>
      <c r="B1240">
        <f t="shared" si="27"/>
        <v>1239</v>
      </c>
      <c r="C1240" s="9">
        <v>45065</v>
      </c>
      <c r="D1240" s="4" t="s">
        <v>12</v>
      </c>
      <c r="E1240" s="8"/>
      <c r="F1240" s="3">
        <v>105000</v>
      </c>
      <c r="G1240" s="7">
        <f>IF(Tabla1[[#This Row],[Fecha]]="","",G1239+Tabla1[[#This Row],[ingreso]]-Tabla1[[#This Row],[egreso]])</f>
        <v>857942.14429999888</v>
      </c>
      <c r="H1240" s="7"/>
      <c r="I1240" s="7" t="s">
        <v>13</v>
      </c>
      <c r="J1240" s="4"/>
      <c r="K1240" t="str">
        <f>IF(Tabla1[[#This Row],[Tipo]]="","",Tabla1[[#This Row],[ingreso]]/Tabla1[[#This Row],[Tipo]])</f>
        <v/>
      </c>
    </row>
    <row r="1241" spans="1:11" x14ac:dyDescent="0.2">
      <c r="A1241">
        <f>COUNTIF($I$2:I1241,'[1]Detalle Pilotos'!$G$3)</f>
        <v>0</v>
      </c>
      <c r="B1241">
        <f t="shared" si="27"/>
        <v>1240</v>
      </c>
      <c r="C1241" s="9">
        <v>45065</v>
      </c>
      <c r="D1241" s="4" t="s">
        <v>635</v>
      </c>
      <c r="E1241" s="8">
        <v>111792</v>
      </c>
      <c r="F1241" s="3"/>
      <c r="G1241" s="7">
        <f>IF(Tabla1[[#This Row],[Fecha]]="","",G1240+Tabla1[[#This Row],[ingreso]]-Tabla1[[#This Row],[egreso]])</f>
        <v>746150.14429999888</v>
      </c>
      <c r="H1241" s="7"/>
      <c r="I1241" s="7"/>
      <c r="J1241" s="4"/>
      <c r="K1241" t="str">
        <f>IF(Tabla1[[#This Row],[Tipo]]="","",Tabla1[[#This Row],[ingreso]]/Tabla1[[#This Row],[Tipo]])</f>
        <v/>
      </c>
    </row>
    <row r="1242" spans="1:11" x14ac:dyDescent="0.2">
      <c r="A1242">
        <f>COUNTIF($I$2:I1242,'[1]Detalle Pilotos'!$G$3)</f>
        <v>0</v>
      </c>
      <c r="B1242">
        <f t="shared" si="27"/>
        <v>1241</v>
      </c>
      <c r="C1242" s="9">
        <v>45066</v>
      </c>
      <c r="D1242" s="4" t="s">
        <v>636</v>
      </c>
      <c r="E1242" s="8"/>
      <c r="F1242" s="3">
        <v>100000</v>
      </c>
      <c r="G1242" s="7">
        <f>IF(Tabla1[[#This Row],[Fecha]]="","",G1241+Tabla1[[#This Row],[ingreso]]-Tabla1[[#This Row],[egreso]])</f>
        <v>846150.14429999888</v>
      </c>
      <c r="H1242" s="7"/>
      <c r="I1242" s="7" t="s">
        <v>637</v>
      </c>
      <c r="J1242" s="4"/>
      <c r="K1242" t="str">
        <f>IF(Tabla1[[#This Row],[Tipo]]="","",Tabla1[[#This Row],[ingreso]]/Tabla1[[#This Row],[Tipo]])</f>
        <v/>
      </c>
    </row>
    <row r="1243" spans="1:11" x14ac:dyDescent="0.2">
      <c r="A1243">
        <f>COUNTIF($I$2:I1243,'[1]Detalle Pilotos'!$G$3)</f>
        <v>0</v>
      </c>
      <c r="B1243">
        <f t="shared" si="27"/>
        <v>1242</v>
      </c>
      <c r="C1243" s="9">
        <v>45067</v>
      </c>
      <c r="D1243" s="4" t="s">
        <v>636</v>
      </c>
      <c r="E1243" s="8"/>
      <c r="F1243" s="3">
        <v>100000</v>
      </c>
      <c r="G1243" s="7">
        <f>IF(Tabla1[[#This Row],[Fecha]]="","",G1242+Tabla1[[#This Row],[ingreso]]-Tabla1[[#This Row],[egreso]])</f>
        <v>946150.14429999888</v>
      </c>
      <c r="H1243" s="7"/>
      <c r="I1243" s="7" t="s">
        <v>637</v>
      </c>
      <c r="J1243" s="4"/>
      <c r="K1243" t="str">
        <f>IF(Tabla1[[#This Row],[Tipo]]="","",Tabla1[[#This Row],[ingreso]]/Tabla1[[#This Row],[Tipo]])</f>
        <v/>
      </c>
    </row>
    <row r="1244" spans="1:11" x14ac:dyDescent="0.2">
      <c r="A1244">
        <f>COUNTIF($I$2:I1244,'[1]Detalle Pilotos'!$G$3)</f>
        <v>0</v>
      </c>
      <c r="B1244">
        <f t="shared" si="27"/>
        <v>1243</v>
      </c>
      <c r="C1244" s="9">
        <v>45068</v>
      </c>
      <c r="D1244" s="4" t="s">
        <v>636</v>
      </c>
      <c r="E1244" s="8"/>
      <c r="F1244" s="3">
        <v>4000</v>
      </c>
      <c r="G1244" s="7">
        <f>IF(Tabla1[[#This Row],[Fecha]]="","",G1243+Tabla1[[#This Row],[ingreso]]-Tabla1[[#This Row],[egreso]])</f>
        <v>950150.14429999888</v>
      </c>
      <c r="H1244" s="7"/>
      <c r="I1244" s="7"/>
      <c r="J1244" s="4"/>
      <c r="K1244" t="str">
        <f>IF(Tabla1[[#This Row],[Tipo]]="","",Tabla1[[#This Row],[ingreso]]/Tabla1[[#This Row],[Tipo]])</f>
        <v/>
      </c>
    </row>
    <row r="1245" spans="1:11" x14ac:dyDescent="0.2">
      <c r="A1245">
        <f>COUNTIF($I$2:I1245,'[1]Detalle Pilotos'!$G$3)</f>
        <v>0</v>
      </c>
      <c r="B1245">
        <f t="shared" si="27"/>
        <v>1244</v>
      </c>
      <c r="C1245" s="9">
        <v>45070</v>
      </c>
      <c r="D1245" s="4" t="s">
        <v>638</v>
      </c>
      <c r="E1245" s="8">
        <v>115080</v>
      </c>
      <c r="F1245" s="3"/>
      <c r="G1245" s="7">
        <f>IF(Tabla1[[#This Row],[Fecha]]="","",G1244+Tabla1[[#This Row],[ingreso]]-Tabla1[[#This Row],[egreso]])</f>
        <v>835070.14429999888</v>
      </c>
      <c r="H1245" s="7"/>
      <c r="I1245" s="7"/>
      <c r="J1245" s="4"/>
      <c r="K1245" t="str">
        <f>IF(Tabla1[[#This Row],[Tipo]]="","",Tabla1[[#This Row],[ingreso]]/Tabla1[[#This Row],[Tipo]])</f>
        <v/>
      </c>
    </row>
    <row r="1246" spans="1:11" x14ac:dyDescent="0.2">
      <c r="A1246">
        <f>COUNTIF($I$2:I1246,'[1]Detalle Pilotos'!$G$3)</f>
        <v>0</v>
      </c>
      <c r="B1246">
        <f t="shared" si="27"/>
        <v>1245</v>
      </c>
      <c r="C1246" s="9">
        <v>45074</v>
      </c>
      <c r="D1246" s="4" t="s">
        <v>395</v>
      </c>
      <c r="E1246" s="8"/>
      <c r="F1246" s="3">
        <v>40000</v>
      </c>
      <c r="G1246" s="7">
        <f>IF(Tabla1[[#This Row],[Fecha]]="","",G1245+Tabla1[[#This Row],[ingreso]]-Tabla1[[#This Row],[egreso]])</f>
        <v>875070.14429999888</v>
      </c>
      <c r="H1246" s="7"/>
      <c r="I1246" s="7"/>
      <c r="J1246" s="4"/>
      <c r="K1246" t="str">
        <f>IF(Tabla1[[#This Row],[Tipo]]="","",Tabla1[[#This Row],[ingreso]]/Tabla1[[#This Row],[Tipo]])</f>
        <v/>
      </c>
    </row>
    <row r="1247" spans="1:11" x14ac:dyDescent="0.2">
      <c r="A1247">
        <f>COUNTIF($I$2:I1247,'[1]Detalle Pilotos'!$G$3)</f>
        <v>0</v>
      </c>
      <c r="B1247">
        <f t="shared" si="27"/>
        <v>1246</v>
      </c>
      <c r="C1247" s="9">
        <v>45074</v>
      </c>
      <c r="D1247" s="4" t="s">
        <v>395</v>
      </c>
      <c r="E1247" s="8"/>
      <c r="F1247" s="3">
        <v>8440</v>
      </c>
      <c r="G1247" s="7">
        <f>IF(Tabla1[[#This Row],[Fecha]]="","",G1246+Tabla1[[#This Row],[ingreso]]-Tabla1[[#This Row],[egreso]])</f>
        <v>883510.14429999888</v>
      </c>
      <c r="H1247" s="7"/>
      <c r="I1247" s="7"/>
      <c r="J1247" s="4"/>
      <c r="K1247" t="str">
        <f>IF(Tabla1[[#This Row],[Tipo]]="","",Tabla1[[#This Row],[ingreso]]/Tabla1[[#This Row],[Tipo]])</f>
        <v/>
      </c>
    </row>
    <row r="1248" spans="1:11" x14ac:dyDescent="0.2">
      <c r="A1248">
        <f>COUNTIF($I$2:I1248,'[1]Detalle Pilotos'!$G$3)</f>
        <v>0</v>
      </c>
      <c r="B1248">
        <f t="shared" si="27"/>
        <v>1247</v>
      </c>
      <c r="C1248" s="9">
        <v>45075</v>
      </c>
      <c r="D1248" s="4" t="s">
        <v>266</v>
      </c>
      <c r="E1248" s="8">
        <v>90420</v>
      </c>
      <c r="F1248" s="3"/>
      <c r="G1248" s="7">
        <f>IF(Tabla1[[#This Row],[Fecha]]="","",G1247+Tabla1[[#This Row],[ingreso]]-Tabla1[[#This Row],[egreso]])</f>
        <v>793090.14429999888</v>
      </c>
      <c r="H1248" s="7"/>
      <c r="I1248" s="7"/>
      <c r="J1248" s="4"/>
      <c r="K1248" t="str">
        <f>IF(Tabla1[[#This Row],[Tipo]]="","",Tabla1[[#This Row],[ingreso]]/Tabla1[[#This Row],[Tipo]])</f>
        <v/>
      </c>
    </row>
    <row r="1249" spans="1:11" x14ac:dyDescent="0.2">
      <c r="A1249">
        <f>COUNTIF($I$2:I1249,'[1]Detalle Pilotos'!$G$3)</f>
        <v>0</v>
      </c>
      <c r="B1249">
        <f t="shared" si="27"/>
        <v>1248</v>
      </c>
      <c r="C1249" s="9">
        <v>45076</v>
      </c>
      <c r="D1249" s="4" t="s">
        <v>632</v>
      </c>
      <c r="E1249" s="8">
        <v>333200</v>
      </c>
      <c r="F1249" s="3"/>
      <c r="G1249" s="7">
        <f>IF(Tabla1[[#This Row],[Fecha]]="","",G1248+Tabla1[[#This Row],[ingreso]]-Tabla1[[#This Row],[egreso]])</f>
        <v>459890.14429999888</v>
      </c>
      <c r="H1249" s="7"/>
      <c r="I1249" s="7"/>
      <c r="J1249" s="4"/>
      <c r="K1249" t="str">
        <f>IF(Tabla1[[#This Row],[Tipo]]="","",Tabla1[[#This Row],[ingreso]]/Tabla1[[#This Row],[Tipo]])</f>
        <v/>
      </c>
    </row>
    <row r="1250" spans="1:11" x14ac:dyDescent="0.2">
      <c r="A1250">
        <f>COUNTIF($I$2:I1250,'[1]Detalle Pilotos'!$G$3)</f>
        <v>0</v>
      </c>
      <c r="B1250">
        <f t="shared" si="27"/>
        <v>1249</v>
      </c>
      <c r="C1250" s="9">
        <v>45076</v>
      </c>
      <c r="D1250" s="4" t="s">
        <v>639</v>
      </c>
      <c r="E1250" s="8"/>
      <c r="F1250" s="3">
        <v>90000</v>
      </c>
      <c r="G1250" s="7">
        <f>IF(Tabla1[[#This Row],[Fecha]]="","",G1249+Tabla1[[#This Row],[ingreso]]-Tabla1[[#This Row],[egreso]])</f>
        <v>549890.14429999888</v>
      </c>
      <c r="H1250" s="7"/>
      <c r="I1250" s="7" t="s">
        <v>640</v>
      </c>
      <c r="J1250" s="4"/>
      <c r="K1250" t="str">
        <f>IF(Tabla1[[#This Row],[Tipo]]="","",Tabla1[[#This Row],[ingreso]]/Tabla1[[#This Row],[Tipo]])</f>
        <v/>
      </c>
    </row>
    <row r="1251" spans="1:11" x14ac:dyDescent="0.2">
      <c r="A1251">
        <f>COUNTIF($I$2:I1251,'[1]Detalle Pilotos'!$G$3)</f>
        <v>0</v>
      </c>
      <c r="B1251">
        <f t="shared" si="27"/>
        <v>1250</v>
      </c>
      <c r="C1251" s="9">
        <v>45078</v>
      </c>
      <c r="D1251" s="4" t="s">
        <v>641</v>
      </c>
      <c r="E1251" s="8"/>
      <c r="F1251" s="3">
        <v>119000</v>
      </c>
      <c r="G1251" s="7">
        <f>IF(Tabla1[[#This Row],[Fecha]]="","",G1250+Tabla1[[#This Row],[ingreso]]-Tabla1[[#This Row],[egreso]])</f>
        <v>668890.14429999888</v>
      </c>
      <c r="H1251" s="7"/>
      <c r="I1251" s="7" t="s">
        <v>642</v>
      </c>
      <c r="J1251" s="4"/>
      <c r="K1251" t="str">
        <f>IF(Tabla1[[#This Row],[Tipo]]="","",Tabla1[[#This Row],[ingreso]]/Tabla1[[#This Row],[Tipo]])</f>
        <v/>
      </c>
    </row>
    <row r="1252" spans="1:11" x14ac:dyDescent="0.2">
      <c r="A1252">
        <f>COUNTIF($I$2:I1252,'[1]Detalle Pilotos'!$G$3)</f>
        <v>0</v>
      </c>
      <c r="B1252">
        <f t="shared" si="27"/>
        <v>1251</v>
      </c>
      <c r="C1252" s="9">
        <v>45082</v>
      </c>
      <c r="D1252" s="4" t="s">
        <v>266</v>
      </c>
      <c r="E1252" s="8">
        <v>100448</v>
      </c>
      <c r="F1252" s="3"/>
      <c r="G1252" s="7">
        <f>IF(Tabla1[[#This Row],[Fecha]]="","",G1251+Tabla1[[#This Row],[ingreso]]-Tabla1[[#This Row],[egreso]])</f>
        <v>568442.14429999888</v>
      </c>
      <c r="H1252" s="7"/>
      <c r="I1252" s="7"/>
      <c r="J1252" s="4"/>
      <c r="K1252" t="str">
        <f>IF(Tabla1[[#This Row],[Tipo]]="","",Tabla1[[#This Row],[ingreso]]/Tabla1[[#This Row],[Tipo]])</f>
        <v/>
      </c>
    </row>
    <row r="1253" spans="1:11" x14ac:dyDescent="0.2">
      <c r="A1253">
        <f>COUNTIF($I$2:I1253,'[1]Detalle Pilotos'!$G$3)</f>
        <v>0</v>
      </c>
      <c r="B1253">
        <f t="shared" si="27"/>
        <v>1252</v>
      </c>
      <c r="C1253" s="9">
        <v>45082</v>
      </c>
      <c r="D1253" s="4" t="s">
        <v>266</v>
      </c>
      <c r="E1253" s="8">
        <v>110148</v>
      </c>
      <c r="F1253" s="3"/>
      <c r="G1253" s="7">
        <f>IF(Tabla1[[#This Row],[Fecha]]="","",G1252+Tabla1[[#This Row],[ingreso]]-Tabla1[[#This Row],[egreso]])</f>
        <v>458294.14429999888</v>
      </c>
      <c r="H1253" s="7"/>
      <c r="I1253" s="7"/>
      <c r="J1253" s="4"/>
      <c r="K1253" t="str">
        <f>IF(Tabla1[[#This Row],[Tipo]]="","",Tabla1[[#This Row],[ingreso]]/Tabla1[[#This Row],[Tipo]])</f>
        <v/>
      </c>
    </row>
    <row r="1254" spans="1:11" x14ac:dyDescent="0.2">
      <c r="A1254">
        <f>COUNTIF($I$2:I1254,'[1]Detalle Pilotos'!$G$3)</f>
        <v>0</v>
      </c>
      <c r="B1254">
        <f t="shared" si="27"/>
        <v>1253</v>
      </c>
      <c r="C1254" s="9">
        <v>45082</v>
      </c>
      <c r="D1254" s="4" t="s">
        <v>557</v>
      </c>
      <c r="E1254" s="8"/>
      <c r="F1254" s="3">
        <v>478500</v>
      </c>
      <c r="G1254" s="7">
        <f>IF(Tabla1[[#This Row],[Fecha]]="","",G1253+Tabla1[[#This Row],[ingreso]]-Tabla1[[#This Row],[egreso]])</f>
        <v>936794.14429999888</v>
      </c>
      <c r="H1254" s="7"/>
      <c r="I1254" s="7" t="s">
        <v>558</v>
      </c>
      <c r="J1254" s="4"/>
      <c r="K1254" t="str">
        <f>IF(Tabla1[[#This Row],[Tipo]]="","",Tabla1[[#This Row],[ingreso]]/Tabla1[[#This Row],[Tipo]])</f>
        <v/>
      </c>
    </row>
    <row r="1255" spans="1:11" x14ac:dyDescent="0.2">
      <c r="A1255">
        <f>COUNTIF($I$2:I1255,'[1]Detalle Pilotos'!$G$3)</f>
        <v>0</v>
      </c>
      <c r="B1255">
        <f t="shared" si="27"/>
        <v>1254</v>
      </c>
      <c r="C1255" s="9">
        <v>45083</v>
      </c>
      <c r="D1255" s="4" t="s">
        <v>266</v>
      </c>
      <c r="E1255" s="8">
        <v>121000</v>
      </c>
      <c r="F1255" s="3"/>
      <c r="G1255" s="7">
        <f>IF(Tabla1[[#This Row],[Fecha]]="","",G1254+Tabla1[[#This Row],[ingreso]]-Tabla1[[#This Row],[egreso]])</f>
        <v>815794.14429999888</v>
      </c>
      <c r="H1255" s="7"/>
      <c r="I1255" s="7"/>
      <c r="J1255" s="4"/>
      <c r="K1255" t="str">
        <f>IF(Tabla1[[#This Row],[Tipo]]="","",Tabla1[[#This Row],[ingreso]]/Tabla1[[#This Row],[Tipo]])</f>
        <v/>
      </c>
    </row>
    <row r="1256" spans="1:11" x14ac:dyDescent="0.2">
      <c r="A1256">
        <f>COUNTIF($I$2:I1256,'[1]Detalle Pilotos'!$G$3)</f>
        <v>0</v>
      </c>
      <c r="B1256">
        <f t="shared" si="27"/>
        <v>1255</v>
      </c>
      <c r="C1256" s="9">
        <v>45083</v>
      </c>
      <c r="D1256" s="4" t="s">
        <v>564</v>
      </c>
      <c r="E1256" s="8"/>
      <c r="F1256" s="3">
        <v>2043184</v>
      </c>
      <c r="G1256" s="7">
        <f>IF(Tabla1[[#This Row],[Fecha]]="","",G1255+Tabla1[[#This Row],[ingreso]]-Tabla1[[#This Row],[egreso]])</f>
        <v>2858978.1442999989</v>
      </c>
      <c r="H1256" s="7"/>
      <c r="I1256" s="7" t="s">
        <v>565</v>
      </c>
      <c r="J1256" s="4"/>
      <c r="K1256" t="str">
        <f>IF(Tabla1[[#This Row],[Tipo]]="","",Tabla1[[#This Row],[ingreso]]/Tabla1[[#This Row],[Tipo]])</f>
        <v/>
      </c>
    </row>
    <row r="1257" spans="1:11" x14ac:dyDescent="0.2">
      <c r="A1257">
        <f>COUNTIF($I$2:I1257,'[1]Detalle Pilotos'!$G$3)</f>
        <v>0</v>
      </c>
      <c r="B1257">
        <f t="shared" si="27"/>
        <v>1256</v>
      </c>
      <c r="C1257" s="9">
        <v>45083</v>
      </c>
      <c r="D1257" s="4" t="s">
        <v>632</v>
      </c>
      <c r="E1257" s="8">
        <v>2584275</v>
      </c>
      <c r="F1257" s="3"/>
      <c r="G1257" s="7">
        <f>IF(Tabla1[[#This Row],[Fecha]]="","",G1256+Tabla1[[#This Row],[ingreso]]-Tabla1[[#This Row],[egreso]])</f>
        <v>274703.14429999888</v>
      </c>
      <c r="H1257" s="7"/>
      <c r="I1257" s="7"/>
      <c r="J1257" s="4"/>
      <c r="K1257" t="str">
        <f>IF(Tabla1[[#This Row],[Tipo]]="","",Tabla1[[#This Row],[ingreso]]/Tabla1[[#This Row],[Tipo]])</f>
        <v/>
      </c>
    </row>
    <row r="1258" spans="1:11" x14ac:dyDescent="0.2">
      <c r="A1258">
        <f>COUNTIF($I$2:I1258,'[1]Detalle Pilotos'!$G$3)</f>
        <v>0</v>
      </c>
      <c r="B1258">
        <f t="shared" si="27"/>
        <v>1257</v>
      </c>
      <c r="C1258" s="9">
        <v>45083</v>
      </c>
      <c r="D1258" s="4" t="s">
        <v>643</v>
      </c>
      <c r="E1258" s="8"/>
      <c r="F1258" s="3">
        <v>238000</v>
      </c>
      <c r="G1258" s="7">
        <f>IF(Tabla1[[#This Row],[Fecha]]="","",G1257+Tabla1[[#This Row],[ingreso]]-Tabla1[[#This Row],[egreso]])</f>
        <v>512703.14429999888</v>
      </c>
      <c r="H1258" s="7"/>
      <c r="I1258" s="7" t="s">
        <v>644</v>
      </c>
      <c r="J1258" s="4"/>
      <c r="K1258" t="str">
        <f>IF(Tabla1[[#This Row],[Tipo]]="","",Tabla1[[#This Row],[ingreso]]/Tabla1[[#This Row],[Tipo]])</f>
        <v/>
      </c>
    </row>
    <row r="1259" spans="1:11" x14ac:dyDescent="0.2">
      <c r="A1259">
        <f>COUNTIF($I$2:I1259,'[1]Detalle Pilotos'!$G$3)</f>
        <v>0</v>
      </c>
      <c r="B1259">
        <f t="shared" si="27"/>
        <v>1258</v>
      </c>
      <c r="C1259" s="9">
        <v>45088</v>
      </c>
      <c r="D1259" s="4" t="s">
        <v>237</v>
      </c>
      <c r="E1259" s="8"/>
      <c r="F1259" s="3">
        <v>2331000</v>
      </c>
      <c r="G1259" s="7">
        <f>IF(Tabla1[[#This Row],[Fecha]]="","",G1258+Tabla1[[#This Row],[ingreso]]-Tabla1[[#This Row],[egreso]])</f>
        <v>2843703.1442999989</v>
      </c>
      <c r="H1259" s="7">
        <v>3000</v>
      </c>
      <c r="I1259" s="7" t="s">
        <v>329</v>
      </c>
      <c r="J1259" s="4"/>
      <c r="K1259">
        <f>IF(Tabla1[[#This Row],[Tipo]]="","",Tabla1[[#This Row],[ingreso]]/Tabla1[[#This Row],[Tipo]])</f>
        <v>777</v>
      </c>
    </row>
    <row r="1260" spans="1:11" x14ac:dyDescent="0.2">
      <c r="A1260">
        <f>COUNTIF($I$2:I1260,'[1]Detalle Pilotos'!$G$3)</f>
        <v>0</v>
      </c>
      <c r="B1260">
        <f t="shared" si="27"/>
        <v>1259</v>
      </c>
      <c r="C1260" s="9">
        <v>45088</v>
      </c>
      <c r="D1260" s="4" t="s">
        <v>632</v>
      </c>
      <c r="E1260" s="8">
        <v>2331000</v>
      </c>
      <c r="F1260" s="3"/>
      <c r="G1260" s="7">
        <f>IF(Tabla1[[#This Row],[Fecha]]="","",G1259+Tabla1[[#This Row],[ingreso]]-Tabla1[[#This Row],[egreso]])</f>
        <v>512703.14429999888</v>
      </c>
      <c r="H1260" s="7"/>
      <c r="I1260" s="7"/>
      <c r="J1260" s="4"/>
      <c r="K1260" t="str">
        <f>IF(Tabla1[[#This Row],[Tipo]]="","",Tabla1[[#This Row],[ingreso]]/Tabla1[[#This Row],[Tipo]])</f>
        <v/>
      </c>
    </row>
    <row r="1261" spans="1:11" x14ac:dyDescent="0.2">
      <c r="A1261">
        <f>COUNTIF($I$2:I1261,'[1]Detalle Pilotos'!$G$3)</f>
        <v>0</v>
      </c>
      <c r="B1261">
        <f t="shared" si="27"/>
        <v>1260</v>
      </c>
      <c r="C1261" s="9">
        <v>45091</v>
      </c>
      <c r="D1261" s="4" t="s">
        <v>266</v>
      </c>
      <c r="E1261" s="8">
        <v>117156</v>
      </c>
      <c r="F1261" s="3"/>
      <c r="G1261" s="7">
        <f>IF(Tabla1[[#This Row],[Fecha]]="","",G1260+Tabla1[[#This Row],[ingreso]]-Tabla1[[#This Row],[egreso]])</f>
        <v>395547.14429999888</v>
      </c>
      <c r="H1261" s="7"/>
      <c r="I1261" s="7"/>
      <c r="J1261" s="4"/>
      <c r="K1261" t="str">
        <f>IF(Tabla1[[#This Row],[Tipo]]="","",Tabla1[[#This Row],[ingreso]]/Tabla1[[#This Row],[Tipo]])</f>
        <v/>
      </c>
    </row>
    <row r="1262" spans="1:11" x14ac:dyDescent="0.2">
      <c r="A1262">
        <f>COUNTIF($I$2:I1262,'[1]Detalle Pilotos'!$G$3)</f>
        <v>0</v>
      </c>
      <c r="B1262">
        <f t="shared" si="27"/>
        <v>1261</v>
      </c>
      <c r="C1262" s="9">
        <v>45092</v>
      </c>
      <c r="D1262" s="4" t="s">
        <v>395</v>
      </c>
      <c r="E1262" s="8"/>
      <c r="F1262" s="3">
        <v>283092</v>
      </c>
      <c r="G1262" s="7">
        <f>IF(Tabla1[[#This Row],[Fecha]]="","",G1261+Tabla1[[#This Row],[ingreso]]-Tabla1[[#This Row],[egreso]])</f>
        <v>678639.14429999888</v>
      </c>
      <c r="H1262" s="7"/>
      <c r="I1262" s="7"/>
      <c r="J1262" s="4"/>
      <c r="K1262" t="str">
        <f>IF(Tabla1[[#This Row],[Tipo]]="","",Tabla1[[#This Row],[ingreso]]/Tabla1[[#This Row],[Tipo]])</f>
        <v/>
      </c>
    </row>
    <row r="1263" spans="1:11" x14ac:dyDescent="0.2">
      <c r="A1263">
        <f>COUNTIF($I$2:I1263,'[1]Detalle Pilotos'!$G$3)</f>
        <v>0</v>
      </c>
      <c r="B1263">
        <f t="shared" si="27"/>
        <v>1262</v>
      </c>
      <c r="C1263" s="9">
        <v>45109</v>
      </c>
      <c r="D1263" s="4" t="s">
        <v>395</v>
      </c>
      <c r="E1263" s="8"/>
      <c r="F1263" s="3">
        <v>244500</v>
      </c>
      <c r="G1263" s="7">
        <f>IF(Tabla1[[#This Row],[Fecha]]="","",G1262+Tabla1[[#This Row],[ingreso]]-Tabla1[[#This Row],[egreso]])</f>
        <v>923139.14429999888</v>
      </c>
      <c r="H1263" s="7"/>
      <c r="I1263" s="7"/>
      <c r="J1263" s="4"/>
      <c r="K1263" t="str">
        <f>IF(Tabla1[[#This Row],[Tipo]]="","",Tabla1[[#This Row],[ingreso]]/Tabla1[[#This Row],[Tipo]])</f>
        <v/>
      </c>
    </row>
    <row r="1264" spans="1:11" x14ac:dyDescent="0.2">
      <c r="A1264">
        <f>COUNTIF($I$2:I1264,'[1]Detalle Pilotos'!$G$3)</f>
        <v>0</v>
      </c>
      <c r="B1264">
        <f t="shared" si="27"/>
        <v>1263</v>
      </c>
      <c r="C1264" s="9">
        <v>45110</v>
      </c>
      <c r="D1264" s="4" t="s">
        <v>53</v>
      </c>
      <c r="E1264" s="8"/>
      <c r="F1264" s="3">
        <v>81000</v>
      </c>
      <c r="G1264" s="7">
        <f>IF(Tabla1[[#This Row],[Fecha]]="","",G1263+Tabla1[[#This Row],[ingreso]]-Tabla1[[#This Row],[egreso]])</f>
        <v>1004139.1442999989</v>
      </c>
      <c r="H1264" s="7"/>
      <c r="I1264" s="7" t="s">
        <v>54</v>
      </c>
      <c r="J1264" s="4"/>
      <c r="K1264" t="str">
        <f>IF(Tabla1[[#This Row],[Tipo]]="","",Tabla1[[#This Row],[ingreso]]/Tabla1[[#This Row],[Tipo]])</f>
        <v/>
      </c>
    </row>
    <row r="1265" spans="1:11" x14ac:dyDescent="0.2">
      <c r="A1265">
        <f>COUNTIF($I$2:I1265,'[1]Detalle Pilotos'!$G$3)</f>
        <v>0</v>
      </c>
      <c r="B1265">
        <f t="shared" si="27"/>
        <v>1264</v>
      </c>
      <c r="C1265" s="9">
        <v>45111</v>
      </c>
      <c r="D1265" s="4" t="s">
        <v>645</v>
      </c>
      <c r="E1265" s="8"/>
      <c r="F1265" s="3">
        <v>255000</v>
      </c>
      <c r="G1265" s="7">
        <f>IF(Tabla1[[#This Row],[Fecha]]="","",G1264+Tabla1[[#This Row],[ingreso]]-Tabla1[[#This Row],[egreso]])</f>
        <v>1259139.1442999989</v>
      </c>
      <c r="H1265" s="7"/>
      <c r="I1265" s="7" t="s">
        <v>218</v>
      </c>
      <c r="J1265" s="4"/>
      <c r="K1265" t="str">
        <f>IF(Tabla1[[#This Row],[Tipo]]="","",Tabla1[[#This Row],[ingreso]]/Tabla1[[#This Row],[Tipo]])</f>
        <v/>
      </c>
    </row>
    <row r="1266" spans="1:11" x14ac:dyDescent="0.2">
      <c r="A1266">
        <f>COUNTIF($I$2:I1266,'[1]Detalle Pilotos'!$G$3)</f>
        <v>0</v>
      </c>
      <c r="B1266">
        <f t="shared" si="27"/>
        <v>1265</v>
      </c>
      <c r="C1266" s="9">
        <v>45112</v>
      </c>
      <c r="D1266" s="4" t="s">
        <v>266</v>
      </c>
      <c r="E1266" s="8">
        <v>144192</v>
      </c>
      <c r="F1266" s="3"/>
      <c r="G1266" s="7">
        <f>IF(Tabla1[[#This Row],[Fecha]]="","",G1265+Tabla1[[#This Row],[ingreso]]-Tabla1[[#This Row],[egreso]])</f>
        <v>1114947.1442999989</v>
      </c>
      <c r="H1266" s="7"/>
      <c r="I1266" s="7"/>
      <c r="J1266" s="4"/>
      <c r="K1266" t="str">
        <f>IF(Tabla1[[#This Row],[Tipo]]="","",Tabla1[[#This Row],[ingreso]]/Tabla1[[#This Row],[Tipo]])</f>
        <v/>
      </c>
    </row>
    <row r="1267" spans="1:11" x14ac:dyDescent="0.2">
      <c r="A1267">
        <f>COUNTIF($I$2:I1267,'[1]Detalle Pilotos'!$G$3)</f>
        <v>0</v>
      </c>
      <c r="B1267">
        <f t="shared" si="27"/>
        <v>1266</v>
      </c>
      <c r="C1267" s="9">
        <v>45115</v>
      </c>
      <c r="D1267" s="4" t="s">
        <v>646</v>
      </c>
      <c r="E1267" s="8">
        <v>145000</v>
      </c>
      <c r="F1267" s="3"/>
      <c r="G1267" s="7">
        <f>IF(Tabla1[[#This Row],[Fecha]]="","",G1266+Tabla1[[#This Row],[ingreso]]-Tabla1[[#This Row],[egreso]])</f>
        <v>969947.14429999888</v>
      </c>
      <c r="H1267" s="7"/>
      <c r="I1267" s="7"/>
      <c r="J1267" s="4"/>
      <c r="K1267" t="str">
        <f>IF(Tabla1[[#This Row],[Tipo]]="","",Tabla1[[#This Row],[ingreso]]/Tabla1[[#This Row],[Tipo]])</f>
        <v/>
      </c>
    </row>
    <row r="1268" spans="1:11" x14ac:dyDescent="0.2">
      <c r="A1268">
        <f>COUNTIF($I$2:I1268,'[1]Detalle Pilotos'!$G$3)</f>
        <v>0</v>
      </c>
      <c r="B1268">
        <f t="shared" si="27"/>
        <v>1267</v>
      </c>
      <c r="C1268" s="9">
        <v>45121</v>
      </c>
      <c r="D1268" s="4" t="s">
        <v>237</v>
      </c>
      <c r="E1268" s="8"/>
      <c r="F1268" s="3">
        <v>2375880</v>
      </c>
      <c r="G1268" s="7">
        <f>IF(Tabla1[[#This Row],[Fecha]]="","",G1267+Tabla1[[#This Row],[ingreso]]-Tabla1[[#This Row],[egreso]])</f>
        <v>3345827.1442999989</v>
      </c>
      <c r="H1268" s="7">
        <v>3000</v>
      </c>
      <c r="I1268" s="7" t="s">
        <v>329</v>
      </c>
      <c r="J1268" s="4"/>
      <c r="K1268">
        <f>IF(Tabla1[[#This Row],[Tipo]]="","",Tabla1[[#This Row],[ingreso]]/Tabla1[[#This Row],[Tipo]])</f>
        <v>791.96</v>
      </c>
    </row>
    <row r="1269" spans="1:11" x14ac:dyDescent="0.2">
      <c r="A1269">
        <f>COUNTIF($I$2:I1269,'[1]Detalle Pilotos'!$G$3)</f>
        <v>0</v>
      </c>
      <c r="B1269">
        <f t="shared" si="27"/>
        <v>1268</v>
      </c>
      <c r="C1269" s="9">
        <v>45121</v>
      </c>
      <c r="D1269" s="4" t="s">
        <v>632</v>
      </c>
      <c r="E1269" s="8">
        <v>2375880</v>
      </c>
      <c r="F1269" s="3"/>
      <c r="G1269" s="7">
        <f>IF(Tabla1[[#This Row],[Fecha]]="","",G1268+Tabla1[[#This Row],[ingreso]]-Tabla1[[#This Row],[egreso]])</f>
        <v>969947.14429999888</v>
      </c>
      <c r="H1269" s="7"/>
      <c r="I1269" s="7"/>
      <c r="J1269" s="4"/>
      <c r="K1269" t="str">
        <f>IF(Tabla1[[#This Row],[Tipo]]="","",Tabla1[[#This Row],[ingreso]]/Tabla1[[#This Row],[Tipo]])</f>
        <v/>
      </c>
    </row>
    <row r="1270" spans="1:11" x14ac:dyDescent="0.2">
      <c r="A1270">
        <f>COUNTIF($I$2:I1270,'[1]Detalle Pilotos'!$G$3)</f>
        <v>0</v>
      </c>
      <c r="B1270">
        <f t="shared" si="27"/>
        <v>1269</v>
      </c>
      <c r="C1270" s="9">
        <v>45123</v>
      </c>
      <c r="D1270" s="4" t="s">
        <v>645</v>
      </c>
      <c r="E1270" s="8"/>
      <c r="F1270" s="3">
        <v>302924</v>
      </c>
      <c r="G1270" s="7">
        <f>IF(Tabla1[[#This Row],[Fecha]]="","",G1269+Tabla1[[#This Row],[ingreso]]-Tabla1[[#This Row],[egreso]])</f>
        <v>1272871.1442999989</v>
      </c>
      <c r="H1270" s="7"/>
      <c r="I1270" s="7" t="s">
        <v>218</v>
      </c>
      <c r="J1270" s="4"/>
      <c r="K1270" t="str">
        <f>IF(Tabla1[[#This Row],[Tipo]]="","",Tabla1[[#This Row],[ingreso]]/Tabla1[[#This Row],[Tipo]])</f>
        <v/>
      </c>
    </row>
    <row r="1271" spans="1:11" x14ac:dyDescent="0.2">
      <c r="A1271">
        <f>COUNTIF($I$2:I1271,'[1]Detalle Pilotos'!$G$3)</f>
        <v>0</v>
      </c>
      <c r="B1271">
        <f t="shared" si="27"/>
        <v>1270</v>
      </c>
      <c r="C1271" s="9">
        <v>45125</v>
      </c>
      <c r="D1271" s="4" t="s">
        <v>266</v>
      </c>
      <c r="E1271" s="8">
        <v>161028</v>
      </c>
      <c r="F1271" s="3"/>
      <c r="G1271" s="7">
        <f>IF(Tabla1[[#This Row],[Fecha]]="","",G1270+Tabla1[[#This Row],[ingreso]]-Tabla1[[#This Row],[egreso]])</f>
        <v>1111843.1442999989</v>
      </c>
      <c r="H1271" s="7"/>
      <c r="I1271" s="7"/>
      <c r="J1271" s="4"/>
      <c r="K1271" t="str">
        <f>IF(Tabla1[[#This Row],[Tipo]]="","",Tabla1[[#This Row],[ingreso]]/Tabla1[[#This Row],[Tipo]])</f>
        <v/>
      </c>
    </row>
    <row r="1272" spans="1:11" x14ac:dyDescent="0.2">
      <c r="A1272">
        <f>COUNTIF($I$2:I1272,'[1]Detalle Pilotos'!$G$3)</f>
        <v>0</v>
      </c>
      <c r="B1272">
        <f t="shared" si="27"/>
        <v>1271</v>
      </c>
      <c r="C1272" s="9">
        <v>45125</v>
      </c>
      <c r="D1272" s="4" t="s">
        <v>647</v>
      </c>
      <c r="E1272" s="8"/>
      <c r="F1272" s="3">
        <v>250000</v>
      </c>
      <c r="G1272" s="7">
        <f>IF(Tabla1[[#This Row],[Fecha]]="","",G1271+Tabla1[[#This Row],[ingreso]]-Tabla1[[#This Row],[egreso]])</f>
        <v>1361843.1442999989</v>
      </c>
      <c r="H1272" s="7"/>
      <c r="I1272" s="7" t="s">
        <v>648</v>
      </c>
      <c r="J1272" s="4"/>
      <c r="K1272" t="str">
        <f>IF(Tabla1[[#This Row],[Tipo]]="","",Tabla1[[#This Row],[ingreso]]/Tabla1[[#This Row],[Tipo]])</f>
        <v/>
      </c>
    </row>
    <row r="1273" spans="1:11" x14ac:dyDescent="0.2">
      <c r="A1273">
        <f>COUNTIF($I$2:I1273,'[1]Detalle Pilotos'!$G$3)</f>
        <v>0</v>
      </c>
      <c r="B1273">
        <f t="shared" si="27"/>
        <v>1272</v>
      </c>
      <c r="C1273" s="9">
        <v>45127</v>
      </c>
      <c r="D1273" s="4" t="s">
        <v>157</v>
      </c>
      <c r="E1273" s="8"/>
      <c r="F1273" s="3">
        <v>165000</v>
      </c>
      <c r="G1273" s="7">
        <f>IF(Tabla1[[#This Row],[Fecha]]="","",G1272+Tabla1[[#This Row],[ingreso]]-Tabla1[[#This Row],[egreso]])</f>
        <v>1526843.1442999989</v>
      </c>
      <c r="H1273" s="7"/>
      <c r="I1273" s="7" t="s">
        <v>158</v>
      </c>
      <c r="J1273" s="4"/>
      <c r="K1273" t="str">
        <f>IF(Tabla1[[#This Row],[Tipo]]="","",Tabla1[[#This Row],[ingreso]]/Tabla1[[#This Row],[Tipo]])</f>
        <v/>
      </c>
    </row>
    <row r="1274" spans="1:11" x14ac:dyDescent="0.2">
      <c r="A1274">
        <f>COUNTIF($I$2:I1274,'[1]Detalle Pilotos'!$G$3)</f>
        <v>0</v>
      </c>
      <c r="B1274">
        <f t="shared" si="27"/>
        <v>1273</v>
      </c>
      <c r="C1274" s="9">
        <v>45127</v>
      </c>
      <c r="D1274" s="4" t="s">
        <v>53</v>
      </c>
      <c r="E1274" s="8"/>
      <c r="F1274" s="3">
        <v>575035</v>
      </c>
      <c r="G1274" s="7">
        <f>IF(Tabla1[[#This Row],[Fecha]]="","",G1273+Tabla1[[#This Row],[ingreso]]-Tabla1[[#This Row],[egreso]])</f>
        <v>2101878.1442999989</v>
      </c>
      <c r="H1274" s="7"/>
      <c r="I1274" s="7" t="s">
        <v>54</v>
      </c>
      <c r="J1274" s="4"/>
      <c r="K1274" t="str">
        <f>IF(Tabla1[[#This Row],[Tipo]]="","",Tabla1[[#This Row],[ingreso]]/Tabla1[[#This Row],[Tipo]])</f>
        <v/>
      </c>
    </row>
    <row r="1275" spans="1:11" x14ac:dyDescent="0.2">
      <c r="A1275">
        <f>COUNTIF($I$2:I1275,'[1]Detalle Pilotos'!$G$3)</f>
        <v>0</v>
      </c>
      <c r="B1275">
        <f t="shared" si="27"/>
        <v>1274</v>
      </c>
      <c r="C1275" s="9">
        <v>45128</v>
      </c>
      <c r="D1275" s="4" t="s">
        <v>237</v>
      </c>
      <c r="E1275" s="8"/>
      <c r="F1275" s="3">
        <v>4007750</v>
      </c>
      <c r="G1275" s="7">
        <f>IF(Tabla1[[#This Row],[Fecha]]="","",G1274+Tabla1[[#This Row],[ingreso]]-Tabla1[[#This Row],[egreso]])</f>
        <v>6109628.1442999989</v>
      </c>
      <c r="H1275" s="7">
        <v>5000</v>
      </c>
      <c r="I1275" s="7" t="s">
        <v>329</v>
      </c>
      <c r="J1275" s="4"/>
      <c r="K1275">
        <f>IF(Tabla1[[#This Row],[Tipo]]="","",Tabla1[[#This Row],[ingreso]]/Tabla1[[#This Row],[Tipo]])</f>
        <v>801.55</v>
      </c>
    </row>
    <row r="1276" spans="1:11" x14ac:dyDescent="0.2">
      <c r="A1276">
        <f>COUNTIF($I$2:I1276,'[1]Detalle Pilotos'!$G$3)</f>
        <v>0</v>
      </c>
      <c r="B1276">
        <f t="shared" si="27"/>
        <v>1275</v>
      </c>
      <c r="C1276" s="9">
        <v>45128</v>
      </c>
      <c r="D1276" s="4" t="s">
        <v>647</v>
      </c>
      <c r="E1276" s="8"/>
      <c r="F1276" s="3">
        <v>89943</v>
      </c>
      <c r="G1276" s="7">
        <f>IF(Tabla1[[#This Row],[Fecha]]="","",G1275+Tabla1[[#This Row],[ingreso]]-Tabla1[[#This Row],[egreso]])</f>
        <v>6199571.1442999989</v>
      </c>
      <c r="H1276" s="7"/>
      <c r="I1276" s="7" t="s">
        <v>648</v>
      </c>
      <c r="J1276" s="4"/>
      <c r="K1276" t="str">
        <f>IF(Tabla1[[#This Row],[Tipo]]="","",Tabla1[[#This Row],[ingreso]]/Tabla1[[#This Row],[Tipo]])</f>
        <v/>
      </c>
    </row>
    <row r="1277" spans="1:11" x14ac:dyDescent="0.2">
      <c r="A1277">
        <f>COUNTIF($I$2:I1277,'[1]Detalle Pilotos'!$G$3)</f>
        <v>0</v>
      </c>
      <c r="B1277">
        <f t="shared" si="27"/>
        <v>1276</v>
      </c>
      <c r="C1277" s="9">
        <v>45131</v>
      </c>
      <c r="D1277" s="4" t="s">
        <v>266</v>
      </c>
      <c r="E1277" s="8">
        <v>110649</v>
      </c>
      <c r="F1277" s="3"/>
      <c r="G1277" s="7">
        <f>IF(Tabla1[[#This Row],[Fecha]]="","",G1276+Tabla1[[#This Row],[ingreso]]-Tabla1[[#This Row],[egreso]])</f>
        <v>6088922.1442999989</v>
      </c>
      <c r="H1277" s="7"/>
      <c r="I1277" s="7"/>
      <c r="J1277" s="4"/>
      <c r="K1277" t="str">
        <f>IF(Tabla1[[#This Row],[Tipo]]="","",Tabla1[[#This Row],[ingreso]]/Tabla1[[#This Row],[Tipo]])</f>
        <v/>
      </c>
    </row>
    <row r="1278" spans="1:11" x14ac:dyDescent="0.2">
      <c r="A1278">
        <f>COUNTIF($I$2:I1278,'[1]Detalle Pilotos'!$G$3)</f>
        <v>0</v>
      </c>
      <c r="B1278">
        <f t="shared" si="27"/>
        <v>1277</v>
      </c>
      <c r="C1278" s="9">
        <v>45133</v>
      </c>
      <c r="D1278" s="4" t="s">
        <v>266</v>
      </c>
      <c r="E1278" s="8">
        <v>83862</v>
      </c>
      <c r="F1278" s="3"/>
      <c r="G1278" s="7">
        <f>IF(Tabla1[[#This Row],[Fecha]]="","",G1277+Tabla1[[#This Row],[ingreso]]-Tabla1[[#This Row],[egreso]])</f>
        <v>6005060.1442999989</v>
      </c>
      <c r="H1278" s="7"/>
      <c r="I1278" s="7"/>
      <c r="J1278" s="4"/>
      <c r="K1278" t="str">
        <f>IF(Tabla1[[#This Row],[Tipo]]="","",Tabla1[[#This Row],[ingreso]]/Tabla1[[#This Row],[Tipo]])</f>
        <v/>
      </c>
    </row>
    <row r="1279" spans="1:11" x14ac:dyDescent="0.2">
      <c r="A1279">
        <f>COUNTIF($I$2:I1279,'[1]Detalle Pilotos'!$G$3)</f>
        <v>0</v>
      </c>
      <c r="B1279">
        <f t="shared" si="27"/>
        <v>1278</v>
      </c>
      <c r="C1279" s="9">
        <v>45134</v>
      </c>
      <c r="D1279" s="4" t="s">
        <v>506</v>
      </c>
      <c r="E1279" s="8"/>
      <c r="F1279" s="3">
        <v>68000</v>
      </c>
      <c r="G1279" s="7">
        <f>IF(Tabla1[[#This Row],[Fecha]]="","",G1278+Tabla1[[#This Row],[ingreso]]-Tabla1[[#This Row],[egreso]])</f>
        <v>6073060.1442999989</v>
      </c>
      <c r="H1279" s="7"/>
      <c r="I1279" s="7" t="s">
        <v>507</v>
      </c>
      <c r="J1279" s="4"/>
      <c r="K1279" s="10">
        <f>Tabla1[[#This Row],[Saldo]]+9212</f>
        <v>6082272.1442999989</v>
      </c>
    </row>
    <row r="1280" spans="1:11" x14ac:dyDescent="0.2">
      <c r="A1280">
        <f>COUNTIF($I$2:I1280,'[1]Detalle Pilotos'!$G$3)</f>
        <v>0</v>
      </c>
      <c r="B1280">
        <f t="shared" si="27"/>
        <v>1279</v>
      </c>
      <c r="C1280" s="9">
        <v>45135</v>
      </c>
      <c r="D1280" s="4" t="s">
        <v>53</v>
      </c>
      <c r="E1280" s="8"/>
      <c r="F1280" s="3">
        <v>94500</v>
      </c>
      <c r="G1280" s="7">
        <f>IF(Tabla1[[#This Row],[Fecha]]="","",G1279+Tabla1[[#This Row],[ingreso]]-Tabla1[[#This Row],[egreso]])</f>
        <v>6167560.1442999989</v>
      </c>
      <c r="H1280" s="7"/>
      <c r="I1280" s="7" t="s">
        <v>54</v>
      </c>
      <c r="J1280" s="4"/>
    </row>
    <row r="1281" spans="1:10" x14ac:dyDescent="0.2">
      <c r="A1281">
        <f>COUNTIF($I$2:I1281,'[1]Detalle Pilotos'!$G$3)</f>
        <v>0</v>
      </c>
      <c r="B1281">
        <f t="shared" si="27"/>
        <v>1280</v>
      </c>
      <c r="C1281" s="9">
        <v>45136</v>
      </c>
      <c r="D1281" s="4" t="s">
        <v>109</v>
      </c>
      <c r="E1281" s="8"/>
      <c r="F1281" s="3">
        <v>150000</v>
      </c>
      <c r="G1281" s="7">
        <f>IF(Tabla1[[#This Row],[Fecha]]="","",G1280+Tabla1[[#This Row],[ingreso]]-Tabla1[[#This Row],[egreso]])</f>
        <v>6317560.1442999989</v>
      </c>
      <c r="H1281" s="7"/>
      <c r="I1281" s="7" t="s">
        <v>110</v>
      </c>
      <c r="J1281" s="4"/>
    </row>
    <row r="1282" spans="1:10" x14ac:dyDescent="0.2">
      <c r="A1282">
        <f>COUNTIF($I$2:I1282,'[1]Detalle Pilotos'!$G$3)</f>
        <v>0</v>
      </c>
      <c r="B1282">
        <f t="shared" si="27"/>
        <v>1281</v>
      </c>
      <c r="C1282" s="9">
        <v>45137</v>
      </c>
      <c r="D1282" s="4" t="s">
        <v>649</v>
      </c>
      <c r="E1282" s="8">
        <v>414120</v>
      </c>
      <c r="F1282" s="3"/>
      <c r="G1282" s="7">
        <f>IF(Tabla1[[#This Row],[Fecha]]="","",G1281+Tabla1[[#This Row],[ingreso]]-Tabla1[[#This Row],[egreso]])</f>
        <v>5903440.1442999989</v>
      </c>
      <c r="H1282" s="7"/>
      <c r="I1282" s="7"/>
      <c r="J1282" s="4"/>
    </row>
    <row r="1283" spans="1:10" x14ac:dyDescent="0.2">
      <c r="A1283">
        <f>COUNTIF($I$2:I1283,'[1]Detalle Pilotos'!$G$3)</f>
        <v>0</v>
      </c>
      <c r="B1283">
        <f t="shared" si="27"/>
        <v>1282</v>
      </c>
      <c r="C1283" s="9">
        <v>45138</v>
      </c>
      <c r="D1283" s="4" t="s">
        <v>615</v>
      </c>
      <c r="E1283" s="8"/>
      <c r="F1283" s="3">
        <v>399598</v>
      </c>
      <c r="G1283" s="7">
        <f>IF(Tabla1[[#This Row],[Fecha]]="","",G1282+Tabla1[[#This Row],[ingreso]]-Tabla1[[#This Row],[egreso]])</f>
        <v>6303038.1442999989</v>
      </c>
      <c r="H1283" s="7"/>
      <c r="I1283" s="7" t="s">
        <v>616</v>
      </c>
      <c r="J1283" s="4"/>
    </row>
    <row r="1284" spans="1:10" x14ac:dyDescent="0.2">
      <c r="A1284">
        <f>COUNTIF($I$2:I1284,'[1]Detalle Pilotos'!$G$3)</f>
        <v>0</v>
      </c>
      <c r="B1284">
        <f t="shared" ref="B1284:B1347" si="28">IF(C1284="","",1+B1283)</f>
        <v>1283</v>
      </c>
      <c r="C1284" s="9">
        <v>45139</v>
      </c>
      <c r="D1284" s="4" t="s">
        <v>395</v>
      </c>
      <c r="E1284" s="8"/>
      <c r="F1284" s="3">
        <v>523580</v>
      </c>
      <c r="G1284" s="7">
        <f>IF(Tabla1[[#This Row],[Fecha]]="","",G1283+Tabla1[[#This Row],[ingreso]]-Tabla1[[#This Row],[egreso]])</f>
        <v>6826618.1442999989</v>
      </c>
      <c r="H1284" s="7"/>
      <c r="I1284" s="7"/>
      <c r="J1284" s="4"/>
    </row>
    <row r="1285" spans="1:10" x14ac:dyDescent="0.2">
      <c r="A1285">
        <f>COUNTIF($I$2:I1285,'[1]Detalle Pilotos'!$G$3)</f>
        <v>0</v>
      </c>
      <c r="B1285">
        <f t="shared" si="28"/>
        <v>1284</v>
      </c>
      <c r="C1285" s="9">
        <v>45140</v>
      </c>
      <c r="D1285" s="4" t="s">
        <v>645</v>
      </c>
      <c r="E1285" s="8"/>
      <c r="F1285" s="3">
        <v>255000</v>
      </c>
      <c r="G1285" s="7">
        <f>IF(Tabla1[[#This Row],[Fecha]]="","",G1284+Tabla1[[#This Row],[ingreso]]-Tabla1[[#This Row],[egreso]])</f>
        <v>7081618.1442999989</v>
      </c>
      <c r="H1285" s="7"/>
      <c r="I1285" s="7" t="s">
        <v>218</v>
      </c>
      <c r="J1285" s="4"/>
    </row>
    <row r="1286" spans="1:10" x14ac:dyDescent="0.2">
      <c r="A1286">
        <f>COUNTIF($I$2:I1286,'[1]Detalle Pilotos'!$G$3)</f>
        <v>0</v>
      </c>
      <c r="B1286">
        <f t="shared" si="28"/>
        <v>1285</v>
      </c>
      <c r="C1286" s="9">
        <v>45141</v>
      </c>
      <c r="D1286" s="4" t="s">
        <v>266</v>
      </c>
      <c r="E1286" s="8">
        <v>164376</v>
      </c>
      <c r="F1286" s="3"/>
      <c r="G1286" s="7">
        <f>IF(Tabla1[[#This Row],[Fecha]]="","",G1285+Tabla1[[#This Row],[ingreso]]-Tabla1[[#This Row],[egreso]])</f>
        <v>6917242.1442999989</v>
      </c>
      <c r="H1286" s="7"/>
      <c r="I1286" s="7"/>
      <c r="J1286" s="4"/>
    </row>
    <row r="1287" spans="1:10" x14ac:dyDescent="0.2">
      <c r="A1287">
        <f>COUNTIF($I$2:I1287,'[1]Detalle Pilotos'!$G$3)</f>
        <v>1</v>
      </c>
      <c r="B1287">
        <f t="shared" si="28"/>
        <v>1286</v>
      </c>
      <c r="C1287" s="9">
        <v>45153</v>
      </c>
      <c r="D1287" s="4" t="s">
        <v>650</v>
      </c>
      <c r="E1287" s="8"/>
      <c r="F1287" s="3">
        <v>350000</v>
      </c>
      <c r="G1287" s="7">
        <f>IF(Tabla1[[#This Row],[Fecha]]="","",G1286+Tabla1[[#This Row],[ingreso]]-Tabla1[[#This Row],[egreso]])</f>
        <v>7267242.1442999989</v>
      </c>
      <c r="H1287" s="7"/>
      <c r="I1287" s="7" t="s">
        <v>651</v>
      </c>
      <c r="J1287" s="4"/>
    </row>
    <row r="1288" spans="1:10" x14ac:dyDescent="0.2">
      <c r="A1288">
        <f>COUNTIF($I$2:I1288,'[1]Detalle Pilotos'!$G$3)</f>
        <v>2</v>
      </c>
      <c r="B1288">
        <f t="shared" si="28"/>
        <v>1287</v>
      </c>
      <c r="C1288" s="9">
        <v>45168</v>
      </c>
      <c r="D1288" s="4" t="s">
        <v>650</v>
      </c>
      <c r="E1288" s="8"/>
      <c r="F1288" s="3">
        <v>250000</v>
      </c>
      <c r="G1288" s="7">
        <f>IF(Tabla1[[#This Row],[Fecha]]="","",G1287+Tabla1[[#This Row],[ingreso]]-Tabla1[[#This Row],[egreso]])</f>
        <v>7517242.1442999989</v>
      </c>
      <c r="H1288" s="7"/>
      <c r="I1288" s="7" t="s">
        <v>651</v>
      </c>
      <c r="J1288" s="4"/>
    </row>
    <row r="1289" spans="1:10" x14ac:dyDescent="0.2">
      <c r="A1289">
        <f>COUNTIF($I$2:I1289,'[1]Detalle Pilotos'!$G$3)</f>
        <v>2</v>
      </c>
      <c r="B1289">
        <f t="shared" si="28"/>
        <v>1288</v>
      </c>
      <c r="C1289" s="9">
        <v>45169</v>
      </c>
      <c r="D1289" s="4" t="s">
        <v>157</v>
      </c>
      <c r="E1289" s="8"/>
      <c r="F1289" s="3">
        <v>124380</v>
      </c>
      <c r="G1289" s="7">
        <f>IF(Tabla1[[#This Row],[Fecha]]="","",G1288+Tabla1[[#This Row],[ingreso]]-Tabla1[[#This Row],[egreso]])</f>
        <v>7641622.1442999989</v>
      </c>
      <c r="H1289" s="7"/>
      <c r="I1289" s="7" t="s">
        <v>158</v>
      </c>
      <c r="J1289" s="4"/>
    </row>
    <row r="1290" spans="1:10" x14ac:dyDescent="0.2">
      <c r="A1290">
        <f>COUNTIF($I$2:I1290,'[1]Detalle Pilotos'!$G$3)</f>
        <v>2</v>
      </c>
      <c r="B1290">
        <f t="shared" si="28"/>
        <v>1289</v>
      </c>
      <c r="C1290" s="9">
        <v>45172</v>
      </c>
      <c r="D1290" s="4" t="s">
        <v>652</v>
      </c>
      <c r="E1290" s="8">
        <v>55000</v>
      </c>
      <c r="F1290" s="3"/>
      <c r="G1290" s="7">
        <f>IF(Tabla1[[#This Row],[Fecha]]="","",G1289+Tabla1[[#This Row],[ingreso]]-Tabla1[[#This Row],[egreso]])</f>
        <v>7586622.1442999989</v>
      </c>
      <c r="H1290" s="7"/>
      <c r="I1290" s="7"/>
      <c r="J1290" s="4"/>
    </row>
    <row r="1291" spans="1:10" x14ac:dyDescent="0.2">
      <c r="A1291">
        <f>COUNTIF($I$2:I1291,'[1]Detalle Pilotos'!$G$3)</f>
        <v>2</v>
      </c>
      <c r="B1291">
        <f t="shared" si="28"/>
        <v>1290</v>
      </c>
      <c r="C1291" s="9">
        <v>45176</v>
      </c>
      <c r="D1291" s="4" t="s">
        <v>395</v>
      </c>
      <c r="E1291" s="8"/>
      <c r="F1291" s="3">
        <v>44709</v>
      </c>
      <c r="G1291" s="7">
        <f>IF(Tabla1[[#This Row],[Fecha]]="","",G1290+Tabla1[[#This Row],[ingreso]]-Tabla1[[#This Row],[egreso]])</f>
        <v>7631331.1442999989</v>
      </c>
      <c r="H1291" s="7"/>
      <c r="I1291" s="7"/>
      <c r="J1291" s="4"/>
    </row>
    <row r="1292" spans="1:10" x14ac:dyDescent="0.2">
      <c r="A1292">
        <f>COUNTIF($I$2:I1292,'[1]Detalle Pilotos'!$G$3)</f>
        <v>2</v>
      </c>
      <c r="B1292">
        <f t="shared" si="28"/>
        <v>1291</v>
      </c>
      <c r="C1292" s="9">
        <v>45177</v>
      </c>
      <c r="D1292" s="4" t="s">
        <v>266</v>
      </c>
      <c r="E1292" s="8">
        <v>118732</v>
      </c>
      <c r="F1292" s="3"/>
      <c r="G1292" s="7">
        <f>IF(Tabla1[[#This Row],[Fecha]]="","",G1291+Tabla1[[#This Row],[ingreso]]-Tabla1[[#This Row],[egreso]])</f>
        <v>7512599.1442999989</v>
      </c>
      <c r="H1292" s="7"/>
      <c r="I1292" s="7"/>
      <c r="J1292" s="4"/>
    </row>
    <row r="1293" spans="1:10" x14ac:dyDescent="0.2">
      <c r="A1293">
        <f>COUNTIF($I$2:I1293,'[1]Detalle Pilotos'!$G$3)</f>
        <v>2</v>
      </c>
      <c r="B1293">
        <f t="shared" si="28"/>
        <v>1292</v>
      </c>
      <c r="C1293" s="9">
        <v>45180</v>
      </c>
      <c r="D1293" s="4" t="s">
        <v>653</v>
      </c>
      <c r="E1293" s="8"/>
      <c r="F1293" s="3">
        <v>297000</v>
      </c>
      <c r="G1293" s="7">
        <f>IF(Tabla1[[#This Row],[Fecha]]="","",G1292+Tabla1[[#This Row],[ingreso]]-Tabla1[[#This Row],[egreso]])</f>
        <v>7809599.1442999989</v>
      </c>
      <c r="H1293" s="7"/>
      <c r="I1293" s="7" t="s">
        <v>654</v>
      </c>
      <c r="J1293" s="4"/>
    </row>
    <row r="1294" spans="1:10" x14ac:dyDescent="0.2">
      <c r="A1294">
        <f>COUNTIF($I$2:I1294,'[1]Detalle Pilotos'!$G$3)</f>
        <v>2</v>
      </c>
      <c r="B1294">
        <f t="shared" si="28"/>
        <v>1293</v>
      </c>
      <c r="C1294" s="9">
        <v>45183</v>
      </c>
      <c r="D1294" s="4" t="s">
        <v>655</v>
      </c>
      <c r="E1294" s="8">
        <v>589000</v>
      </c>
      <c r="F1294" s="3"/>
      <c r="G1294" s="7">
        <f>IF(Tabla1[[#This Row],[Fecha]]="","",G1293+Tabla1[[#This Row],[ingreso]]-Tabla1[[#This Row],[egreso]])</f>
        <v>7220599.1442999989</v>
      </c>
      <c r="H1294" s="7"/>
      <c r="I1294" s="7"/>
      <c r="J1294" s="4"/>
    </row>
    <row r="1295" spans="1:10" x14ac:dyDescent="0.2">
      <c r="A1295">
        <f>COUNTIF($I$2:I1295,'[1]Detalle Pilotos'!$G$3)</f>
        <v>2</v>
      </c>
      <c r="B1295">
        <f t="shared" si="28"/>
        <v>1294</v>
      </c>
      <c r="C1295" s="9">
        <v>45185</v>
      </c>
      <c r="D1295" s="4" t="s">
        <v>266</v>
      </c>
      <c r="E1295" s="8">
        <v>119067</v>
      </c>
      <c r="F1295" s="3"/>
      <c r="G1295" s="7">
        <f>IF(Tabla1[[#This Row],[Fecha]]="","",G1294+Tabla1[[#This Row],[ingreso]]-Tabla1[[#This Row],[egreso]])</f>
        <v>7101532.1442999989</v>
      </c>
      <c r="H1295" s="7"/>
      <c r="I1295" s="7"/>
      <c r="J1295" s="4"/>
    </row>
    <row r="1296" spans="1:10" x14ac:dyDescent="0.2">
      <c r="A1296">
        <f>COUNTIF($I$2:I1296,'[1]Detalle Pilotos'!$G$3)</f>
        <v>2</v>
      </c>
      <c r="B1296">
        <f t="shared" si="28"/>
        <v>1295</v>
      </c>
      <c r="C1296" s="9">
        <v>45186</v>
      </c>
      <c r="D1296" s="4" t="s">
        <v>656</v>
      </c>
      <c r="E1296" s="8"/>
      <c r="F1296" s="3">
        <v>270000</v>
      </c>
      <c r="G1296" s="7">
        <f>IF(Tabla1[[#This Row],[Fecha]]="","",G1295+Tabla1[[#This Row],[ingreso]]-Tabla1[[#This Row],[egreso]])</f>
        <v>7371532.1442999989</v>
      </c>
      <c r="H1296" s="7"/>
      <c r="I1296" s="7" t="s">
        <v>13</v>
      </c>
      <c r="J1296" s="4"/>
    </row>
    <row r="1297" spans="1:10" x14ac:dyDescent="0.2">
      <c r="A1297">
        <f>COUNTIF($I$2:I1297,'[1]Detalle Pilotos'!$G$3)</f>
        <v>2</v>
      </c>
      <c r="B1297">
        <f t="shared" si="28"/>
        <v>1296</v>
      </c>
      <c r="C1297" s="9">
        <v>45190</v>
      </c>
      <c r="D1297" s="4" t="s">
        <v>645</v>
      </c>
      <c r="E1297" s="8"/>
      <c r="F1297" s="3">
        <v>270000</v>
      </c>
      <c r="G1297" s="7">
        <f>IF(Tabla1[[#This Row],[Fecha]]="","",G1296+Tabla1[[#This Row],[ingreso]]-Tabla1[[#This Row],[egreso]])</f>
        <v>7641532.1442999989</v>
      </c>
      <c r="H1297" s="7"/>
      <c r="I1297" s="7" t="s">
        <v>218</v>
      </c>
      <c r="J1297" s="4"/>
    </row>
    <row r="1298" spans="1:10" x14ac:dyDescent="0.2">
      <c r="A1298">
        <f>COUNTIF($I$2:I1298,'[1]Detalle Pilotos'!$G$3)</f>
        <v>2</v>
      </c>
      <c r="B1298">
        <f t="shared" si="28"/>
        <v>1297</v>
      </c>
      <c r="C1298" s="9">
        <v>45190</v>
      </c>
      <c r="D1298" s="4" t="s">
        <v>266</v>
      </c>
      <c r="E1298" s="8">
        <v>133154</v>
      </c>
      <c r="F1298" s="3"/>
      <c r="G1298" s="7">
        <f>IF(Tabla1[[#This Row],[Fecha]]="","",G1297+Tabla1[[#This Row],[ingreso]]-Tabla1[[#This Row],[egreso]])</f>
        <v>7508378.1442999989</v>
      </c>
      <c r="H1298" s="7"/>
      <c r="I1298" s="7"/>
      <c r="J1298" s="4"/>
    </row>
    <row r="1299" spans="1:10" x14ac:dyDescent="0.2">
      <c r="A1299">
        <f>COUNTIF($I$2:I1299,'[1]Detalle Pilotos'!$G$3)</f>
        <v>2</v>
      </c>
      <c r="B1299">
        <f t="shared" si="28"/>
        <v>1298</v>
      </c>
      <c r="C1299" s="9">
        <v>45190</v>
      </c>
      <c r="D1299" s="4" t="s">
        <v>166</v>
      </c>
      <c r="E1299" s="8"/>
      <c r="F1299" s="3">
        <v>165000</v>
      </c>
      <c r="G1299" s="7">
        <f>IF(Tabla1[[#This Row],[Fecha]]="","",G1298+Tabla1[[#This Row],[ingreso]]-Tabla1[[#This Row],[egreso]])</f>
        <v>7673378.1442999989</v>
      </c>
      <c r="H1299" s="7"/>
      <c r="I1299" s="7" t="s">
        <v>167</v>
      </c>
      <c r="J1299" s="4"/>
    </row>
    <row r="1300" spans="1:10" x14ac:dyDescent="0.2">
      <c r="A1300">
        <f>COUNTIF($I$2:I1300,'[1]Detalle Pilotos'!$G$3)</f>
        <v>2</v>
      </c>
      <c r="B1300">
        <f t="shared" si="28"/>
        <v>1299</v>
      </c>
      <c r="C1300" s="9">
        <v>45194</v>
      </c>
      <c r="D1300" s="4" t="s">
        <v>53</v>
      </c>
      <c r="E1300" s="8"/>
      <c r="F1300" s="3">
        <v>256500</v>
      </c>
      <c r="G1300" s="7">
        <f>IF(Tabla1[[#This Row],[Fecha]]="","",G1299+Tabla1[[#This Row],[ingreso]]-Tabla1[[#This Row],[egreso]])</f>
        <v>7929878.1442999989</v>
      </c>
      <c r="H1300" s="7"/>
      <c r="I1300" s="7" t="s">
        <v>54</v>
      </c>
      <c r="J1300" s="4"/>
    </row>
    <row r="1301" spans="1:10" x14ac:dyDescent="0.2">
      <c r="A1301">
        <f>COUNTIF($I$2:I1301,'[1]Detalle Pilotos'!$G$3)</f>
        <v>2</v>
      </c>
      <c r="B1301">
        <f t="shared" si="28"/>
        <v>1300</v>
      </c>
      <c r="C1301" s="9">
        <v>45195</v>
      </c>
      <c r="D1301" s="4" t="s">
        <v>657</v>
      </c>
      <c r="E1301" s="8">
        <v>30000</v>
      </c>
      <c r="F1301" s="3"/>
      <c r="G1301" s="7">
        <f>IF(Tabla1[[#This Row],[Fecha]]="","",G1300+Tabla1[[#This Row],[ingreso]]-Tabla1[[#This Row],[egreso]])</f>
        <v>7899878.1442999989</v>
      </c>
      <c r="H1301" s="7"/>
      <c r="I1301" s="7"/>
      <c r="J1301" s="4"/>
    </row>
    <row r="1302" spans="1:10" x14ac:dyDescent="0.2">
      <c r="A1302">
        <f>COUNTIF($I$2:I1302,'[1]Detalle Pilotos'!$G$3)</f>
        <v>2</v>
      </c>
      <c r="B1302">
        <f t="shared" si="28"/>
        <v>1301</v>
      </c>
      <c r="C1302" s="9">
        <v>45195</v>
      </c>
      <c r="D1302" s="4" t="s">
        <v>658</v>
      </c>
      <c r="E1302" s="8">
        <v>240000</v>
      </c>
      <c r="F1302" s="3"/>
      <c r="G1302" s="7">
        <f>IF(Tabla1[[#This Row],[Fecha]]="","",G1301+Tabla1[[#This Row],[ingreso]]-Tabla1[[#This Row],[egreso]])</f>
        <v>7659878.1442999989</v>
      </c>
      <c r="H1302" s="7"/>
      <c r="I1302" s="7"/>
      <c r="J1302" s="4"/>
    </row>
    <row r="1303" spans="1:10" x14ac:dyDescent="0.2">
      <c r="A1303">
        <f>COUNTIF($I$2:I1303,'[1]Detalle Pilotos'!$G$3)</f>
        <v>2</v>
      </c>
      <c r="B1303">
        <f t="shared" si="28"/>
        <v>1302</v>
      </c>
      <c r="C1303" s="9">
        <v>45195</v>
      </c>
      <c r="D1303" s="4" t="s">
        <v>383</v>
      </c>
      <c r="E1303" s="8">
        <v>206030</v>
      </c>
      <c r="F1303" s="3"/>
      <c r="G1303" s="7">
        <f>IF(Tabla1[[#This Row],[Fecha]]="","",G1302+Tabla1[[#This Row],[ingreso]]-Tabla1[[#This Row],[egreso]])</f>
        <v>7453848.1442999989</v>
      </c>
      <c r="H1303" s="7"/>
      <c r="I1303" s="7"/>
      <c r="J1303" s="4"/>
    </row>
    <row r="1304" spans="1:10" x14ac:dyDescent="0.2">
      <c r="A1304">
        <f>COUNTIF($I$2:I1304,'[1]Detalle Pilotos'!$G$3)</f>
        <v>2</v>
      </c>
      <c r="B1304">
        <f t="shared" si="28"/>
        <v>1303</v>
      </c>
      <c r="C1304" s="9">
        <v>45198</v>
      </c>
      <c r="D1304" s="4" t="s">
        <v>266</v>
      </c>
      <c r="E1304" s="8">
        <v>26222</v>
      </c>
      <c r="F1304" s="3"/>
      <c r="G1304" s="7">
        <f>IF(Tabla1[[#This Row],[Fecha]]="","",G1303+Tabla1[[#This Row],[ingreso]]-Tabla1[[#This Row],[egreso]])</f>
        <v>7427626.1442999989</v>
      </c>
      <c r="H1304" s="7"/>
      <c r="I1304" s="7"/>
      <c r="J1304" s="4"/>
    </row>
    <row r="1305" spans="1:10" x14ac:dyDescent="0.2">
      <c r="A1305">
        <f>COUNTIF($I$2:I1305,'[1]Detalle Pilotos'!$G$3)</f>
        <v>2</v>
      </c>
      <c r="B1305">
        <f t="shared" si="28"/>
        <v>1304</v>
      </c>
      <c r="C1305" s="9">
        <v>45201</v>
      </c>
      <c r="D1305" s="4" t="s">
        <v>564</v>
      </c>
      <c r="E1305" s="8"/>
      <c r="F1305" s="3">
        <v>1997293</v>
      </c>
      <c r="G1305" s="7">
        <f>IF(Tabla1[[#This Row],[Fecha]]="","",G1304+Tabla1[[#This Row],[ingreso]]-Tabla1[[#This Row],[egreso]])</f>
        <v>9424919.1442999989</v>
      </c>
      <c r="H1305" s="7"/>
      <c r="I1305" s="7" t="s">
        <v>565</v>
      </c>
      <c r="J1305" s="4"/>
    </row>
    <row r="1306" spans="1:10" x14ac:dyDescent="0.2">
      <c r="A1306">
        <f>COUNTIF($I$2:I1306,'[1]Detalle Pilotos'!$G$3)</f>
        <v>3</v>
      </c>
      <c r="B1306">
        <f t="shared" si="28"/>
        <v>1305</v>
      </c>
      <c r="C1306" s="9">
        <v>45202</v>
      </c>
      <c r="D1306" s="4" t="s">
        <v>659</v>
      </c>
      <c r="E1306" s="8"/>
      <c r="F1306" s="3">
        <v>200000</v>
      </c>
      <c r="G1306" s="7">
        <f>IF(Tabla1[[#This Row],[Fecha]]="","",G1305+Tabla1[[#This Row],[ingreso]]-Tabla1[[#This Row],[egreso]])</f>
        <v>9624919.1442999989</v>
      </c>
      <c r="H1306" s="7"/>
      <c r="I1306" s="7" t="s">
        <v>651</v>
      </c>
      <c r="J1306" s="4"/>
    </row>
    <row r="1307" spans="1:10" x14ac:dyDescent="0.2">
      <c r="A1307">
        <f>COUNTIF($I$2:I1307,'[1]Detalle Pilotos'!$G$3)</f>
        <v>3</v>
      </c>
      <c r="B1307">
        <f t="shared" si="28"/>
        <v>1306</v>
      </c>
      <c r="C1307" s="9">
        <v>45202</v>
      </c>
      <c r="D1307" s="4" t="s">
        <v>556</v>
      </c>
      <c r="E1307" s="8">
        <v>2000000</v>
      </c>
      <c r="F1307" s="3"/>
      <c r="G1307" s="7">
        <f>IF(Tabla1[[#This Row],[Fecha]]="","",G1306+Tabla1[[#This Row],[ingreso]]-Tabla1[[#This Row],[egreso]])</f>
        <v>7624919.1442999989</v>
      </c>
      <c r="H1307" s="7"/>
      <c r="I1307" s="7"/>
      <c r="J1307" s="4"/>
    </row>
    <row r="1308" spans="1:10" x14ac:dyDescent="0.2">
      <c r="A1308">
        <f>COUNTIF($I$2:I1308,'[1]Detalle Pilotos'!$G$3)</f>
        <v>3</v>
      </c>
      <c r="B1308">
        <f t="shared" si="28"/>
        <v>1307</v>
      </c>
      <c r="C1308" s="9">
        <v>45202</v>
      </c>
      <c r="D1308" s="4" t="s">
        <v>556</v>
      </c>
      <c r="E1308" s="8">
        <v>2500000</v>
      </c>
      <c r="F1308" s="3"/>
      <c r="G1308" s="7">
        <f>IF(Tabla1[[#This Row],[Fecha]]="","",G1307+Tabla1[[#This Row],[ingreso]]-Tabla1[[#This Row],[egreso]])</f>
        <v>5124919.1442999989</v>
      </c>
      <c r="H1308" s="7"/>
      <c r="I1308" s="7"/>
      <c r="J1308" s="4"/>
    </row>
    <row r="1309" spans="1:10" x14ac:dyDescent="0.2">
      <c r="A1309">
        <f>COUNTIF($I$2:I1309,'[1]Detalle Pilotos'!$G$3)</f>
        <v>3</v>
      </c>
      <c r="B1309">
        <f t="shared" si="28"/>
        <v>1308</v>
      </c>
      <c r="C1309" s="9">
        <v>45202</v>
      </c>
      <c r="D1309" s="4" t="s">
        <v>660</v>
      </c>
      <c r="E1309" s="8">
        <v>250000</v>
      </c>
      <c r="F1309" s="3"/>
      <c r="G1309" s="7">
        <f>IF(Tabla1[[#This Row],[Fecha]]="","",G1308+Tabla1[[#This Row],[ingreso]]-Tabla1[[#This Row],[egreso]])</f>
        <v>4874919.1442999989</v>
      </c>
      <c r="H1309" s="7"/>
      <c r="I1309" s="7"/>
      <c r="J1309" s="4"/>
    </row>
    <row r="1310" spans="1:10" x14ac:dyDescent="0.2">
      <c r="A1310">
        <f>COUNTIF($I$2:I1310,'[1]Detalle Pilotos'!$G$3)</f>
        <v>4</v>
      </c>
      <c r="B1310">
        <f t="shared" si="28"/>
        <v>1309</v>
      </c>
      <c r="C1310" s="9">
        <v>45203</v>
      </c>
      <c r="D1310" s="4" t="s">
        <v>659</v>
      </c>
      <c r="E1310" s="8"/>
      <c r="F1310" s="3">
        <v>70000</v>
      </c>
      <c r="G1310" s="7">
        <f>IF(Tabla1[[#This Row],[Fecha]]="","",G1309+Tabla1[[#This Row],[ingreso]]-Tabla1[[#This Row],[egreso]])</f>
        <v>4944919.1442999989</v>
      </c>
      <c r="H1310" s="7"/>
      <c r="I1310" s="7" t="s">
        <v>651</v>
      </c>
      <c r="J1310" s="4"/>
    </row>
    <row r="1311" spans="1:10" x14ac:dyDescent="0.2">
      <c r="A1311">
        <f>COUNTIF($I$2:I1311,'[1]Detalle Pilotos'!$G$3)</f>
        <v>4</v>
      </c>
      <c r="B1311">
        <f t="shared" si="28"/>
        <v>1310</v>
      </c>
      <c r="C1311" s="9">
        <v>45204</v>
      </c>
      <c r="D1311" s="4" t="s">
        <v>661</v>
      </c>
      <c r="E1311" s="8"/>
      <c r="F1311" s="3">
        <v>85000</v>
      </c>
      <c r="G1311" s="7">
        <f>IF(Tabla1[[#This Row],[Fecha]]="","",G1310+Tabla1[[#This Row],[ingreso]]-Tabla1[[#This Row],[egreso]])</f>
        <v>5029919.1442999989</v>
      </c>
      <c r="H1311" s="7"/>
      <c r="I1311" s="7" t="s">
        <v>228</v>
      </c>
      <c r="J1311" s="4"/>
    </row>
    <row r="1312" spans="1:10" x14ac:dyDescent="0.2">
      <c r="A1312">
        <f>COUNTIF($I$2:I1312,'[1]Detalle Pilotos'!$G$3)</f>
        <v>4</v>
      </c>
      <c r="B1312">
        <f t="shared" si="28"/>
        <v>1311</v>
      </c>
      <c r="C1312" s="9">
        <v>45205</v>
      </c>
      <c r="D1312" s="4" t="s">
        <v>660</v>
      </c>
      <c r="E1312" s="8">
        <v>200000</v>
      </c>
      <c r="F1312" s="3"/>
      <c r="G1312" s="7">
        <f>IF(Tabla1[[#This Row],[Fecha]]="","",G1311+Tabla1[[#This Row],[ingreso]]-Tabla1[[#This Row],[egreso]])</f>
        <v>4829919.1442999989</v>
      </c>
      <c r="H1312" s="7"/>
      <c r="I1312" s="7"/>
      <c r="J1312" s="4"/>
    </row>
    <row r="1313" spans="1:10" x14ac:dyDescent="0.2">
      <c r="A1313">
        <f>COUNTIF($I$2:I1313,'[1]Detalle Pilotos'!$G$3)</f>
        <v>4</v>
      </c>
      <c r="B1313">
        <f t="shared" si="28"/>
        <v>1312</v>
      </c>
      <c r="C1313" s="9">
        <v>45211</v>
      </c>
      <c r="D1313" s="4" t="s">
        <v>383</v>
      </c>
      <c r="E1313" s="8">
        <v>92500</v>
      </c>
      <c r="F1313" s="3"/>
      <c r="G1313" s="7">
        <f>IF(Tabla1[[#This Row],[Fecha]]="","",G1312+Tabla1[[#This Row],[ingreso]]-Tabla1[[#This Row],[egreso]])</f>
        <v>4737419.1442999989</v>
      </c>
      <c r="H1313" s="7"/>
      <c r="I1313" s="7"/>
      <c r="J1313" s="4"/>
    </row>
    <row r="1314" spans="1:10" x14ac:dyDescent="0.2">
      <c r="A1314">
        <f>COUNTIF($I$2:I1314,'[1]Detalle Pilotos'!$G$3)</f>
        <v>4</v>
      </c>
      <c r="B1314">
        <f t="shared" si="28"/>
        <v>1313</v>
      </c>
      <c r="C1314" s="9">
        <v>45211</v>
      </c>
      <c r="D1314" s="4" t="s">
        <v>381</v>
      </c>
      <c r="E1314" s="8">
        <v>125370</v>
      </c>
      <c r="F1314" s="3"/>
      <c r="G1314" s="7">
        <f>IF(Tabla1[[#This Row],[Fecha]]="","",G1313+Tabla1[[#This Row],[ingreso]]-Tabla1[[#This Row],[egreso]])</f>
        <v>4612049.1442999989</v>
      </c>
      <c r="H1314" s="7"/>
      <c r="I1314" s="7"/>
      <c r="J1314" s="4"/>
    </row>
    <row r="1315" spans="1:10" x14ac:dyDescent="0.2">
      <c r="A1315">
        <f>COUNTIF($I$2:I1315,'[1]Detalle Pilotos'!$G$3)</f>
        <v>4</v>
      </c>
      <c r="B1315">
        <f t="shared" si="28"/>
        <v>1314</v>
      </c>
      <c r="C1315" s="9">
        <v>45213</v>
      </c>
      <c r="D1315" s="4" t="s">
        <v>395</v>
      </c>
      <c r="E1315" s="8"/>
      <c r="F1315" s="3">
        <v>242709</v>
      </c>
      <c r="G1315" s="7">
        <f>IF(Tabla1[[#This Row],[Fecha]]="","",G1314+Tabla1[[#This Row],[ingreso]]-Tabla1[[#This Row],[egreso]])</f>
        <v>4854758.1442999989</v>
      </c>
      <c r="H1315" s="7"/>
      <c r="I1315" s="7"/>
      <c r="J1315" s="4"/>
    </row>
    <row r="1316" spans="1:10" x14ac:dyDescent="0.2">
      <c r="A1316">
        <f>COUNTIF($I$2:I1316,'[1]Detalle Pilotos'!$G$3)</f>
        <v>4</v>
      </c>
      <c r="B1316">
        <f t="shared" si="28"/>
        <v>1315</v>
      </c>
      <c r="C1316" s="9">
        <v>45215</v>
      </c>
      <c r="D1316" s="4" t="s">
        <v>266</v>
      </c>
      <c r="E1316" s="8">
        <v>101403</v>
      </c>
      <c r="F1316" s="3"/>
      <c r="G1316" s="7">
        <f>IF(Tabla1[[#This Row],[Fecha]]="","",G1315+Tabla1[[#This Row],[ingreso]]-Tabla1[[#This Row],[egreso]])</f>
        <v>4753355.1442999989</v>
      </c>
      <c r="H1316" s="7"/>
      <c r="I1316" s="7"/>
      <c r="J1316" s="4"/>
    </row>
    <row r="1317" spans="1:10" x14ac:dyDescent="0.2">
      <c r="A1317">
        <f>COUNTIF($I$2:I1317,'[1]Detalle Pilotos'!$G$3)</f>
        <v>4</v>
      </c>
      <c r="B1317">
        <f t="shared" si="28"/>
        <v>1316</v>
      </c>
      <c r="C1317" s="9">
        <v>45216</v>
      </c>
      <c r="D1317" s="4" t="s">
        <v>178</v>
      </c>
      <c r="E1317" s="8"/>
      <c r="F1317" s="3">
        <v>396000</v>
      </c>
      <c r="G1317" s="7">
        <f>IF(Tabla1[[#This Row],[Fecha]]="","",G1316+Tabla1[[#This Row],[ingreso]]-Tabla1[[#This Row],[egreso]])</f>
        <v>5149355.1442999989</v>
      </c>
      <c r="H1317" s="7"/>
      <c r="I1317" s="7" t="s">
        <v>179</v>
      </c>
      <c r="J1317" s="4"/>
    </row>
    <row r="1318" spans="1:10" x14ac:dyDescent="0.2">
      <c r="A1318">
        <f>COUNTIF($I$2:I1318,'[1]Detalle Pilotos'!$G$3)</f>
        <v>4</v>
      </c>
      <c r="B1318">
        <f t="shared" si="28"/>
        <v>1317</v>
      </c>
      <c r="C1318" s="9">
        <v>45216</v>
      </c>
      <c r="D1318" s="4" t="s">
        <v>266</v>
      </c>
      <c r="E1318" s="8">
        <v>172563</v>
      </c>
      <c r="F1318" s="3"/>
      <c r="G1318" s="7">
        <f>IF(Tabla1[[#This Row],[Fecha]]="","",G1317+Tabla1[[#This Row],[ingreso]]-Tabla1[[#This Row],[egreso]])</f>
        <v>4976792.1442999989</v>
      </c>
      <c r="H1318" s="7"/>
      <c r="I1318" s="7"/>
      <c r="J1318" s="4"/>
    </row>
    <row r="1319" spans="1:10" x14ac:dyDescent="0.2">
      <c r="A1319">
        <f>COUNTIF($I$2:I1319,'[1]Detalle Pilotos'!$G$3)</f>
        <v>4</v>
      </c>
      <c r="B1319">
        <f t="shared" si="28"/>
        <v>1318</v>
      </c>
      <c r="C1319" s="9">
        <v>45217</v>
      </c>
      <c r="D1319" s="4" t="s">
        <v>662</v>
      </c>
      <c r="E1319" s="8"/>
      <c r="F1319" s="3">
        <v>200000</v>
      </c>
      <c r="G1319" s="7">
        <f>IF(Tabla1[[#This Row],[Fecha]]="","",G1318+Tabla1[[#This Row],[ingreso]]-Tabla1[[#This Row],[egreso]])</f>
        <v>5176792.1442999989</v>
      </c>
      <c r="H1319" s="7"/>
      <c r="I1319" s="7" t="s">
        <v>663</v>
      </c>
      <c r="J1319" s="4"/>
    </row>
    <row r="1320" spans="1:10" x14ac:dyDescent="0.2">
      <c r="A1320">
        <f>COUNTIF($I$2:I1320,'[1]Detalle Pilotos'!$G$3)</f>
        <v>4</v>
      </c>
      <c r="B1320">
        <f t="shared" si="28"/>
        <v>1319</v>
      </c>
      <c r="C1320" s="9">
        <v>45218</v>
      </c>
      <c r="D1320" s="4" t="s">
        <v>661</v>
      </c>
      <c r="E1320" s="8"/>
      <c r="F1320" s="3">
        <v>272000</v>
      </c>
      <c r="G1320" s="7">
        <f>IF(Tabla1[[#This Row],[Fecha]]="","",G1319+Tabla1[[#This Row],[ingreso]]-Tabla1[[#This Row],[egreso]])</f>
        <v>5448792.1442999989</v>
      </c>
      <c r="H1320" s="7"/>
      <c r="I1320" s="7" t="s">
        <v>228</v>
      </c>
      <c r="J1320" s="4"/>
    </row>
    <row r="1321" spans="1:10" x14ac:dyDescent="0.2">
      <c r="A1321">
        <f>COUNTIF($I$2:I1321,'[1]Detalle Pilotos'!$G$3)</f>
        <v>4</v>
      </c>
      <c r="B1321">
        <f t="shared" si="28"/>
        <v>1320</v>
      </c>
      <c r="C1321" s="9">
        <v>45228</v>
      </c>
      <c r="D1321" s="4" t="s">
        <v>53</v>
      </c>
      <c r="E1321" s="8"/>
      <c r="F1321" s="3">
        <v>202500</v>
      </c>
      <c r="G1321" s="7">
        <f>IF(Tabla1[[#This Row],[Fecha]]="","",G1320+Tabla1[[#This Row],[ingreso]]-Tabla1[[#This Row],[egreso]])</f>
        <v>5651292.1442999989</v>
      </c>
      <c r="H1321" s="7"/>
      <c r="I1321" s="7" t="s">
        <v>54</v>
      </c>
      <c r="J1321" s="4"/>
    </row>
    <row r="1322" spans="1:10" x14ac:dyDescent="0.2">
      <c r="A1322">
        <f>COUNTIF($I$2:I1322,'[1]Detalle Pilotos'!$G$3)</f>
        <v>4</v>
      </c>
      <c r="B1322">
        <f t="shared" si="28"/>
        <v>1321</v>
      </c>
      <c r="C1322" s="9">
        <v>45230</v>
      </c>
      <c r="D1322" s="4" t="s">
        <v>664</v>
      </c>
      <c r="E1322" s="8"/>
      <c r="F1322" s="3">
        <v>2515394</v>
      </c>
      <c r="G1322" s="7">
        <f>IF(Tabla1[[#This Row],[Fecha]]="","",G1321+Tabla1[[#This Row],[ingreso]]-Tabla1[[#This Row],[egreso]])</f>
        <v>8166686.1442999989</v>
      </c>
      <c r="H1322" s="7"/>
      <c r="I1322" s="7"/>
      <c r="J1322" s="4"/>
    </row>
    <row r="1323" spans="1:10" x14ac:dyDescent="0.2">
      <c r="A1323">
        <f>COUNTIF($I$2:I1323,'[1]Detalle Pilotos'!$G$3)</f>
        <v>4</v>
      </c>
      <c r="B1323">
        <f t="shared" si="28"/>
        <v>1322</v>
      </c>
      <c r="C1323" s="9">
        <v>45230</v>
      </c>
      <c r="D1323" s="4" t="s">
        <v>664</v>
      </c>
      <c r="E1323" s="8"/>
      <c r="F1323" s="3">
        <v>2012315</v>
      </c>
      <c r="G1323" s="7">
        <f>IF(Tabla1[[#This Row],[Fecha]]="","",G1322+Tabla1[[#This Row],[ingreso]]-Tabla1[[#This Row],[egreso]])</f>
        <v>10179001.144299999</v>
      </c>
      <c r="H1323" s="7"/>
      <c r="I1323" s="7"/>
      <c r="J1323" s="4"/>
    </row>
    <row r="1324" spans="1:10" x14ac:dyDescent="0.2">
      <c r="A1324">
        <f>COUNTIF($I$2:I1324,'[1]Detalle Pilotos'!$G$3)</f>
        <v>4</v>
      </c>
      <c r="B1324">
        <f t="shared" si="28"/>
        <v>1323</v>
      </c>
      <c r="C1324" s="9">
        <v>45233</v>
      </c>
      <c r="D1324" s="4" t="s">
        <v>645</v>
      </c>
      <c r="E1324" s="8"/>
      <c r="F1324" s="3">
        <v>248374</v>
      </c>
      <c r="G1324" s="7">
        <f>IF(Tabla1[[#This Row],[Fecha]]="","",G1323+Tabla1[[#This Row],[ingreso]]-Tabla1[[#This Row],[egreso]])</f>
        <v>10427375.144299999</v>
      </c>
      <c r="H1324" s="7"/>
      <c r="I1324" s="7" t="s">
        <v>218</v>
      </c>
      <c r="J1324" s="4"/>
    </row>
    <row r="1325" spans="1:10" x14ac:dyDescent="0.2">
      <c r="A1325">
        <f>COUNTIF($I$2:I1325,'[1]Detalle Pilotos'!$G$3)</f>
        <v>4</v>
      </c>
      <c r="B1325">
        <f t="shared" si="28"/>
        <v>1324</v>
      </c>
      <c r="C1325" s="9">
        <v>45234</v>
      </c>
      <c r="D1325" s="4" t="s">
        <v>266</v>
      </c>
      <c r="E1325" s="8">
        <v>167226</v>
      </c>
      <c r="F1325" s="3"/>
      <c r="G1325" s="7">
        <f>IF(Tabla1[[#This Row],[Fecha]]="","",G1324+Tabla1[[#This Row],[ingreso]]-Tabla1[[#This Row],[egreso]])</f>
        <v>10260149.144299999</v>
      </c>
      <c r="H1325" s="7"/>
      <c r="I1325" s="7"/>
      <c r="J1325" s="4"/>
    </row>
    <row r="1326" spans="1:10" x14ac:dyDescent="0.2">
      <c r="A1326">
        <f>COUNTIF($I$2:I1326,'[1]Detalle Pilotos'!$G$3)</f>
        <v>4</v>
      </c>
      <c r="B1326">
        <f t="shared" si="28"/>
        <v>1325</v>
      </c>
      <c r="C1326" s="9">
        <v>45234</v>
      </c>
      <c r="D1326" s="4" t="s">
        <v>266</v>
      </c>
      <c r="E1326" s="8">
        <v>154773</v>
      </c>
      <c r="F1326" s="3"/>
      <c r="G1326" s="7">
        <f>IF(Tabla1[[#This Row],[Fecha]]="","",G1325+Tabla1[[#This Row],[ingreso]]-Tabla1[[#This Row],[egreso]])</f>
        <v>10105376.144299999</v>
      </c>
      <c r="H1326" s="7"/>
      <c r="I1326" s="7"/>
      <c r="J1326" s="4"/>
    </row>
    <row r="1327" spans="1:10" x14ac:dyDescent="0.2">
      <c r="A1327">
        <f>COUNTIF($I$2:I1327,'[1]Detalle Pilotos'!$G$3)</f>
        <v>4</v>
      </c>
      <c r="B1327">
        <f t="shared" si="28"/>
        <v>1326</v>
      </c>
      <c r="C1327" s="9">
        <v>45236</v>
      </c>
      <c r="D1327" s="4" t="s">
        <v>506</v>
      </c>
      <c r="E1327" s="8"/>
      <c r="F1327" s="3">
        <v>119000</v>
      </c>
      <c r="G1327" s="7">
        <f>IF(Tabla1[[#This Row],[Fecha]]="","",G1326+Tabla1[[#This Row],[ingreso]]-Tabla1[[#This Row],[egreso]])</f>
        <v>10224376.144299999</v>
      </c>
      <c r="H1327" s="7"/>
      <c r="I1327" s="7" t="s">
        <v>507</v>
      </c>
      <c r="J1327" s="4"/>
    </row>
    <row r="1328" spans="1:10" x14ac:dyDescent="0.2">
      <c r="A1328">
        <f>COUNTIF($I$2:I1328,'[1]Detalle Pilotos'!$G$3)</f>
        <v>4</v>
      </c>
      <c r="B1328">
        <f t="shared" si="28"/>
        <v>1327</v>
      </c>
      <c r="C1328" s="9">
        <v>45236</v>
      </c>
      <c r="D1328" s="4" t="s">
        <v>665</v>
      </c>
      <c r="E1328" s="8">
        <v>1920884</v>
      </c>
      <c r="F1328" s="3"/>
      <c r="G1328" s="7">
        <f>IF(Tabla1[[#This Row],[Fecha]]="","",G1327+Tabla1[[#This Row],[ingreso]]-Tabla1[[#This Row],[egreso]])</f>
        <v>8303492.1442999989</v>
      </c>
      <c r="H1328" s="7"/>
      <c r="I1328" s="7"/>
      <c r="J1328" s="4"/>
    </row>
    <row r="1329" spans="1:11" x14ac:dyDescent="0.2">
      <c r="A1329">
        <f>COUNTIF($I$2:I1329,'[1]Detalle Pilotos'!$G$3)</f>
        <v>4</v>
      </c>
      <c r="B1329">
        <f t="shared" si="28"/>
        <v>1328</v>
      </c>
      <c r="C1329" s="9">
        <v>45236</v>
      </c>
      <c r="D1329" s="4" t="s">
        <v>662</v>
      </c>
      <c r="E1329" s="8"/>
      <c r="F1329" s="3">
        <v>160042</v>
      </c>
      <c r="G1329" s="7">
        <f>IF(Tabla1[[#This Row],[Fecha]]="","",G1328+Tabla1[[#This Row],[ingreso]]-Tabla1[[#This Row],[egreso]])</f>
        <v>8463534.1442999989</v>
      </c>
      <c r="H1329" s="7"/>
      <c r="I1329" s="7" t="s">
        <v>663</v>
      </c>
      <c r="J1329" s="4"/>
    </row>
    <row r="1330" spans="1:11" x14ac:dyDescent="0.2">
      <c r="A1330">
        <f>COUNTIF($I$2:I1330,'[1]Detalle Pilotos'!$G$3)</f>
        <v>4</v>
      </c>
      <c r="B1330">
        <f t="shared" si="28"/>
        <v>1329</v>
      </c>
      <c r="C1330" s="9">
        <v>45237</v>
      </c>
      <c r="D1330" s="4" t="s">
        <v>666</v>
      </c>
      <c r="E1330" s="8"/>
      <c r="F1330" s="3">
        <v>350000</v>
      </c>
      <c r="G1330" s="7">
        <f>IF(Tabla1[[#This Row],[Fecha]]="","",G1329+Tabla1[[#This Row],[ingreso]]-Tabla1[[#This Row],[egreso]])</f>
        <v>8813534.1442999989</v>
      </c>
      <c r="H1330" s="7"/>
      <c r="I1330" s="7" t="s">
        <v>667</v>
      </c>
      <c r="J1330" s="4"/>
    </row>
    <row r="1331" spans="1:11" x14ac:dyDescent="0.2">
      <c r="A1331">
        <f>COUNTIF($I$2:I1331,'[1]Detalle Pilotos'!$G$3)</f>
        <v>4</v>
      </c>
      <c r="B1331">
        <f t="shared" si="28"/>
        <v>1330</v>
      </c>
      <c r="C1331" s="9">
        <v>45238</v>
      </c>
      <c r="D1331" s="4" t="s">
        <v>666</v>
      </c>
      <c r="E1331" s="8"/>
      <c r="F1331" s="3">
        <v>334000</v>
      </c>
      <c r="G1331" s="7">
        <f>IF(Tabla1[[#This Row],[Fecha]]="","",G1330+Tabla1[[#This Row],[ingreso]]-Tabla1[[#This Row],[egreso]])</f>
        <v>9147534.1442999989</v>
      </c>
      <c r="H1331" s="7"/>
      <c r="I1331" s="7" t="s">
        <v>667</v>
      </c>
      <c r="J1331" s="4"/>
    </row>
    <row r="1332" spans="1:11" x14ac:dyDescent="0.2">
      <c r="A1332">
        <f>COUNTIF($I$2:I1332,'[1]Detalle Pilotos'!$G$3)</f>
        <v>4</v>
      </c>
      <c r="B1332">
        <f t="shared" si="28"/>
        <v>1331</v>
      </c>
      <c r="C1332" s="9">
        <v>45239</v>
      </c>
      <c r="D1332" s="4" t="s">
        <v>395</v>
      </c>
      <c r="E1332" s="8"/>
      <c r="F1332" s="3">
        <v>344638</v>
      </c>
      <c r="G1332" s="7">
        <f>IF(Tabla1[[#This Row],[Fecha]]="","",G1331+Tabla1[[#This Row],[ingreso]]-Tabla1[[#This Row],[egreso]])</f>
        <v>9492172.1442999989</v>
      </c>
      <c r="H1332" s="7"/>
      <c r="I1332" s="7"/>
      <c r="J1332" s="4"/>
    </row>
    <row r="1333" spans="1:11" x14ac:dyDescent="0.2">
      <c r="A1333">
        <f>COUNTIF($I$2:I1333,'[1]Detalle Pilotos'!$G$3)</f>
        <v>4</v>
      </c>
      <c r="B1333">
        <f t="shared" si="28"/>
        <v>1332</v>
      </c>
      <c r="C1333" s="9">
        <v>45615</v>
      </c>
      <c r="D1333" s="4" t="s">
        <v>266</v>
      </c>
      <c r="E1333" s="8">
        <v>156552</v>
      </c>
      <c r="F1333" s="3"/>
      <c r="G1333" s="7">
        <f>IF(Tabla1[[#This Row],[Fecha]]="","",G1332+Tabla1[[#This Row],[ingreso]]-Tabla1[[#This Row],[egreso]])</f>
        <v>9335620.1442999989</v>
      </c>
      <c r="H1333" s="7"/>
      <c r="I1333" s="7"/>
      <c r="J1333" s="4"/>
    </row>
    <row r="1334" spans="1:11" x14ac:dyDescent="0.2">
      <c r="A1334">
        <f>COUNTIF($I$2:I1334,'[1]Detalle Pilotos'!$G$3)</f>
        <v>4</v>
      </c>
      <c r="B1334">
        <f t="shared" si="28"/>
        <v>1333</v>
      </c>
      <c r="C1334" s="9">
        <v>45628</v>
      </c>
      <c r="D1334" s="4" t="s">
        <v>53</v>
      </c>
      <c r="E1334" s="8"/>
      <c r="F1334" s="3">
        <v>283500</v>
      </c>
      <c r="G1334" s="7">
        <f>IF(Tabla1[[#This Row],[Fecha]]="","",G1333+Tabla1[[#This Row],[ingreso]]-Tabla1[[#This Row],[egreso]])</f>
        <v>9619120.1442999989</v>
      </c>
      <c r="H1334" s="7"/>
      <c r="I1334" s="7" t="s">
        <v>54</v>
      </c>
      <c r="J1334" s="4"/>
    </row>
    <row r="1335" spans="1:11" x14ac:dyDescent="0.2">
      <c r="A1335">
        <f>COUNTIF($I$2:I1335,'[1]Detalle Pilotos'!$G$3)</f>
        <v>4</v>
      </c>
      <c r="B1335">
        <f t="shared" si="28"/>
        <v>1334</v>
      </c>
      <c r="C1335" s="9">
        <v>45631</v>
      </c>
      <c r="D1335" s="4" t="s">
        <v>666</v>
      </c>
      <c r="E1335" s="8"/>
      <c r="F1335" s="3">
        <v>516000</v>
      </c>
      <c r="G1335" s="7">
        <f>IF(Tabla1[[#This Row],[Fecha]]="","",G1334+Tabla1[[#This Row],[ingreso]]-Tabla1[[#This Row],[egreso]])</f>
        <v>10135120.144299999</v>
      </c>
      <c r="H1335" s="7"/>
      <c r="I1335" s="7" t="s">
        <v>667</v>
      </c>
      <c r="J1335" s="4"/>
    </row>
    <row r="1336" spans="1:11" x14ac:dyDescent="0.2">
      <c r="A1336">
        <f>COUNTIF($I$2:I1336,'[1]Detalle Pilotos'!$G$3)</f>
        <v>4</v>
      </c>
      <c r="B1336">
        <f t="shared" si="28"/>
        <v>1335</v>
      </c>
      <c r="C1336" s="9">
        <v>45633</v>
      </c>
      <c r="D1336" s="4" t="s">
        <v>395</v>
      </c>
      <c r="E1336" s="8"/>
      <c r="F1336" s="3">
        <v>15000</v>
      </c>
      <c r="G1336" s="7">
        <f>IF(Tabla1[[#This Row],[Fecha]]="","",G1335+Tabla1[[#This Row],[ingreso]]-Tabla1[[#This Row],[egreso]])</f>
        <v>10150120.144299999</v>
      </c>
      <c r="H1336" s="7"/>
      <c r="I1336" s="7"/>
      <c r="J1336" s="4"/>
    </row>
    <row r="1337" spans="1:11" x14ac:dyDescent="0.2">
      <c r="A1337">
        <f>COUNTIF($I$2:I1337,'[1]Detalle Pilotos'!$G$3)</f>
        <v>4</v>
      </c>
      <c r="B1337">
        <f t="shared" si="28"/>
        <v>1336</v>
      </c>
      <c r="C1337" s="52">
        <v>45638</v>
      </c>
      <c r="D1337" s="53" t="s">
        <v>668</v>
      </c>
      <c r="E1337" s="54">
        <v>5000000</v>
      </c>
      <c r="F1337" s="55"/>
      <c r="G1337" s="56">
        <f>IF(Tabla1[[#This Row],[Fecha]]="","",G1336+Tabla1[[#This Row],[ingreso]]-Tabla1[[#This Row],[egreso]])</f>
        <v>5150120.1442999989</v>
      </c>
      <c r="H1337" s="56"/>
      <c r="I1337" s="56"/>
      <c r="J1337" s="53"/>
      <c r="K1337" t="s">
        <v>669</v>
      </c>
    </row>
    <row r="1338" spans="1:11" x14ac:dyDescent="0.2">
      <c r="A1338">
        <f>COUNTIF($I$2:I1338,'[1]Detalle Pilotos'!$G$3)</f>
        <v>4</v>
      </c>
      <c r="B1338">
        <f t="shared" si="28"/>
        <v>1337</v>
      </c>
      <c r="C1338" s="9">
        <v>45640</v>
      </c>
      <c r="D1338" s="4" t="s">
        <v>53</v>
      </c>
      <c r="E1338" s="8"/>
      <c r="F1338" s="3">
        <v>84180</v>
      </c>
      <c r="G1338" s="7">
        <f>IF(Tabla1[[#This Row],[Fecha]]="","",G1337+Tabla1[[#This Row],[ingreso]]-Tabla1[[#This Row],[egreso]])</f>
        <v>5234300.1442999989</v>
      </c>
      <c r="H1338" s="7"/>
      <c r="I1338" s="7" t="s">
        <v>54</v>
      </c>
      <c r="J1338" s="4"/>
    </row>
    <row r="1339" spans="1:11" x14ac:dyDescent="0.2">
      <c r="A1339">
        <f>COUNTIF($I$2:I1339,'[1]Detalle Pilotos'!$G$3)</f>
        <v>4</v>
      </c>
      <c r="B1339">
        <f t="shared" si="28"/>
        <v>1338</v>
      </c>
      <c r="C1339" s="9">
        <v>45641</v>
      </c>
      <c r="D1339" s="4" t="s">
        <v>670</v>
      </c>
      <c r="E1339" s="8"/>
      <c r="F1339" s="3">
        <v>198000</v>
      </c>
      <c r="G1339" s="7">
        <f>IF(Tabla1[[#This Row],[Fecha]]="","",G1338+Tabla1[[#This Row],[ingreso]]-Tabla1[[#This Row],[egreso]])</f>
        <v>5432300.1442999989</v>
      </c>
      <c r="H1339" s="7"/>
      <c r="I1339" s="7" t="s">
        <v>671</v>
      </c>
      <c r="J1339" s="4"/>
    </row>
    <row r="1340" spans="1:11" x14ac:dyDescent="0.2">
      <c r="A1340">
        <f>COUNTIF($I$2:I1340,'[1]Detalle Pilotos'!$G$3)</f>
        <v>4</v>
      </c>
      <c r="B1340">
        <f t="shared" si="28"/>
        <v>1339</v>
      </c>
      <c r="C1340" s="9">
        <v>45641</v>
      </c>
      <c r="D1340" s="4" t="s">
        <v>672</v>
      </c>
      <c r="E1340" s="8">
        <v>227885</v>
      </c>
      <c r="F1340" s="3"/>
      <c r="G1340" s="7">
        <f>IF(Tabla1[[#This Row],[Fecha]]="","",G1339+Tabla1[[#This Row],[ingreso]]-Tabla1[[#This Row],[egreso]])</f>
        <v>5204415.1442999989</v>
      </c>
      <c r="H1340" s="7"/>
      <c r="I1340" s="7"/>
      <c r="J1340" s="4"/>
    </row>
    <row r="1341" spans="1:11" x14ac:dyDescent="0.2">
      <c r="A1341">
        <f>COUNTIF($I$2:I1341,'[1]Detalle Pilotos'!$G$3)</f>
        <v>4</v>
      </c>
      <c r="B1341">
        <f t="shared" si="28"/>
        <v>1340</v>
      </c>
      <c r="C1341" s="9">
        <v>45644</v>
      </c>
      <c r="D1341" s="4" t="s">
        <v>673</v>
      </c>
      <c r="E1341" s="8">
        <v>75000</v>
      </c>
      <c r="F1341" s="3"/>
      <c r="G1341" s="7">
        <f>IF(Tabla1[[#This Row],[Fecha]]="","",G1340+Tabla1[[#This Row],[ingreso]]-Tabla1[[#This Row],[egreso]])</f>
        <v>5129415.1442999989</v>
      </c>
      <c r="H1341" s="7"/>
      <c r="I1341" s="7"/>
      <c r="J1341" s="4"/>
    </row>
    <row r="1342" spans="1:11" x14ac:dyDescent="0.2">
      <c r="A1342">
        <f>COUNTIF($I$2:I1342,'[1]Detalle Pilotos'!$G$3)</f>
        <v>4</v>
      </c>
      <c r="B1342">
        <f t="shared" si="28"/>
        <v>1341</v>
      </c>
      <c r="C1342" s="9">
        <v>45645</v>
      </c>
      <c r="D1342" s="4" t="s">
        <v>674</v>
      </c>
      <c r="E1342" s="8">
        <v>409360</v>
      </c>
      <c r="F1342" s="3"/>
      <c r="G1342" s="7">
        <f>IF(Tabla1[[#This Row],[Fecha]]="","",G1341+Tabla1[[#This Row],[ingreso]]-Tabla1[[#This Row],[egreso]])</f>
        <v>4720055.1442999989</v>
      </c>
      <c r="H1342" s="7"/>
      <c r="I1342" s="7"/>
      <c r="J1342" s="4"/>
    </row>
    <row r="1343" spans="1:11" x14ac:dyDescent="0.2">
      <c r="A1343">
        <f>COUNTIF($I$2:I1343,'[1]Detalle Pilotos'!$G$3)</f>
        <v>4</v>
      </c>
      <c r="B1343">
        <f t="shared" si="28"/>
        <v>1342</v>
      </c>
      <c r="C1343" s="9">
        <v>45645</v>
      </c>
      <c r="D1343" s="4" t="s">
        <v>564</v>
      </c>
      <c r="E1343" s="8"/>
      <c r="F1343" s="3">
        <v>1682088</v>
      </c>
      <c r="G1343" s="7">
        <f>IF(Tabla1[[#This Row],[Fecha]]="","",G1342+Tabla1[[#This Row],[ingreso]]-Tabla1[[#This Row],[egreso]])</f>
        <v>6402143.1442999989</v>
      </c>
      <c r="H1343" s="7"/>
      <c r="I1343" s="7" t="s">
        <v>565</v>
      </c>
      <c r="J1343" s="4"/>
    </row>
    <row r="1344" spans="1:11" x14ac:dyDescent="0.2">
      <c r="A1344">
        <f>COUNTIF($I$2:I1344,'[1]Detalle Pilotos'!$G$3)</f>
        <v>4</v>
      </c>
      <c r="B1344">
        <f t="shared" si="28"/>
        <v>1343</v>
      </c>
      <c r="C1344" s="9">
        <v>45646</v>
      </c>
      <c r="D1344" s="4" t="s">
        <v>675</v>
      </c>
      <c r="E1344" s="8">
        <v>20825</v>
      </c>
      <c r="F1344" s="3"/>
      <c r="G1344" s="7">
        <f>IF(Tabla1[[#This Row],[Fecha]]="","",G1343+Tabla1[[#This Row],[ingreso]]-Tabla1[[#This Row],[egreso]])</f>
        <v>6381318.1442999989</v>
      </c>
      <c r="H1344" s="7"/>
      <c r="I1344" s="7"/>
      <c r="J1344" s="4"/>
    </row>
    <row r="1345" spans="1:11" x14ac:dyDescent="0.2">
      <c r="A1345">
        <f>COUNTIF($I$2:I1345,'[1]Detalle Pilotos'!$G$3)</f>
        <v>4</v>
      </c>
      <c r="B1345">
        <f t="shared" si="28"/>
        <v>1344</v>
      </c>
      <c r="C1345" s="9">
        <v>45647</v>
      </c>
      <c r="D1345" s="4" t="s">
        <v>625</v>
      </c>
      <c r="E1345" s="8">
        <v>25000</v>
      </c>
      <c r="F1345" s="3"/>
      <c r="G1345" s="7">
        <f>IF(Tabla1[[#This Row],[Fecha]]="","",G1344+Tabla1[[#This Row],[ingreso]]-Tabla1[[#This Row],[egreso]])</f>
        <v>6356318.1442999989</v>
      </c>
      <c r="H1345" s="7"/>
      <c r="I1345" s="7"/>
      <c r="J1345" s="4"/>
    </row>
    <row r="1346" spans="1:11" x14ac:dyDescent="0.2">
      <c r="A1346">
        <f>COUNTIF($I$2:I1346,'[1]Detalle Pilotos'!$G$3)</f>
        <v>4</v>
      </c>
      <c r="B1346">
        <f t="shared" si="28"/>
        <v>1345</v>
      </c>
      <c r="C1346" s="52">
        <v>45648</v>
      </c>
      <c r="D1346" s="53" t="s">
        <v>676</v>
      </c>
      <c r="E1346" s="54">
        <v>688622</v>
      </c>
      <c r="F1346" s="55"/>
      <c r="G1346" s="56">
        <f>IF(Tabla1[[#This Row],[Fecha]]="","",G1345+Tabla1[[#This Row],[ingreso]]-Tabla1[[#This Row],[egreso]])</f>
        <v>5667696.1442999989</v>
      </c>
      <c r="H1346" s="56"/>
      <c r="I1346" s="56"/>
      <c r="J1346" s="53"/>
      <c r="K1346" t="s">
        <v>669</v>
      </c>
    </row>
    <row r="1347" spans="1:11" x14ac:dyDescent="0.2">
      <c r="A1347">
        <f>COUNTIF($I$2:I1347,'[1]Detalle Pilotos'!$G$3)</f>
        <v>4</v>
      </c>
      <c r="B1347">
        <f t="shared" si="28"/>
        <v>1346</v>
      </c>
      <c r="C1347" s="9">
        <v>45651</v>
      </c>
      <c r="D1347" s="4" t="s">
        <v>677</v>
      </c>
      <c r="E1347" s="8">
        <v>125700</v>
      </c>
      <c r="F1347" s="3"/>
      <c r="G1347" s="7">
        <f>IF(Tabla1[[#This Row],[Fecha]]="","",G1346+Tabla1[[#This Row],[ingreso]]-Tabla1[[#This Row],[egreso]])</f>
        <v>5541996.1442999989</v>
      </c>
      <c r="H1347" s="7"/>
      <c r="I1347" s="7"/>
      <c r="J1347" s="4"/>
    </row>
    <row r="1348" spans="1:11" x14ac:dyDescent="0.2">
      <c r="A1348">
        <f>COUNTIF($I$2:I1348,'[1]Detalle Pilotos'!$G$3)</f>
        <v>4</v>
      </c>
      <c r="B1348">
        <f t="shared" ref="B1348:B1411" si="29">IF(C1348="","",1+B1347)</f>
        <v>1347</v>
      </c>
      <c r="C1348" s="52">
        <v>45653</v>
      </c>
      <c r="D1348" s="53" t="s">
        <v>678</v>
      </c>
      <c r="E1348" s="54">
        <v>1464965</v>
      </c>
      <c r="F1348" s="55"/>
      <c r="G1348" s="56">
        <f>IF(Tabla1[[#This Row],[Fecha]]="","",G1347+Tabla1[[#This Row],[ingreso]]-Tabla1[[#This Row],[egreso]])</f>
        <v>4077031.1442999989</v>
      </c>
      <c r="H1348" s="56"/>
      <c r="I1348" s="56"/>
      <c r="J1348" s="57">
        <f>Tabla1[[#This Row],[egreso]]+E1346+E1337</f>
        <v>7153587</v>
      </c>
      <c r="K1348" t="s">
        <v>669</v>
      </c>
    </row>
    <row r="1349" spans="1:11" x14ac:dyDescent="0.2">
      <c r="A1349">
        <f>COUNTIF($I$2:I1349,'[1]Detalle Pilotos'!$G$3)</f>
        <v>4</v>
      </c>
      <c r="B1349">
        <f t="shared" si="29"/>
        <v>1348</v>
      </c>
      <c r="C1349" s="9">
        <v>45297</v>
      </c>
      <c r="D1349" s="4" t="s">
        <v>506</v>
      </c>
      <c r="E1349" s="8"/>
      <c r="F1349" s="3">
        <v>102000</v>
      </c>
      <c r="G1349" s="7">
        <f>IF(Tabla1[[#This Row],[Fecha]]="","",G1348+Tabla1[[#This Row],[ingreso]]-Tabla1[[#This Row],[egreso]])</f>
        <v>4179031.1442999989</v>
      </c>
      <c r="H1349" s="7"/>
      <c r="I1349" s="7" t="s">
        <v>507</v>
      </c>
      <c r="J1349" s="4"/>
    </row>
    <row r="1350" spans="1:11" x14ac:dyDescent="0.2">
      <c r="A1350">
        <f>COUNTIF($I$2:I1350,'[1]Detalle Pilotos'!$G$3)</f>
        <v>4</v>
      </c>
      <c r="B1350">
        <f t="shared" si="29"/>
        <v>1349</v>
      </c>
      <c r="C1350" s="9">
        <v>45297</v>
      </c>
      <c r="D1350" s="4" t="s">
        <v>679</v>
      </c>
      <c r="E1350" s="8">
        <v>733518</v>
      </c>
      <c r="F1350" s="3"/>
      <c r="G1350" s="7">
        <f>IF(Tabla1[[#This Row],[Fecha]]="","",G1349+Tabla1[[#This Row],[ingreso]]-Tabla1[[#This Row],[egreso]])</f>
        <v>3445513.1442999989</v>
      </c>
      <c r="H1350" s="7"/>
      <c r="I1350" s="7"/>
      <c r="J1350" s="4"/>
    </row>
    <row r="1351" spans="1:11" x14ac:dyDescent="0.2">
      <c r="A1351">
        <f>COUNTIF($I$2:I1351,'[1]Detalle Pilotos'!$G$3)</f>
        <v>4</v>
      </c>
      <c r="B1351">
        <f t="shared" si="29"/>
        <v>1350</v>
      </c>
      <c r="C1351" s="9">
        <v>45300</v>
      </c>
      <c r="D1351" s="4" t="s">
        <v>53</v>
      </c>
      <c r="E1351" s="8"/>
      <c r="F1351" s="3">
        <v>229500</v>
      </c>
      <c r="G1351" s="7">
        <f>IF(Tabla1[[#This Row],[Fecha]]="","",G1350+Tabla1[[#This Row],[ingreso]]-Tabla1[[#This Row],[egreso]])</f>
        <v>3675013.1442999989</v>
      </c>
      <c r="H1351" s="7"/>
      <c r="I1351" s="7" t="s">
        <v>54</v>
      </c>
      <c r="J1351" s="4"/>
    </row>
    <row r="1352" spans="1:11" x14ac:dyDescent="0.2">
      <c r="A1352">
        <f>COUNTIF($I$2:I1352,'[1]Detalle Pilotos'!$G$3)</f>
        <v>4</v>
      </c>
      <c r="B1352">
        <f t="shared" si="29"/>
        <v>1351</v>
      </c>
      <c r="C1352" s="9">
        <v>45300</v>
      </c>
      <c r="D1352" s="4" t="s">
        <v>661</v>
      </c>
      <c r="E1352" s="8"/>
      <c r="F1352" s="3">
        <v>225000</v>
      </c>
      <c r="G1352" s="7">
        <f>IF(Tabla1[[#This Row],[Fecha]]="","",G1351+Tabla1[[#This Row],[ingreso]]-Tabla1[[#This Row],[egreso]])</f>
        <v>3900013.1442999989</v>
      </c>
      <c r="H1352" s="7"/>
      <c r="I1352" s="7" t="s">
        <v>228</v>
      </c>
      <c r="J1352" s="4"/>
    </row>
    <row r="1353" spans="1:11" x14ac:dyDescent="0.2">
      <c r="A1353">
        <f>COUNTIF($I$2:I1353,'[1]Detalle Pilotos'!$G$3)</f>
        <v>4</v>
      </c>
      <c r="B1353">
        <f t="shared" si="29"/>
        <v>1352</v>
      </c>
      <c r="C1353" s="9">
        <v>45310</v>
      </c>
      <c r="D1353" s="4" t="s">
        <v>266</v>
      </c>
      <c r="E1353" s="8">
        <v>151470</v>
      </c>
      <c r="F1353" s="3"/>
      <c r="G1353" s="7">
        <f>IF(Tabla1[[#This Row],[Fecha]]="","",G1352+Tabla1[[#This Row],[ingreso]]-Tabla1[[#This Row],[egreso]])</f>
        <v>3748543.1442999989</v>
      </c>
      <c r="H1353" s="7"/>
      <c r="I1353" s="7"/>
      <c r="J1353" s="4"/>
    </row>
    <row r="1354" spans="1:11" x14ac:dyDescent="0.2">
      <c r="A1354">
        <f>COUNTIF($I$2:I1354,'[1]Detalle Pilotos'!$G$3)</f>
        <v>4</v>
      </c>
      <c r="B1354">
        <f t="shared" si="29"/>
        <v>1353</v>
      </c>
      <c r="C1354" s="9">
        <v>45302</v>
      </c>
      <c r="D1354" s="4" t="s">
        <v>680</v>
      </c>
      <c r="E1354" s="8"/>
      <c r="F1354" s="3">
        <v>250000</v>
      </c>
      <c r="G1354" s="7">
        <f>IF(Tabla1[[#This Row],[Fecha]]="","",G1353+Tabla1[[#This Row],[ingreso]]-Tabla1[[#This Row],[egreso]])</f>
        <v>3998543.1442999989</v>
      </c>
      <c r="H1354" s="7"/>
      <c r="I1354" s="7" t="s">
        <v>681</v>
      </c>
      <c r="J1354" s="4"/>
    </row>
    <row r="1355" spans="1:11" x14ac:dyDescent="0.2">
      <c r="A1355">
        <f>COUNTIF($I$2:I1355,'[1]Detalle Pilotos'!$G$3)</f>
        <v>4</v>
      </c>
      <c r="B1355">
        <f t="shared" si="29"/>
        <v>1354</v>
      </c>
      <c r="C1355" s="9">
        <v>45302</v>
      </c>
      <c r="D1355" s="4" t="s">
        <v>680</v>
      </c>
      <c r="E1355" s="8"/>
      <c r="F1355" s="3">
        <v>12500</v>
      </c>
      <c r="G1355" s="7">
        <f>IF(Tabla1[[#This Row],[Fecha]]="","",G1354+Tabla1[[#This Row],[ingreso]]-Tabla1[[#This Row],[egreso]])</f>
        <v>4011043.1442999989</v>
      </c>
      <c r="H1355" s="7"/>
      <c r="I1355" s="7" t="s">
        <v>681</v>
      </c>
      <c r="J1355" s="4"/>
    </row>
    <row r="1356" spans="1:11" x14ac:dyDescent="0.2">
      <c r="A1356">
        <f>COUNTIF($I$2:I1356,'[1]Detalle Pilotos'!$G$3)</f>
        <v>4</v>
      </c>
      <c r="B1356">
        <f t="shared" si="29"/>
        <v>1355</v>
      </c>
      <c r="C1356" s="9">
        <v>45302</v>
      </c>
      <c r="D1356" s="4" t="s">
        <v>682</v>
      </c>
      <c r="E1356" s="8">
        <v>86219</v>
      </c>
      <c r="F1356" s="3"/>
      <c r="G1356" s="7">
        <f>IF(Tabla1[[#This Row],[Fecha]]="","",G1355+Tabla1[[#This Row],[ingreso]]-Tabla1[[#This Row],[egreso]])</f>
        <v>3924824.1442999989</v>
      </c>
      <c r="H1356" s="7"/>
      <c r="I1356" s="7"/>
      <c r="J1356" s="4"/>
    </row>
    <row r="1357" spans="1:11" x14ac:dyDescent="0.2">
      <c r="A1357">
        <f>COUNTIF($I$2:I1357,'[1]Detalle Pilotos'!$G$3)</f>
        <v>4</v>
      </c>
      <c r="B1357">
        <f t="shared" si="29"/>
        <v>1356</v>
      </c>
      <c r="C1357" s="9">
        <v>45302</v>
      </c>
      <c r="D1357" s="4" t="s">
        <v>683</v>
      </c>
      <c r="E1357" s="8"/>
      <c r="F1357" s="3">
        <v>186858</v>
      </c>
      <c r="G1357" s="7">
        <f>IF(Tabla1[[#This Row],[Fecha]]="","",G1356+Tabla1[[#This Row],[ingreso]]-Tabla1[[#This Row],[egreso]])</f>
        <v>4111682.1442999989</v>
      </c>
      <c r="H1357" s="7"/>
      <c r="I1357" s="7" t="s">
        <v>684</v>
      </c>
      <c r="J1357" s="4"/>
    </row>
    <row r="1358" spans="1:11" x14ac:dyDescent="0.2">
      <c r="A1358">
        <f>COUNTIF($I$2:I1358,'[1]Detalle Pilotos'!$G$3)</f>
        <v>4</v>
      </c>
      <c r="B1358">
        <f t="shared" si="29"/>
        <v>1357</v>
      </c>
      <c r="C1358" s="9">
        <v>45303</v>
      </c>
      <c r="D1358" s="4" t="s">
        <v>680</v>
      </c>
      <c r="E1358" s="8"/>
      <c r="F1358" s="3">
        <v>150000</v>
      </c>
      <c r="G1358" s="7">
        <f>IF(Tabla1[[#This Row],[Fecha]]="","",G1357+Tabla1[[#This Row],[ingreso]]-Tabla1[[#This Row],[egreso]])</f>
        <v>4261682.1442999989</v>
      </c>
      <c r="H1358" s="7"/>
      <c r="I1358" s="7" t="s">
        <v>565</v>
      </c>
      <c r="J1358" s="4"/>
    </row>
    <row r="1359" spans="1:11" x14ac:dyDescent="0.2">
      <c r="A1359">
        <f>COUNTIF($I$2:I1359,'[1]Detalle Pilotos'!$G$3)</f>
        <v>4</v>
      </c>
      <c r="B1359">
        <f t="shared" si="29"/>
        <v>1358</v>
      </c>
      <c r="C1359" s="9">
        <v>45303</v>
      </c>
      <c r="D1359" s="4" t="s">
        <v>661</v>
      </c>
      <c r="E1359" s="8"/>
      <c r="F1359" s="3">
        <v>291180</v>
      </c>
      <c r="G1359" s="7">
        <f>IF(Tabla1[[#This Row],[Fecha]]="","",G1358+Tabla1[[#This Row],[ingreso]]-Tabla1[[#This Row],[egreso]])</f>
        <v>4552862.1442999989</v>
      </c>
      <c r="H1359" s="7"/>
      <c r="I1359" s="7" t="s">
        <v>228</v>
      </c>
      <c r="J1359" s="4"/>
    </row>
    <row r="1360" spans="1:11" x14ac:dyDescent="0.2">
      <c r="A1360">
        <f>COUNTIF($I$2:I1360,'[1]Detalle Pilotos'!$G$3)</f>
        <v>4</v>
      </c>
      <c r="B1360">
        <f t="shared" si="29"/>
        <v>1359</v>
      </c>
      <c r="C1360" s="9">
        <v>45307</v>
      </c>
      <c r="D1360" s="4" t="s">
        <v>266</v>
      </c>
      <c r="E1360" s="8">
        <v>102510</v>
      </c>
      <c r="F1360" s="3"/>
      <c r="G1360" s="7">
        <f>IF(Tabla1[[#This Row],[Fecha]]="","",G1359+Tabla1[[#This Row],[ingreso]]-Tabla1[[#This Row],[egreso]])</f>
        <v>4450352.1442999989</v>
      </c>
      <c r="H1360" s="7"/>
      <c r="I1360" s="7"/>
      <c r="J1360" s="4"/>
    </row>
    <row r="1361" spans="1:10" x14ac:dyDescent="0.2">
      <c r="A1361">
        <f>COUNTIF($I$2:I1361,'[1]Detalle Pilotos'!$G$3)</f>
        <v>4</v>
      </c>
      <c r="B1361">
        <f t="shared" si="29"/>
        <v>1360</v>
      </c>
      <c r="C1361" s="9">
        <v>45308</v>
      </c>
      <c r="D1361" s="4" t="s">
        <v>685</v>
      </c>
      <c r="E1361" s="8">
        <v>2466614</v>
      </c>
      <c r="F1361" s="3"/>
      <c r="G1361" s="7">
        <f>IF(Tabla1[[#This Row],[Fecha]]="","",G1360+Tabla1[[#This Row],[ingreso]]-Tabla1[[#This Row],[egreso]])</f>
        <v>1983738.1442999989</v>
      </c>
      <c r="H1361" s="7"/>
      <c r="I1361" s="7"/>
      <c r="J1361" s="4"/>
    </row>
    <row r="1362" spans="1:10" x14ac:dyDescent="0.2">
      <c r="A1362">
        <f>COUNTIF($I$2:I1362,'[1]Detalle Pilotos'!$G$3)</f>
        <v>4</v>
      </c>
      <c r="B1362">
        <f t="shared" si="29"/>
        <v>1361</v>
      </c>
      <c r="C1362" s="9">
        <v>45308</v>
      </c>
      <c r="D1362" s="4" t="s">
        <v>680</v>
      </c>
      <c r="E1362" s="8"/>
      <c r="F1362" s="3">
        <v>560000</v>
      </c>
      <c r="G1362" s="7">
        <f>IF(Tabla1[[#This Row],[Fecha]]="","",G1361+Tabla1[[#This Row],[ingreso]]-Tabla1[[#This Row],[egreso]])</f>
        <v>2543738.1442999989</v>
      </c>
      <c r="H1362" s="7"/>
      <c r="I1362" s="7" t="s">
        <v>681</v>
      </c>
      <c r="J1362" s="4"/>
    </row>
    <row r="1363" spans="1:10" x14ac:dyDescent="0.2">
      <c r="A1363">
        <f>COUNTIF($I$2:I1363,'[1]Detalle Pilotos'!$G$3)</f>
        <v>4</v>
      </c>
      <c r="B1363">
        <f t="shared" si="29"/>
        <v>1362</v>
      </c>
      <c r="C1363" s="9">
        <v>45308</v>
      </c>
      <c r="D1363" s="4" t="s">
        <v>204</v>
      </c>
      <c r="E1363" s="8"/>
      <c r="F1363" s="3">
        <v>133800</v>
      </c>
      <c r="G1363" s="7">
        <f>IF(Tabla1[[#This Row],[Fecha]]="","",G1362+Tabla1[[#This Row],[ingreso]]-Tabla1[[#This Row],[egreso]])</f>
        <v>2677538.1442999989</v>
      </c>
      <c r="H1363" s="7"/>
      <c r="I1363" s="7" t="s">
        <v>182</v>
      </c>
      <c r="J1363" s="4"/>
    </row>
    <row r="1364" spans="1:10" x14ac:dyDescent="0.2">
      <c r="A1364">
        <f>COUNTIF($I$2:I1364,'[1]Detalle Pilotos'!$G$3)</f>
        <v>4</v>
      </c>
      <c r="B1364">
        <f t="shared" si="29"/>
        <v>1363</v>
      </c>
      <c r="C1364" s="9">
        <v>45308</v>
      </c>
      <c r="D1364" s="4" t="s">
        <v>683</v>
      </c>
      <c r="E1364" s="8"/>
      <c r="F1364" s="3">
        <v>298916</v>
      </c>
      <c r="G1364" s="7">
        <f>IF(Tabla1[[#This Row],[Fecha]]="","",G1363+Tabla1[[#This Row],[ingreso]]-Tabla1[[#This Row],[egreso]])</f>
        <v>2976454.1442999989</v>
      </c>
      <c r="H1364" s="7"/>
      <c r="I1364" s="7" t="s">
        <v>684</v>
      </c>
      <c r="J1364" s="4"/>
    </row>
    <row r="1365" spans="1:10" x14ac:dyDescent="0.2">
      <c r="A1365">
        <f>COUNTIF($I$2:I1365,'[1]Detalle Pilotos'!$G$3)</f>
        <v>4</v>
      </c>
      <c r="B1365">
        <f t="shared" si="29"/>
        <v>1364</v>
      </c>
      <c r="C1365" s="9">
        <v>45313</v>
      </c>
      <c r="D1365" s="4" t="s">
        <v>266</v>
      </c>
      <c r="E1365" s="8">
        <v>30753</v>
      </c>
      <c r="F1365" s="3"/>
      <c r="G1365" s="7">
        <f>IF(Tabla1[[#This Row],[Fecha]]="","",G1364+Tabla1[[#This Row],[ingreso]]-Tabla1[[#This Row],[egreso]])</f>
        <v>2945701.1442999989</v>
      </c>
      <c r="H1365" s="7"/>
      <c r="I1365" s="7"/>
      <c r="J1365" s="4"/>
    </row>
    <row r="1366" spans="1:10" x14ac:dyDescent="0.2">
      <c r="A1366">
        <f>COUNTIF($I$2:I1366,'[1]Detalle Pilotos'!$G$3)</f>
        <v>4</v>
      </c>
      <c r="B1366">
        <f t="shared" si="29"/>
        <v>1365</v>
      </c>
      <c r="C1366" s="9">
        <v>45313</v>
      </c>
      <c r="D1366" s="4" t="s">
        <v>178</v>
      </c>
      <c r="E1366" s="8"/>
      <c r="F1366" s="3">
        <v>272000</v>
      </c>
      <c r="G1366" s="7">
        <f>IF(Tabla1[[#This Row],[Fecha]]="","",G1365+Tabla1[[#This Row],[ingreso]]-Tabla1[[#This Row],[egreso]])</f>
        <v>3217701.1442999989</v>
      </c>
      <c r="H1366" s="7"/>
      <c r="I1366" s="7" t="s">
        <v>179</v>
      </c>
      <c r="J1366" s="4"/>
    </row>
    <row r="1367" spans="1:10" x14ac:dyDescent="0.2">
      <c r="A1367">
        <f>COUNTIF($I$2:I1367,'[1]Detalle Pilotos'!$G$3)</f>
        <v>4</v>
      </c>
      <c r="B1367">
        <f t="shared" si="29"/>
        <v>1366</v>
      </c>
      <c r="C1367" s="9">
        <v>45315</v>
      </c>
      <c r="D1367" s="4" t="s">
        <v>266</v>
      </c>
      <c r="E1367" s="8">
        <v>139200</v>
      </c>
      <c r="F1367" s="3"/>
      <c r="G1367" s="7">
        <f>IF(Tabla1[[#This Row],[Fecha]]="","",G1366+Tabla1[[#This Row],[ingreso]]-Tabla1[[#This Row],[egreso]])</f>
        <v>3078501.1442999989</v>
      </c>
      <c r="H1367" s="7"/>
      <c r="I1367" s="7"/>
      <c r="J1367" s="4"/>
    </row>
    <row r="1368" spans="1:10" x14ac:dyDescent="0.2">
      <c r="A1368">
        <f>COUNTIF($I$2:I1368,'[1]Detalle Pilotos'!$G$3)</f>
        <v>4</v>
      </c>
      <c r="B1368">
        <f t="shared" si="29"/>
        <v>1367</v>
      </c>
      <c r="C1368" s="9">
        <v>45322</v>
      </c>
      <c r="D1368" s="4" t="s">
        <v>266</v>
      </c>
      <c r="E1368" s="8">
        <v>68292</v>
      </c>
      <c r="F1368" s="3"/>
      <c r="G1368" s="7">
        <f>IF(Tabla1[[#This Row],[Fecha]]="","",G1367+Tabla1[[#This Row],[ingreso]]-Tabla1[[#This Row],[egreso]])</f>
        <v>3010209.1442999989</v>
      </c>
      <c r="H1368" s="7"/>
      <c r="I1368" s="7"/>
      <c r="J1368" s="4"/>
    </row>
    <row r="1369" spans="1:10" x14ac:dyDescent="0.2">
      <c r="A1369">
        <f>COUNTIF($I$2:I1369,'[1]Detalle Pilotos'!$G$3)</f>
        <v>4</v>
      </c>
      <c r="B1369">
        <f t="shared" si="29"/>
        <v>1368</v>
      </c>
      <c r="C1369" s="9">
        <v>45322</v>
      </c>
      <c r="D1369" s="4" t="s">
        <v>686</v>
      </c>
      <c r="E1369" s="8"/>
      <c r="F1369" s="3">
        <v>459000</v>
      </c>
      <c r="G1369" s="7">
        <f>IF(Tabla1[[#This Row],[Fecha]]="","",G1368+Tabla1[[#This Row],[ingreso]]-Tabla1[[#This Row],[egreso]])</f>
        <v>3469209.1442999989</v>
      </c>
      <c r="H1369" s="7"/>
      <c r="I1369" s="7" t="s">
        <v>687</v>
      </c>
      <c r="J1369" s="4"/>
    </row>
    <row r="1370" spans="1:10" x14ac:dyDescent="0.2">
      <c r="A1370">
        <f>COUNTIF($I$2:I1370,'[1]Detalle Pilotos'!$G$3)</f>
        <v>4</v>
      </c>
      <c r="B1370">
        <f t="shared" si="29"/>
        <v>1369</v>
      </c>
      <c r="C1370" s="9">
        <v>45322</v>
      </c>
      <c r="D1370" s="4" t="s">
        <v>680</v>
      </c>
      <c r="E1370" s="8"/>
      <c r="F1370" s="3">
        <v>507500</v>
      </c>
      <c r="G1370" s="7">
        <f>IF(Tabla1[[#This Row],[Fecha]]="","",G1369+Tabla1[[#This Row],[ingreso]]-Tabla1[[#This Row],[egreso]])</f>
        <v>3976709.1442999989</v>
      </c>
      <c r="H1370" s="7"/>
      <c r="I1370" s="7" t="s">
        <v>681</v>
      </c>
      <c r="J1370" s="4"/>
    </row>
    <row r="1371" spans="1:10" x14ac:dyDescent="0.2">
      <c r="A1371">
        <f>COUNTIF($I$2:I1371,'[1]Detalle Pilotos'!$G$3)</f>
        <v>4</v>
      </c>
      <c r="B1371">
        <f t="shared" si="29"/>
        <v>1370</v>
      </c>
      <c r="C1371" s="9">
        <v>45322</v>
      </c>
      <c r="D1371" s="4" t="s">
        <v>688</v>
      </c>
      <c r="E1371" s="8">
        <v>416308</v>
      </c>
      <c r="F1371" s="3"/>
      <c r="G1371" s="7">
        <f>IF(Tabla1[[#This Row],[Fecha]]="","",G1370+Tabla1[[#This Row],[ingreso]]-Tabla1[[#This Row],[egreso]])</f>
        <v>3560401.1442999989</v>
      </c>
      <c r="H1371" s="7"/>
      <c r="I1371" s="7"/>
      <c r="J1371" s="4"/>
    </row>
    <row r="1372" spans="1:10" x14ac:dyDescent="0.2">
      <c r="A1372">
        <f>COUNTIF($I$2:I1372,'[1]Detalle Pilotos'!$G$3)</f>
        <v>4</v>
      </c>
      <c r="B1372">
        <f t="shared" si="29"/>
        <v>1371</v>
      </c>
      <c r="C1372" s="9">
        <v>45324</v>
      </c>
      <c r="D1372" s="4" t="s">
        <v>689</v>
      </c>
      <c r="E1372" s="8">
        <v>189940</v>
      </c>
      <c r="F1372" s="3"/>
      <c r="G1372" s="7">
        <f>IF(Tabla1[[#This Row],[Fecha]]="","",G1371+Tabla1[[#This Row],[ingreso]]-Tabla1[[#This Row],[egreso]])</f>
        <v>3370461.1442999989</v>
      </c>
      <c r="H1372" s="7"/>
      <c r="I1372" s="7"/>
      <c r="J1372" s="4"/>
    </row>
    <row r="1373" spans="1:10" x14ac:dyDescent="0.2">
      <c r="A1373">
        <f>COUNTIF($I$2:I1373,'[1]Detalle Pilotos'!$G$3)</f>
        <v>4</v>
      </c>
      <c r="B1373">
        <f t="shared" si="29"/>
        <v>1372</v>
      </c>
      <c r="C1373" s="9">
        <v>45324</v>
      </c>
      <c r="D1373" s="4" t="s">
        <v>266</v>
      </c>
      <c r="E1373" s="8">
        <v>110568</v>
      </c>
      <c r="F1373" s="3"/>
      <c r="G1373" s="7">
        <f>IF(Tabla1[[#This Row],[Fecha]]="","",G1372+Tabla1[[#This Row],[ingreso]]-Tabla1[[#This Row],[egreso]])</f>
        <v>3259893.1442999989</v>
      </c>
      <c r="H1373" s="7"/>
      <c r="I1373" s="7"/>
      <c r="J1373" s="4"/>
    </row>
    <row r="1374" spans="1:10" x14ac:dyDescent="0.2">
      <c r="A1374">
        <f>COUNTIF($I$2:I1374,'[1]Detalle Pilotos'!$G$3)</f>
        <v>4</v>
      </c>
      <c r="B1374">
        <f t="shared" si="29"/>
        <v>1373</v>
      </c>
      <c r="C1374" s="9">
        <v>45327</v>
      </c>
      <c r="D1374" s="4" t="s">
        <v>690</v>
      </c>
      <c r="E1374" s="8">
        <v>35000</v>
      </c>
      <c r="F1374" s="3"/>
      <c r="G1374" s="7">
        <f>IF(Tabla1[[#This Row],[Fecha]]="","",G1373+Tabla1[[#This Row],[ingreso]]-Tabla1[[#This Row],[egreso]])</f>
        <v>3224893.1442999989</v>
      </c>
      <c r="H1374" s="7"/>
      <c r="I1374" s="7"/>
      <c r="J1374" s="4"/>
    </row>
    <row r="1375" spans="1:10" x14ac:dyDescent="0.2">
      <c r="A1375">
        <f>COUNTIF($I$2:I1375,'[1]Detalle Pilotos'!$G$3)</f>
        <v>4</v>
      </c>
      <c r="B1375">
        <f t="shared" si="29"/>
        <v>1374</v>
      </c>
      <c r="C1375" s="9">
        <v>45327</v>
      </c>
      <c r="D1375" s="4" t="s">
        <v>266</v>
      </c>
      <c r="E1375" s="8">
        <v>48780</v>
      </c>
      <c r="F1375" s="3"/>
      <c r="G1375" s="7">
        <f>IF(Tabla1[[#This Row],[Fecha]]="","",G1374+Tabla1[[#This Row],[ingreso]]-Tabla1[[#This Row],[egreso]])</f>
        <v>3176113.1442999989</v>
      </c>
      <c r="H1375" s="7"/>
      <c r="I1375" s="7"/>
      <c r="J1375" s="4"/>
    </row>
    <row r="1376" spans="1:10" x14ac:dyDescent="0.2">
      <c r="A1376">
        <f>COUNTIF($I$2:I1376,'[1]Detalle Pilotos'!$G$3)</f>
        <v>4</v>
      </c>
      <c r="B1376">
        <f t="shared" si="29"/>
        <v>1375</v>
      </c>
      <c r="C1376" s="9">
        <v>45327</v>
      </c>
      <c r="D1376" s="4" t="s">
        <v>266</v>
      </c>
      <c r="E1376" s="8">
        <v>123576</v>
      </c>
      <c r="F1376" s="3"/>
      <c r="G1376" s="7">
        <f>IF(Tabla1[[#This Row],[Fecha]]="","",G1375+Tabla1[[#This Row],[ingreso]]-Tabla1[[#This Row],[egreso]])</f>
        <v>3052537.1442999989</v>
      </c>
      <c r="H1376" s="7"/>
      <c r="I1376" s="7"/>
      <c r="J1376" s="4"/>
    </row>
    <row r="1377" spans="1:21" x14ac:dyDescent="0.2">
      <c r="A1377">
        <f>COUNTIF($I$2:I1377,'[1]Detalle Pilotos'!$G$3)</f>
        <v>4</v>
      </c>
      <c r="B1377">
        <f t="shared" si="29"/>
        <v>1376</v>
      </c>
      <c r="C1377" s="9">
        <v>45330</v>
      </c>
      <c r="D1377" s="4" t="s">
        <v>683</v>
      </c>
      <c r="E1377" s="8"/>
      <c r="F1377" s="3">
        <v>317527</v>
      </c>
      <c r="G1377" s="7">
        <f>IF(Tabla1[[#This Row],[Fecha]]="","",G1376+Tabla1[[#This Row],[ingreso]]-Tabla1[[#This Row],[egreso]])</f>
        <v>3370064.1442999989</v>
      </c>
      <c r="H1377" s="7"/>
      <c r="I1377" s="7" t="s">
        <v>684</v>
      </c>
      <c r="J1377" s="4"/>
    </row>
    <row r="1378" spans="1:21" x14ac:dyDescent="0.2">
      <c r="A1378">
        <f>COUNTIF($I$2:I1378,'[1]Detalle Pilotos'!$G$3)</f>
        <v>4</v>
      </c>
      <c r="B1378">
        <f t="shared" si="29"/>
        <v>1377</v>
      </c>
      <c r="C1378" s="9">
        <v>45337</v>
      </c>
      <c r="D1378" s="4" t="s">
        <v>266</v>
      </c>
      <c r="E1378" s="8">
        <v>90577</v>
      </c>
      <c r="F1378" s="3"/>
      <c r="G1378" s="7">
        <f>IF(Tabla1[[#This Row],[Fecha]]="","",G1377+Tabla1[[#This Row],[ingreso]]-Tabla1[[#This Row],[egreso]])</f>
        <v>3279487.1442999989</v>
      </c>
      <c r="H1378" s="7"/>
      <c r="I1378" s="7"/>
      <c r="J1378" s="4"/>
    </row>
    <row r="1379" spans="1:21" x14ac:dyDescent="0.2">
      <c r="A1379">
        <f>COUNTIF($I$2:I1379,'[1]Detalle Pilotos'!$G$3)</f>
        <v>4</v>
      </c>
      <c r="B1379">
        <f t="shared" si="29"/>
        <v>1378</v>
      </c>
      <c r="C1379" s="9">
        <v>45338</v>
      </c>
      <c r="D1379" s="4" t="s">
        <v>217</v>
      </c>
      <c r="E1379" s="8"/>
      <c r="F1379" s="3">
        <v>75000</v>
      </c>
      <c r="G1379" s="7">
        <f>IF(Tabla1[[#This Row],[Fecha]]="","",G1378+Tabla1[[#This Row],[ingreso]]-Tabla1[[#This Row],[egreso]])</f>
        <v>3354487.1442999989</v>
      </c>
      <c r="H1379" s="7"/>
      <c r="I1379" s="7" t="s">
        <v>218</v>
      </c>
      <c r="J1379" s="4"/>
    </row>
    <row r="1380" spans="1:21" x14ac:dyDescent="0.2">
      <c r="A1380">
        <f>COUNTIF($I$2:I1380,'[1]Detalle Pilotos'!$G$3)</f>
        <v>4</v>
      </c>
      <c r="B1380">
        <f t="shared" si="29"/>
        <v>1379</v>
      </c>
      <c r="C1380" s="9">
        <v>45338</v>
      </c>
      <c r="D1380" s="4" t="s">
        <v>615</v>
      </c>
      <c r="E1380" s="8"/>
      <c r="F1380" s="3">
        <v>678440</v>
      </c>
      <c r="G1380" s="7">
        <f>IF(Tabla1[[#This Row],[Fecha]]="","",G1379+Tabla1[[#This Row],[ingreso]]-Tabla1[[#This Row],[egreso]])</f>
        <v>4032927.1442999989</v>
      </c>
      <c r="H1380" s="7"/>
      <c r="I1380" s="7" t="s">
        <v>616</v>
      </c>
      <c r="J1380" s="4"/>
    </row>
    <row r="1381" spans="1:21" x14ac:dyDescent="0.2">
      <c r="A1381">
        <f>COUNTIF($I$2:I1381,'[1]Detalle Pilotos'!$G$3)</f>
        <v>4</v>
      </c>
      <c r="B1381">
        <f t="shared" si="29"/>
        <v>1380</v>
      </c>
      <c r="C1381" s="9">
        <v>45338</v>
      </c>
      <c r="D1381" s="4" t="s">
        <v>166</v>
      </c>
      <c r="E1381" s="8"/>
      <c r="F1381" s="3">
        <v>255580</v>
      </c>
      <c r="G1381" s="7">
        <f>IF(Tabla1[[#This Row],[Fecha]]="","",G1380+Tabla1[[#This Row],[ingreso]]-Tabla1[[#This Row],[egreso]])</f>
        <v>4288507.1442999989</v>
      </c>
      <c r="H1381" s="7"/>
      <c r="I1381" s="7" t="s">
        <v>167</v>
      </c>
      <c r="J1381" s="4"/>
    </row>
    <row r="1382" spans="1:21" x14ac:dyDescent="0.2">
      <c r="A1382">
        <f>COUNTIF($I$2:I1382,'[1]Detalle Pilotos'!$G$3)</f>
        <v>4</v>
      </c>
      <c r="B1382">
        <f t="shared" si="29"/>
        <v>1381</v>
      </c>
      <c r="C1382" s="9">
        <v>45343</v>
      </c>
      <c r="D1382" s="4" t="s">
        <v>683</v>
      </c>
      <c r="E1382" s="8"/>
      <c r="F1382" s="3">
        <v>239371</v>
      </c>
      <c r="G1382" s="7">
        <f>IF(Tabla1[[#This Row],[Fecha]]="","",G1381+Tabla1[[#This Row],[ingreso]]-Tabla1[[#This Row],[egreso]])</f>
        <v>4527878.1442999989</v>
      </c>
      <c r="H1382" s="7"/>
      <c r="I1382" s="7" t="s">
        <v>684</v>
      </c>
      <c r="J1382" s="4"/>
    </row>
    <row r="1383" spans="1:21" x14ac:dyDescent="0.2">
      <c r="A1383">
        <f>COUNTIF($I$2:I1383,'[1]Detalle Pilotos'!$G$3)</f>
        <v>4</v>
      </c>
      <c r="B1383">
        <f t="shared" si="29"/>
        <v>1382</v>
      </c>
      <c r="C1383" s="9">
        <v>45348</v>
      </c>
      <c r="D1383" s="4" t="s">
        <v>53</v>
      </c>
      <c r="E1383" s="8"/>
      <c r="F1383" s="3">
        <v>197706</v>
      </c>
      <c r="G1383" s="7">
        <f>IF(Tabla1[[#This Row],[Fecha]]="","",G1382+Tabla1[[#This Row],[ingreso]]-Tabla1[[#This Row],[egreso]])</f>
        <v>4725584.1442999989</v>
      </c>
      <c r="H1383" s="7"/>
      <c r="I1383" s="7" t="s">
        <v>54</v>
      </c>
      <c r="J1383" s="4"/>
    </row>
    <row r="1384" spans="1:21" x14ac:dyDescent="0.2">
      <c r="A1384">
        <f>COUNTIF($I$2:I1384,'[1]Detalle Pilotos'!$G$3)</f>
        <v>4</v>
      </c>
      <c r="B1384">
        <f t="shared" si="29"/>
        <v>1383</v>
      </c>
      <c r="C1384" s="9">
        <v>45348</v>
      </c>
      <c r="D1384" s="4" t="s">
        <v>53</v>
      </c>
      <c r="E1384" s="8"/>
      <c r="F1384" s="3">
        <v>172416</v>
      </c>
      <c r="G1384" s="7">
        <f>IF(Tabla1[[#This Row],[Fecha]]="","",G1383+Tabla1[[#This Row],[ingreso]]-Tabla1[[#This Row],[egreso]])</f>
        <v>4898000.1442999989</v>
      </c>
      <c r="H1384" s="7"/>
      <c r="I1384" s="7" t="s">
        <v>54</v>
      </c>
      <c r="J1384" s="4"/>
    </row>
    <row r="1385" spans="1:21" x14ac:dyDescent="0.2">
      <c r="A1385">
        <f>COUNTIF($I$2:I1385,'[1]Detalle Pilotos'!$G$3)</f>
        <v>4</v>
      </c>
      <c r="B1385">
        <f t="shared" si="29"/>
        <v>1384</v>
      </c>
      <c r="C1385" s="9">
        <v>45352</v>
      </c>
      <c r="D1385" s="4" t="s">
        <v>691</v>
      </c>
      <c r="E1385" s="8">
        <v>158937</v>
      </c>
      <c r="F1385" s="3"/>
      <c r="G1385" s="7">
        <f>IF(Tabla1[[#This Row],[Fecha]]="","",G1384+Tabla1[[#This Row],[ingreso]]-Tabla1[[#This Row],[egreso]])</f>
        <v>4739063.1442999989</v>
      </c>
      <c r="H1385" s="7"/>
      <c r="I1385" s="7"/>
      <c r="J1385" s="4"/>
    </row>
    <row r="1386" spans="1:21" x14ac:dyDescent="0.2">
      <c r="A1386">
        <f>COUNTIF($I$2:I1386,'[1]Detalle Pilotos'!$G$3)</f>
        <v>4</v>
      </c>
      <c r="B1386">
        <f t="shared" si="29"/>
        <v>1385</v>
      </c>
      <c r="C1386" s="9">
        <v>45355</v>
      </c>
      <c r="D1386" s="4" t="s">
        <v>692</v>
      </c>
      <c r="E1386" s="8">
        <v>2849</v>
      </c>
      <c r="F1386" s="3"/>
      <c r="G1386" s="7">
        <f>IF(Tabla1[[#This Row],[Fecha]]="","",G1385+Tabla1[[#This Row],[ingreso]]-Tabla1[[#This Row],[egreso]])</f>
        <v>4736214.1442999989</v>
      </c>
      <c r="H1386" s="7"/>
      <c r="I1386" s="7"/>
      <c r="J1386" s="4"/>
    </row>
    <row r="1387" spans="1:21" s="58" customFormat="1" x14ac:dyDescent="0.2">
      <c r="A1387" s="58">
        <f>COUNTIF($I$2:I1387,'[1]Detalle Pilotos'!$G$3)</f>
        <v>4</v>
      </c>
      <c r="B1387" s="58">
        <f t="shared" si="29"/>
        <v>1386</v>
      </c>
      <c r="C1387" s="59">
        <v>45355</v>
      </c>
      <c r="D1387" s="60" t="s">
        <v>693</v>
      </c>
      <c r="E1387" s="61"/>
      <c r="F1387" s="62">
        <v>7153587</v>
      </c>
      <c r="G1387" s="63">
        <f>IF(Tabla1[[#This Row],[Fecha]]="","",G1386+Tabla1[[#This Row],[ingreso]]-Tabla1[[#This Row],[egreso]])</f>
        <v>11889801.144299999</v>
      </c>
      <c r="H1387" s="63"/>
      <c r="I1387" s="63"/>
      <c r="J1387" s="60"/>
      <c r="M1387" s="64"/>
      <c r="N1387" s="65"/>
      <c r="O1387" s="66"/>
      <c r="P1387" s="67"/>
      <c r="U1387" s="68"/>
    </row>
    <row r="1388" spans="1:21" x14ac:dyDescent="0.2">
      <c r="A1388">
        <f>COUNTIF($I$2:I1388,'[1]Detalle Pilotos'!$G$3)</f>
        <v>4</v>
      </c>
      <c r="B1388">
        <f t="shared" si="29"/>
        <v>1387</v>
      </c>
      <c r="C1388" s="9">
        <v>45355</v>
      </c>
      <c r="D1388" s="4" t="s">
        <v>680</v>
      </c>
      <c r="E1388" s="8"/>
      <c r="F1388" s="3">
        <v>402500</v>
      </c>
      <c r="G1388" s="7">
        <f>IF(Tabla1[[#This Row],[Fecha]]="","",G1387+Tabla1[[#This Row],[ingreso]]-Tabla1[[#This Row],[egreso]])</f>
        <v>12292301.144299999</v>
      </c>
      <c r="H1388" s="7"/>
      <c r="I1388" s="7" t="s">
        <v>681</v>
      </c>
      <c r="J1388" s="4"/>
    </row>
    <row r="1389" spans="1:21" x14ac:dyDescent="0.2">
      <c r="A1389">
        <f>COUNTIF($I$2:I1389,'[1]Detalle Pilotos'!$G$3)</f>
        <v>4</v>
      </c>
      <c r="B1389">
        <f t="shared" si="29"/>
        <v>1388</v>
      </c>
      <c r="C1389" s="9">
        <v>45355</v>
      </c>
      <c r="D1389" s="4" t="s">
        <v>661</v>
      </c>
      <c r="E1389" s="8"/>
      <c r="F1389" s="3">
        <v>195000</v>
      </c>
      <c r="G1389" s="7">
        <f>IF(Tabla1[[#This Row],[Fecha]]="","",G1388+Tabla1[[#This Row],[ingreso]]-Tabla1[[#This Row],[egreso]])</f>
        <v>12487301.144299999</v>
      </c>
      <c r="H1389" s="7"/>
      <c r="I1389" s="7" t="s">
        <v>228</v>
      </c>
      <c r="J1389" s="4"/>
    </row>
    <row r="1390" spans="1:21" x14ac:dyDescent="0.2">
      <c r="A1390">
        <f>COUNTIF($I$2:I1390,'[1]Detalle Pilotos'!$G$3)</f>
        <v>4</v>
      </c>
      <c r="B1390">
        <f t="shared" si="29"/>
        <v>1389</v>
      </c>
      <c r="C1390" s="9">
        <v>45355</v>
      </c>
      <c r="D1390" s="4" t="s">
        <v>53</v>
      </c>
      <c r="E1390" s="8"/>
      <c r="F1390" s="3">
        <v>124276</v>
      </c>
      <c r="G1390" s="7">
        <f>IF(Tabla1[[#This Row],[Fecha]]="","",G1389+Tabla1[[#This Row],[ingreso]]-Tabla1[[#This Row],[egreso]])</f>
        <v>12611577.144299999</v>
      </c>
      <c r="H1390" s="7"/>
      <c r="I1390" s="7" t="s">
        <v>54</v>
      </c>
      <c r="J1390" s="4"/>
    </row>
    <row r="1391" spans="1:21" x14ac:dyDescent="0.2">
      <c r="A1391">
        <f>COUNTIF($I$2:I1391,'[1]Detalle Pilotos'!$G$3)</f>
        <v>4</v>
      </c>
      <c r="B1391">
        <f t="shared" si="29"/>
        <v>1390</v>
      </c>
      <c r="C1391" s="9">
        <v>45364</v>
      </c>
      <c r="D1391" s="4" t="s">
        <v>694</v>
      </c>
      <c r="E1391" s="8">
        <v>142872</v>
      </c>
      <c r="F1391" s="3"/>
      <c r="G1391" s="7">
        <f>IF(Tabla1[[#This Row],[Fecha]]="","",G1390+Tabla1[[#This Row],[ingreso]]-Tabla1[[#This Row],[egreso]])</f>
        <v>12468705.144299999</v>
      </c>
      <c r="H1391" s="7"/>
      <c r="I1391" s="7"/>
      <c r="J1391" s="4"/>
    </row>
    <row r="1392" spans="1:21" x14ac:dyDescent="0.2">
      <c r="A1392">
        <f>COUNTIF($I$2:I1392,'[1]Detalle Pilotos'!$G$3)</f>
        <v>4</v>
      </c>
      <c r="B1392">
        <f t="shared" si="29"/>
        <v>1391</v>
      </c>
      <c r="C1392" s="9">
        <v>45365</v>
      </c>
      <c r="D1392" s="4" t="s">
        <v>695</v>
      </c>
      <c r="E1392" s="8">
        <v>79230</v>
      </c>
      <c r="F1392" s="3"/>
      <c r="G1392" s="7">
        <f>IF(Tabla1[[#This Row],[Fecha]]="","",G1391+Tabla1[[#This Row],[ingreso]]-Tabla1[[#This Row],[egreso]])</f>
        <v>12389475.144299999</v>
      </c>
      <c r="H1392" s="7"/>
      <c r="I1392" s="7"/>
      <c r="J1392" s="4"/>
    </row>
    <row r="1393" spans="1:10" x14ac:dyDescent="0.2">
      <c r="A1393">
        <f>COUNTIF($I$2:I1393,'[1]Detalle Pilotos'!$G$3)</f>
        <v>4</v>
      </c>
      <c r="B1393">
        <f t="shared" si="29"/>
        <v>1392</v>
      </c>
      <c r="C1393" s="9">
        <v>45369</v>
      </c>
      <c r="D1393" s="4" t="s">
        <v>696</v>
      </c>
      <c r="E1393" s="8">
        <v>419178</v>
      </c>
      <c r="F1393" s="3"/>
      <c r="G1393" s="7">
        <f>IF(Tabla1[[#This Row],[Fecha]]="","",G1392+Tabla1[[#This Row],[ingreso]]-Tabla1[[#This Row],[egreso]])</f>
        <v>11970297.144299999</v>
      </c>
      <c r="H1393" s="7"/>
      <c r="I1393" s="7"/>
      <c r="J1393" s="4"/>
    </row>
    <row r="1394" spans="1:10" x14ac:dyDescent="0.2">
      <c r="A1394">
        <f>COUNTIF($I$2:I1394,'[1]Detalle Pilotos'!$G$3)</f>
        <v>4</v>
      </c>
      <c r="B1394">
        <f t="shared" si="29"/>
        <v>1393</v>
      </c>
      <c r="C1394" s="9">
        <v>45370</v>
      </c>
      <c r="D1394" s="4" t="s">
        <v>697</v>
      </c>
      <c r="E1394" s="8"/>
      <c r="F1394" s="3">
        <v>419178</v>
      </c>
      <c r="G1394" s="7">
        <f>IF(Tabla1[[#This Row],[Fecha]]="","",G1393+Tabla1[[#This Row],[ingreso]]-Tabla1[[#This Row],[egreso]])</f>
        <v>12389475.144299999</v>
      </c>
      <c r="H1394" s="7"/>
      <c r="I1394" s="7"/>
      <c r="J1394" s="4"/>
    </row>
    <row r="1395" spans="1:10" x14ac:dyDescent="0.2">
      <c r="A1395">
        <f>COUNTIF($I$2:I1395,'[1]Detalle Pilotos'!$G$3)</f>
        <v>4</v>
      </c>
      <c r="B1395">
        <f t="shared" si="29"/>
        <v>1394</v>
      </c>
      <c r="C1395" s="9">
        <v>45373</v>
      </c>
      <c r="D1395" s="4" t="s">
        <v>12</v>
      </c>
      <c r="E1395" s="8"/>
      <c r="F1395" s="3">
        <v>225000</v>
      </c>
      <c r="G1395" s="7">
        <f>IF(Tabla1[[#This Row],[Fecha]]="","",G1394+Tabla1[[#This Row],[ingreso]]-Tabla1[[#This Row],[egreso]])</f>
        <v>12614475.144299999</v>
      </c>
      <c r="H1395" s="7"/>
      <c r="I1395" s="7" t="s">
        <v>13</v>
      </c>
      <c r="J1395" s="4"/>
    </row>
    <row r="1396" spans="1:10" x14ac:dyDescent="0.2">
      <c r="A1396">
        <f>COUNTIF($I$2:I1396,'[1]Detalle Pilotos'!$G$3)</f>
        <v>4</v>
      </c>
      <c r="B1396">
        <f t="shared" si="29"/>
        <v>1395</v>
      </c>
      <c r="C1396" s="9">
        <v>45373</v>
      </c>
      <c r="D1396" s="4" t="s">
        <v>698</v>
      </c>
      <c r="E1396" s="8"/>
      <c r="F1396" s="3">
        <v>195000</v>
      </c>
      <c r="G1396" s="7">
        <f>IF(Tabla1[[#This Row],[Fecha]]="","",G1395+Tabla1[[#This Row],[ingreso]]-Tabla1[[#This Row],[egreso]])</f>
        <v>12809475.144299999</v>
      </c>
      <c r="H1396" s="7"/>
      <c r="I1396" s="7" t="s">
        <v>699</v>
      </c>
      <c r="J1396" s="4"/>
    </row>
    <row r="1397" spans="1:10" x14ac:dyDescent="0.2">
      <c r="A1397">
        <f>COUNTIF($I$2:I1397,'[1]Detalle Pilotos'!$G$3)</f>
        <v>4</v>
      </c>
      <c r="B1397">
        <f t="shared" si="29"/>
        <v>1396</v>
      </c>
      <c r="C1397" s="9">
        <v>45373</v>
      </c>
      <c r="D1397" s="4" t="s">
        <v>666</v>
      </c>
      <c r="E1397" s="8"/>
      <c r="F1397" s="3">
        <v>456000</v>
      </c>
      <c r="G1397" s="7">
        <f>IF(Tabla1[[#This Row],[Fecha]]="","",G1396+Tabla1[[#This Row],[ingreso]]-Tabla1[[#This Row],[egreso]])</f>
        <v>13265475.144299999</v>
      </c>
      <c r="H1397" s="7"/>
      <c r="I1397" s="7" t="s">
        <v>667</v>
      </c>
      <c r="J1397" s="4"/>
    </row>
    <row r="1398" spans="1:10" x14ac:dyDescent="0.2">
      <c r="A1398">
        <f>COUNTIF($I$2:I1398,'[1]Detalle Pilotos'!$G$3)</f>
        <v>4</v>
      </c>
      <c r="B1398">
        <f t="shared" si="29"/>
        <v>1397</v>
      </c>
      <c r="C1398" s="9">
        <v>45383</v>
      </c>
      <c r="D1398" s="4" t="s">
        <v>700</v>
      </c>
      <c r="E1398" s="8">
        <v>250000</v>
      </c>
      <c r="F1398" s="3"/>
      <c r="G1398" s="7">
        <f>IF(Tabla1[[#This Row],[Fecha]]="","",G1397+Tabla1[[#This Row],[ingreso]]-Tabla1[[#This Row],[egreso]])</f>
        <v>13015475.144299999</v>
      </c>
      <c r="H1398" s="7"/>
      <c r="I1398" s="7"/>
      <c r="J1398" s="4"/>
    </row>
    <row r="1399" spans="1:10" x14ac:dyDescent="0.2">
      <c r="A1399">
        <f>COUNTIF($I$2:I1399,'[1]Detalle Pilotos'!$G$3)</f>
        <v>4</v>
      </c>
      <c r="B1399">
        <f t="shared" si="29"/>
        <v>1398</v>
      </c>
      <c r="C1399" s="9">
        <v>45383</v>
      </c>
      <c r="D1399" s="4" t="s">
        <v>701</v>
      </c>
      <c r="E1399" s="8"/>
      <c r="F1399" s="3">
        <v>250000</v>
      </c>
      <c r="G1399" s="7">
        <f>IF(Tabla1[[#This Row],[Fecha]]="","",G1398+Tabla1[[#This Row],[ingreso]]-Tabla1[[#This Row],[egreso]])</f>
        <v>13265475.144299999</v>
      </c>
      <c r="H1399" s="7"/>
      <c r="I1399" s="7"/>
      <c r="J1399" s="4"/>
    </row>
    <row r="1400" spans="1:10" x14ac:dyDescent="0.2">
      <c r="A1400">
        <f>COUNTIF($I$2:I1400,'[1]Detalle Pilotos'!$G$3)</f>
        <v>4</v>
      </c>
      <c r="B1400">
        <f t="shared" si="29"/>
        <v>1399</v>
      </c>
      <c r="C1400" s="9">
        <v>45383</v>
      </c>
      <c r="D1400" s="4" t="s">
        <v>702</v>
      </c>
      <c r="E1400" s="8">
        <v>215080</v>
      </c>
      <c r="F1400" s="3"/>
      <c r="G1400" s="7">
        <f>IF(Tabla1[[#This Row],[Fecha]]="","",G1399+Tabla1[[#This Row],[ingreso]]-Tabla1[[#This Row],[egreso]])</f>
        <v>13050395.144299999</v>
      </c>
      <c r="H1400" s="7"/>
      <c r="I1400" s="7"/>
      <c r="J1400" s="4"/>
    </row>
    <row r="1401" spans="1:10" x14ac:dyDescent="0.2">
      <c r="A1401">
        <f>COUNTIF($I$2:I1401,'[1]Detalle Pilotos'!$G$3)</f>
        <v>4</v>
      </c>
      <c r="B1401">
        <f t="shared" si="29"/>
        <v>1400</v>
      </c>
      <c r="C1401" s="9">
        <v>45383</v>
      </c>
      <c r="D1401" s="4" t="s">
        <v>703</v>
      </c>
      <c r="E1401" s="8">
        <v>227290</v>
      </c>
      <c r="F1401" s="3"/>
      <c r="G1401" s="7">
        <f>IF(Tabla1[[#This Row],[Fecha]]="","",G1400+Tabla1[[#This Row],[ingreso]]-Tabla1[[#This Row],[egreso]])</f>
        <v>12823105.144299999</v>
      </c>
      <c r="H1401" s="7"/>
      <c r="I1401" s="7"/>
      <c r="J1401" s="4"/>
    </row>
    <row r="1402" spans="1:10" x14ac:dyDescent="0.2">
      <c r="A1402">
        <f>COUNTIF($I$2:I1402,'[1]Detalle Pilotos'!$G$3)</f>
        <v>4</v>
      </c>
      <c r="B1402">
        <f t="shared" si="29"/>
        <v>1401</v>
      </c>
      <c r="C1402" s="9">
        <v>45384</v>
      </c>
      <c r="D1402" s="4" t="s">
        <v>704</v>
      </c>
      <c r="E1402" s="8">
        <v>250000</v>
      </c>
      <c r="F1402" s="3"/>
      <c r="G1402" s="7">
        <f>IF(Tabla1[[#This Row],[Fecha]]="","",G1401+Tabla1[[#This Row],[ingreso]]-Tabla1[[#This Row],[egreso]])</f>
        <v>12573105.144299999</v>
      </c>
      <c r="H1402" s="7"/>
      <c r="I1402" s="7"/>
      <c r="J1402" s="4"/>
    </row>
    <row r="1403" spans="1:10" x14ac:dyDescent="0.2">
      <c r="A1403">
        <f>COUNTIF($I$2:I1403,'[1]Detalle Pilotos'!$G$3)</f>
        <v>4</v>
      </c>
      <c r="B1403">
        <f t="shared" si="29"/>
        <v>1402</v>
      </c>
      <c r="C1403" s="9">
        <v>45385</v>
      </c>
      <c r="D1403" s="4" t="s">
        <v>705</v>
      </c>
      <c r="E1403" s="8">
        <v>589653</v>
      </c>
      <c r="F1403" s="3"/>
      <c r="G1403" s="7">
        <f>IF(Tabla1[[#This Row],[Fecha]]="","",G1402+Tabla1[[#This Row],[ingreso]]-Tabla1[[#This Row],[egreso]])</f>
        <v>11983452.144299999</v>
      </c>
      <c r="H1403" s="7"/>
      <c r="I1403" s="7"/>
      <c r="J1403" s="4"/>
    </row>
    <row r="1404" spans="1:10" x14ac:dyDescent="0.2">
      <c r="A1404">
        <f>COUNTIF($I$2:I1404,'[1]Detalle Pilotos'!$G$3)</f>
        <v>4</v>
      </c>
      <c r="B1404">
        <f t="shared" si="29"/>
        <v>1403</v>
      </c>
      <c r="C1404" s="9">
        <v>45385</v>
      </c>
      <c r="D1404" s="4" t="s">
        <v>706</v>
      </c>
      <c r="E1404" s="8">
        <v>3583583</v>
      </c>
      <c r="F1404" s="3"/>
      <c r="G1404" s="7">
        <f>IF(Tabla1[[#This Row],[Fecha]]="","",G1403+Tabla1[[#This Row],[ingreso]]-Tabla1[[#This Row],[egreso]])</f>
        <v>8399869.1442999989</v>
      </c>
      <c r="H1404" s="7"/>
      <c r="I1404" s="7"/>
      <c r="J1404" s="4"/>
    </row>
    <row r="1405" spans="1:10" x14ac:dyDescent="0.2">
      <c r="A1405">
        <f>COUNTIF($I$2:I1405,'[1]Detalle Pilotos'!$G$3)</f>
        <v>4</v>
      </c>
      <c r="B1405">
        <f t="shared" si="29"/>
        <v>1404</v>
      </c>
      <c r="C1405" s="9">
        <v>45385</v>
      </c>
      <c r="D1405" s="4" t="s">
        <v>707</v>
      </c>
      <c r="E1405" s="8"/>
      <c r="F1405" s="3">
        <v>3583583</v>
      </c>
      <c r="G1405" s="7">
        <f>IF(Tabla1[[#This Row],[Fecha]]="","",G1404+Tabla1[[#This Row],[ingreso]]-Tabla1[[#This Row],[egreso]])</f>
        <v>11983452.144299999</v>
      </c>
      <c r="H1405" s="7"/>
      <c r="I1405" s="7"/>
      <c r="J1405" s="4"/>
    </row>
    <row r="1406" spans="1:10" x14ac:dyDescent="0.2">
      <c r="A1406">
        <f>COUNTIF($I$2:I1406,'[1]Detalle Pilotos'!$G$3)</f>
        <v>4</v>
      </c>
      <c r="B1406">
        <f t="shared" si="29"/>
        <v>1405</v>
      </c>
      <c r="C1406" s="9">
        <v>45386</v>
      </c>
      <c r="D1406" s="4" t="s">
        <v>567</v>
      </c>
      <c r="E1406" s="8">
        <v>5000000</v>
      </c>
      <c r="F1406" s="3"/>
      <c r="G1406" s="7">
        <f>IF(Tabla1[[#This Row],[Fecha]]="","",G1405+Tabla1[[#This Row],[ingreso]]-Tabla1[[#This Row],[egreso]])</f>
        <v>6983452.1442999989</v>
      </c>
      <c r="H1406" s="7"/>
      <c r="I1406" s="7"/>
      <c r="J1406" s="4"/>
    </row>
    <row r="1407" spans="1:10" x14ac:dyDescent="0.2">
      <c r="A1407">
        <f>COUNTIF($I$2:I1407,'[1]Detalle Pilotos'!$G$3)</f>
        <v>4</v>
      </c>
      <c r="B1407">
        <f t="shared" si="29"/>
        <v>1406</v>
      </c>
      <c r="C1407" s="9">
        <v>45390</v>
      </c>
      <c r="D1407" s="4" t="s">
        <v>708</v>
      </c>
      <c r="E1407" s="8">
        <v>25000</v>
      </c>
      <c r="F1407" s="3"/>
      <c r="G1407" s="7">
        <f>IF(Tabla1[[#This Row],[Fecha]]="","",G1406+Tabla1[[#This Row],[ingreso]]-Tabla1[[#This Row],[egreso]])</f>
        <v>6958452.1442999989</v>
      </c>
      <c r="H1407" s="7"/>
      <c r="I1407" s="7"/>
      <c r="J1407" s="4"/>
    </row>
    <row r="1408" spans="1:10" x14ac:dyDescent="0.2">
      <c r="A1408">
        <f>COUNTIF($I$2:I1408,'[1]Detalle Pilotos'!$G$3)</f>
        <v>4</v>
      </c>
      <c r="B1408">
        <f t="shared" si="29"/>
        <v>1407</v>
      </c>
      <c r="C1408" s="9">
        <v>45392</v>
      </c>
      <c r="D1408" s="4" t="s">
        <v>709</v>
      </c>
      <c r="E1408" s="8">
        <v>668000</v>
      </c>
      <c r="F1408" s="3"/>
      <c r="G1408" s="7">
        <f>IF(Tabla1[[#This Row],[Fecha]]="","",G1407+Tabla1[[#This Row],[ingreso]]-Tabla1[[#This Row],[egreso]])</f>
        <v>6290452.1442999989</v>
      </c>
      <c r="H1408" s="7"/>
      <c r="I1408" s="7"/>
      <c r="J1408" s="4"/>
    </row>
    <row r="1409" spans="1:10" x14ac:dyDescent="0.2">
      <c r="A1409">
        <f>COUNTIF($I$2:I1409,'[1]Detalle Pilotos'!$G$3)</f>
        <v>4</v>
      </c>
      <c r="B1409">
        <f t="shared" si="29"/>
        <v>1408</v>
      </c>
      <c r="C1409" s="9">
        <v>45397</v>
      </c>
      <c r="D1409" s="4" t="s">
        <v>710</v>
      </c>
      <c r="E1409" s="8"/>
      <c r="F1409" s="3">
        <v>5007629</v>
      </c>
      <c r="G1409" s="7">
        <f>IF(Tabla1[[#This Row],[Fecha]]="","",G1408+Tabla1[[#This Row],[ingreso]]-Tabla1[[#This Row],[egreso]])</f>
        <v>11298081.144299999</v>
      </c>
      <c r="H1409" s="7"/>
      <c r="I1409" s="7"/>
      <c r="J1409" s="4"/>
    </row>
    <row r="1410" spans="1:10" x14ac:dyDescent="0.2">
      <c r="A1410">
        <f>COUNTIF($I$2:I1410,'[1]Detalle Pilotos'!$G$3)</f>
        <v>4</v>
      </c>
      <c r="B1410">
        <f t="shared" si="29"/>
        <v>1409</v>
      </c>
      <c r="C1410" s="69">
        <v>45398</v>
      </c>
      <c r="D1410" s="70" t="s">
        <v>711</v>
      </c>
      <c r="E1410" s="71">
        <v>5000000</v>
      </c>
      <c r="F1410" s="72"/>
      <c r="G1410" s="73">
        <f>IF(Tabla1[[#This Row],[Fecha]]="","",G1409+Tabla1[[#This Row],[ingreso]]-Tabla1[[#This Row],[egreso]])</f>
        <v>6298081.1442999989</v>
      </c>
      <c r="H1410" s="73"/>
      <c r="I1410" s="73"/>
      <c r="J1410" s="70"/>
    </row>
    <row r="1411" spans="1:10" x14ac:dyDescent="0.2">
      <c r="A1411">
        <f>COUNTIF($I$2:I1411,'[1]Detalle Pilotos'!$G$3)</f>
        <v>4</v>
      </c>
      <c r="B1411">
        <f t="shared" si="29"/>
        <v>1410</v>
      </c>
      <c r="C1411" s="9">
        <v>45411</v>
      </c>
      <c r="D1411" s="4" t="s">
        <v>712</v>
      </c>
      <c r="E1411" s="8">
        <v>166010</v>
      </c>
      <c r="F1411" s="3"/>
      <c r="G1411" s="7">
        <f>IF(Tabla1[[#This Row],[Fecha]]="","",G1410+Tabla1[[#This Row],[ingreso]]-Tabla1[[#This Row],[egreso]])</f>
        <v>6132071.1442999989</v>
      </c>
      <c r="H1411" s="7"/>
      <c r="I1411" s="7"/>
      <c r="J1411" s="4"/>
    </row>
    <row r="1412" spans="1:10" x14ac:dyDescent="0.2">
      <c r="A1412">
        <f>COUNTIF($I$2:I1412,'[1]Detalle Pilotos'!$G$3)</f>
        <v>4</v>
      </c>
      <c r="B1412">
        <f t="shared" ref="B1412:B1475" si="30">IF(C1412="","",1+B1411)</f>
        <v>1411</v>
      </c>
      <c r="C1412" s="9">
        <v>45412</v>
      </c>
      <c r="D1412" s="4" t="s">
        <v>713</v>
      </c>
      <c r="E1412" s="8">
        <v>4000000</v>
      </c>
      <c r="F1412" s="3"/>
      <c r="G1412" s="7">
        <f>IF(Tabla1[[#This Row],[Fecha]]="","",G1411+Tabla1[[#This Row],[ingreso]]-Tabla1[[#This Row],[egreso]])</f>
        <v>2132071.1442999989</v>
      </c>
      <c r="H1412" s="7"/>
      <c r="I1412" s="7"/>
      <c r="J1412" s="4"/>
    </row>
    <row r="1413" spans="1:10" x14ac:dyDescent="0.2">
      <c r="A1413">
        <f>COUNTIF($I$2:I1413,'[1]Detalle Pilotos'!$G$3)</f>
        <v>4</v>
      </c>
      <c r="B1413">
        <f t="shared" si="30"/>
        <v>1412</v>
      </c>
      <c r="C1413" s="9">
        <v>45418</v>
      </c>
      <c r="D1413" s="4" t="s">
        <v>714</v>
      </c>
      <c r="E1413" s="8"/>
      <c r="F1413" s="3">
        <v>4000000</v>
      </c>
      <c r="G1413" s="7">
        <f>IF(Tabla1[[#This Row],[Fecha]]="","",G1412+Tabla1[[#This Row],[ingreso]]-Tabla1[[#This Row],[egreso]])</f>
        <v>6132071.1442999989</v>
      </c>
      <c r="H1413" s="7"/>
      <c r="I1413" s="7"/>
      <c r="J1413" s="4"/>
    </row>
    <row r="1414" spans="1:10" x14ac:dyDescent="0.2">
      <c r="A1414">
        <f>COUNTIF($I$2:I1414,'[1]Detalle Pilotos'!$G$3)</f>
        <v>4</v>
      </c>
      <c r="B1414">
        <f t="shared" si="30"/>
        <v>1413</v>
      </c>
      <c r="C1414" s="9">
        <v>45418</v>
      </c>
      <c r="D1414" s="4" t="s">
        <v>715</v>
      </c>
      <c r="E1414" s="8">
        <v>138670</v>
      </c>
      <c r="F1414" s="3"/>
      <c r="G1414" s="7">
        <f>IF(Tabla1[[#This Row],[Fecha]]="","",G1413+Tabla1[[#This Row],[ingreso]]-Tabla1[[#This Row],[egreso]])</f>
        <v>5993401.1442999989</v>
      </c>
      <c r="H1414" s="7"/>
      <c r="I1414" s="7"/>
      <c r="J1414" s="4"/>
    </row>
    <row r="1415" spans="1:10" x14ac:dyDescent="0.2">
      <c r="A1415">
        <f>COUNTIF($I$2:I1415,'[1]Detalle Pilotos'!$G$3)</f>
        <v>4</v>
      </c>
      <c r="B1415">
        <f t="shared" si="30"/>
        <v>1414</v>
      </c>
      <c r="C1415" s="9">
        <v>45418</v>
      </c>
      <c r="D1415" s="4" t="s">
        <v>661</v>
      </c>
      <c r="E1415" s="8"/>
      <c r="F1415" s="3">
        <v>240000</v>
      </c>
      <c r="G1415" s="7">
        <f>IF(Tabla1[[#This Row],[Fecha]]="","",G1414+Tabla1[[#This Row],[ingreso]]-Tabla1[[#This Row],[egreso]])</f>
        <v>6233401.1442999989</v>
      </c>
      <c r="H1415" s="7"/>
      <c r="I1415" s="7" t="s">
        <v>228</v>
      </c>
      <c r="J1415" s="4"/>
    </row>
    <row r="1416" spans="1:10" x14ac:dyDescent="0.2">
      <c r="A1416">
        <f>COUNTIF($I$2:I1416,'[1]Detalle Pilotos'!$G$3)</f>
        <v>4</v>
      </c>
      <c r="B1416">
        <f t="shared" si="30"/>
        <v>1415</v>
      </c>
      <c r="C1416" s="9">
        <v>45418</v>
      </c>
      <c r="D1416" s="4" t="s">
        <v>564</v>
      </c>
      <c r="E1416" s="8"/>
      <c r="F1416" s="3">
        <v>255000</v>
      </c>
      <c r="G1416" s="7">
        <f>IF(Tabla1[[#This Row],[Fecha]]="","",G1415+Tabla1[[#This Row],[ingreso]]-Tabla1[[#This Row],[egreso]])</f>
        <v>6488401.1442999989</v>
      </c>
      <c r="H1416" s="7"/>
      <c r="I1416" s="7" t="s">
        <v>565</v>
      </c>
      <c r="J1416" s="4"/>
    </row>
    <row r="1417" spans="1:10" x14ac:dyDescent="0.2">
      <c r="A1417">
        <f>COUNTIF($I$2:I1417,'[1]Detalle Pilotos'!$G$3)</f>
        <v>5</v>
      </c>
      <c r="B1417">
        <f t="shared" si="30"/>
        <v>1416</v>
      </c>
      <c r="C1417" s="9">
        <v>45418</v>
      </c>
      <c r="D1417" s="4" t="s">
        <v>716</v>
      </c>
      <c r="E1417" s="8"/>
      <c r="F1417" s="3">
        <v>285000</v>
      </c>
      <c r="G1417" s="7">
        <f>IF(Tabla1[[#This Row],[Fecha]]="","",G1416+Tabla1[[#This Row],[ingreso]]-Tabla1[[#This Row],[egreso]])</f>
        <v>6773401.1442999989</v>
      </c>
      <c r="H1417" s="7"/>
      <c r="I1417" s="7" t="s">
        <v>651</v>
      </c>
      <c r="J1417" s="4"/>
    </row>
    <row r="1418" spans="1:10" x14ac:dyDescent="0.2">
      <c r="A1418">
        <f>COUNTIF($I$2:I1418,'[1]Detalle Pilotos'!$G$3)</f>
        <v>5</v>
      </c>
      <c r="B1418">
        <f t="shared" si="30"/>
        <v>1417</v>
      </c>
      <c r="C1418" s="9">
        <v>45419</v>
      </c>
      <c r="D1418" s="4" t="s">
        <v>717</v>
      </c>
      <c r="E1418" s="8">
        <v>422696</v>
      </c>
      <c r="F1418" s="3"/>
      <c r="G1418" s="7">
        <f>IF(Tabla1[[#This Row],[Fecha]]="","",G1417+Tabla1[[#This Row],[ingreso]]-Tabla1[[#This Row],[egreso]])</f>
        <v>6350705.1442999989</v>
      </c>
      <c r="H1418" s="7"/>
      <c r="I1418" s="7"/>
      <c r="J1418" s="4"/>
    </row>
    <row r="1419" spans="1:10" x14ac:dyDescent="0.2">
      <c r="A1419">
        <f>COUNTIF($I$2:I1419,'[1]Detalle Pilotos'!$G$3)</f>
        <v>5</v>
      </c>
      <c r="B1419">
        <f t="shared" si="30"/>
        <v>1418</v>
      </c>
      <c r="C1419" s="9">
        <v>45421</v>
      </c>
      <c r="D1419" s="4" t="s">
        <v>53</v>
      </c>
      <c r="E1419" s="8"/>
      <c r="F1419" s="3">
        <v>243000</v>
      </c>
      <c r="G1419" s="7">
        <f>IF(Tabla1[[#This Row],[Fecha]]="","",G1418+Tabla1[[#This Row],[ingreso]]-Tabla1[[#This Row],[egreso]])</f>
        <v>6593705.1442999989</v>
      </c>
      <c r="H1419" s="7"/>
      <c r="I1419" s="7" t="s">
        <v>54</v>
      </c>
      <c r="J1419" s="4"/>
    </row>
    <row r="1420" spans="1:10" x14ac:dyDescent="0.2">
      <c r="A1420">
        <f>COUNTIF($I$2:I1420,'[1]Detalle Pilotos'!$G$3)</f>
        <v>5</v>
      </c>
      <c r="B1420">
        <f t="shared" si="30"/>
        <v>1419</v>
      </c>
      <c r="C1420" s="9">
        <v>45425</v>
      </c>
      <c r="D1420" s="4" t="s">
        <v>718</v>
      </c>
      <c r="E1420" s="8">
        <v>134114</v>
      </c>
      <c r="F1420" s="3"/>
      <c r="G1420" s="7">
        <f>IF(Tabla1[[#This Row],[Fecha]]="","",G1419+Tabla1[[#This Row],[ingreso]]-Tabla1[[#This Row],[egreso]])</f>
        <v>6459591.1442999989</v>
      </c>
      <c r="H1420" s="7"/>
      <c r="I1420" s="7"/>
      <c r="J1420" s="4"/>
    </row>
    <row r="1421" spans="1:10" x14ac:dyDescent="0.2">
      <c r="A1421">
        <f>COUNTIF($I$2:I1421,'[1]Detalle Pilotos'!$G$3)</f>
        <v>5</v>
      </c>
      <c r="B1421">
        <f t="shared" si="30"/>
        <v>1420</v>
      </c>
      <c r="C1421" s="9">
        <v>45439</v>
      </c>
      <c r="D1421" s="4" t="s">
        <v>719</v>
      </c>
      <c r="E1421" s="8">
        <v>104993</v>
      </c>
      <c r="F1421" s="3"/>
      <c r="G1421" s="7">
        <f>IF(Tabla1[[#This Row],[Fecha]]="","",G1420+Tabla1[[#This Row],[ingreso]]-Tabla1[[#This Row],[egreso]])</f>
        <v>6354598.1442999989</v>
      </c>
      <c r="H1421" s="7"/>
      <c r="I1421" s="7"/>
      <c r="J1421" s="4"/>
    </row>
    <row r="1422" spans="1:10" x14ac:dyDescent="0.2">
      <c r="A1422">
        <f>COUNTIF($I$2:I1422,'[1]Detalle Pilotos'!$G$3)</f>
        <v>5</v>
      </c>
      <c r="B1422">
        <f t="shared" si="30"/>
        <v>1421</v>
      </c>
      <c r="C1422" s="9">
        <v>45446</v>
      </c>
      <c r="D1422" s="4" t="s">
        <v>720</v>
      </c>
      <c r="E1422" s="8">
        <v>2052934</v>
      </c>
      <c r="F1422" s="3"/>
      <c r="G1422" s="7">
        <f>IF(Tabla1[[#This Row],[Fecha]]="","",G1421+Tabla1[[#This Row],[ingreso]]-Tabla1[[#This Row],[egreso]])</f>
        <v>4301664.1442999989</v>
      </c>
      <c r="H1422" s="7"/>
      <c r="I1422" s="7"/>
      <c r="J1422" s="4"/>
    </row>
    <row r="1423" spans="1:10" x14ac:dyDescent="0.2">
      <c r="A1423">
        <f>COUNTIF($I$2:I1423,'[1]Detalle Pilotos'!$G$3)</f>
        <v>5</v>
      </c>
      <c r="B1423">
        <f t="shared" si="30"/>
        <v>1422</v>
      </c>
      <c r="C1423" s="9">
        <v>45446</v>
      </c>
      <c r="D1423" s="4" t="s">
        <v>721</v>
      </c>
      <c r="E1423" s="8">
        <v>424308</v>
      </c>
      <c r="F1423" s="3"/>
      <c r="G1423" s="7">
        <f>IF(Tabla1[[#This Row],[Fecha]]="","",G1422+Tabla1[[#This Row],[ingreso]]-Tabla1[[#This Row],[egreso]])</f>
        <v>3877356.1442999989</v>
      </c>
      <c r="H1423" s="7"/>
      <c r="I1423" s="7"/>
      <c r="J1423" s="4"/>
    </row>
    <row r="1424" spans="1:10" x14ac:dyDescent="0.2">
      <c r="A1424">
        <f>COUNTIF($I$2:I1424,'[1]Detalle Pilotos'!$G$3)</f>
        <v>5</v>
      </c>
      <c r="B1424">
        <f t="shared" si="30"/>
        <v>1423</v>
      </c>
      <c r="C1424" s="9">
        <v>45446</v>
      </c>
      <c r="D1424" s="4" t="s">
        <v>722</v>
      </c>
      <c r="E1424" s="8">
        <v>331252</v>
      </c>
      <c r="F1424" s="3"/>
      <c r="G1424" s="7">
        <f>IF(Tabla1[[#This Row],[Fecha]]="","",G1423+Tabla1[[#This Row],[ingreso]]-Tabla1[[#This Row],[egreso]])</f>
        <v>3546104.1442999989</v>
      </c>
      <c r="H1424" s="7"/>
      <c r="I1424" s="7"/>
      <c r="J1424" s="4"/>
    </row>
    <row r="1425" spans="1:21" x14ac:dyDescent="0.2">
      <c r="A1425">
        <f>COUNTIF($I$2:I1425,'[1]Detalle Pilotos'!$G$3)</f>
        <v>5</v>
      </c>
      <c r="B1425">
        <f t="shared" si="30"/>
        <v>1424</v>
      </c>
      <c r="C1425" s="9">
        <v>45446</v>
      </c>
      <c r="D1425" s="4" t="s">
        <v>723</v>
      </c>
      <c r="E1425" s="8">
        <v>35000</v>
      </c>
      <c r="F1425" s="3"/>
      <c r="G1425" s="7">
        <f>IF(Tabla1[[#This Row],[Fecha]]="","",G1424+Tabla1[[#This Row],[ingreso]]-Tabla1[[#This Row],[egreso]])</f>
        <v>3511104.1442999989</v>
      </c>
      <c r="H1425" s="7"/>
      <c r="I1425" s="7"/>
      <c r="J1425" s="4"/>
    </row>
    <row r="1426" spans="1:21" x14ac:dyDescent="0.2">
      <c r="A1426">
        <f>COUNTIF($I$2:I1426,'[1]Detalle Pilotos'!$G$3)</f>
        <v>5</v>
      </c>
      <c r="B1426">
        <f t="shared" si="30"/>
        <v>1425</v>
      </c>
      <c r="C1426" s="9">
        <v>45446</v>
      </c>
      <c r="D1426" s="4" t="s">
        <v>724</v>
      </c>
      <c r="E1426" s="8"/>
      <c r="F1426" s="3">
        <v>87000</v>
      </c>
      <c r="G1426" s="7">
        <f>IF(Tabla1[[#This Row],[Fecha]]="","",G1425+Tabla1[[#This Row],[ingreso]]-Tabla1[[#This Row],[egreso]])</f>
        <v>3598104.1442999989</v>
      </c>
      <c r="H1426" s="7"/>
      <c r="I1426" s="7"/>
      <c r="J1426" s="4"/>
    </row>
    <row r="1427" spans="1:21" x14ac:dyDescent="0.2">
      <c r="A1427">
        <f>COUNTIF($I$2:I1427,'[1]Detalle Pilotos'!$G$3)</f>
        <v>5</v>
      </c>
      <c r="B1427">
        <f t="shared" si="30"/>
        <v>1426</v>
      </c>
      <c r="C1427" s="9">
        <v>45446</v>
      </c>
      <c r="D1427" s="4" t="s">
        <v>725</v>
      </c>
      <c r="E1427" s="8">
        <v>166404</v>
      </c>
      <c r="F1427" s="3"/>
      <c r="G1427" s="7">
        <f>IF(Tabla1[[#This Row],[Fecha]]="","",G1426+Tabla1[[#This Row],[ingreso]]-Tabla1[[#This Row],[egreso]])</f>
        <v>3431700.1442999989</v>
      </c>
      <c r="H1427" s="7"/>
      <c r="I1427" s="7"/>
      <c r="J1427" s="4"/>
    </row>
    <row r="1428" spans="1:21" x14ac:dyDescent="0.2">
      <c r="A1428">
        <f>COUNTIF($I$2:I1428,'[1]Detalle Pilotos'!$G$3)</f>
        <v>5</v>
      </c>
      <c r="B1428">
        <f t="shared" si="30"/>
        <v>1427</v>
      </c>
      <c r="C1428" s="9">
        <v>45449</v>
      </c>
      <c r="D1428" s="4" t="s">
        <v>662</v>
      </c>
      <c r="E1428" s="8"/>
      <c r="F1428" s="3">
        <v>510720</v>
      </c>
      <c r="G1428" s="7">
        <f>IF(Tabla1[[#This Row],[Fecha]]="","",G1427+Tabla1[[#This Row],[ingreso]]-Tabla1[[#This Row],[egreso]])</f>
        <v>3942420.1442999989</v>
      </c>
      <c r="H1428" s="7"/>
      <c r="I1428" s="7" t="s">
        <v>663</v>
      </c>
      <c r="J1428" s="4"/>
    </row>
    <row r="1429" spans="1:21" x14ac:dyDescent="0.2">
      <c r="A1429">
        <f>COUNTIF($I$2:I1429,'[1]Detalle Pilotos'!$G$3)</f>
        <v>5</v>
      </c>
      <c r="B1429">
        <f t="shared" si="30"/>
        <v>1428</v>
      </c>
      <c r="C1429" s="9">
        <v>45450</v>
      </c>
      <c r="D1429" s="4" t="s">
        <v>661</v>
      </c>
      <c r="E1429" s="8"/>
      <c r="F1429" s="3">
        <v>332500</v>
      </c>
      <c r="G1429" s="7">
        <f>IF(Tabla1[[#This Row],[Fecha]]="","",G1428+Tabla1[[#This Row],[ingreso]]-Tabla1[[#This Row],[egreso]])</f>
        <v>4274920.1442999989</v>
      </c>
      <c r="H1429" s="7"/>
      <c r="I1429" s="7" t="s">
        <v>228</v>
      </c>
      <c r="J1429" s="4"/>
    </row>
    <row r="1430" spans="1:21" s="74" customFormat="1" x14ac:dyDescent="0.2">
      <c r="A1430" s="74">
        <f>COUNTIF($I$2:I1430,'[1]Detalle Pilotos'!$G$3)</f>
        <v>5</v>
      </c>
      <c r="B1430" s="74">
        <f t="shared" si="30"/>
        <v>1429</v>
      </c>
      <c r="C1430" s="75">
        <v>45453</v>
      </c>
      <c r="D1430" s="76" t="s">
        <v>726</v>
      </c>
      <c r="E1430" s="77">
        <v>400000</v>
      </c>
      <c r="F1430" s="78"/>
      <c r="G1430" s="79">
        <f>IF(Tabla1[[#This Row],[Fecha]]="","",G1429+Tabla1[[#This Row],[ingreso]]-Tabla1[[#This Row],[egreso]])</f>
        <v>3874920.1442999989</v>
      </c>
      <c r="H1430" s="79"/>
      <c r="I1430" s="79"/>
      <c r="J1430" s="76"/>
      <c r="M1430" s="80"/>
      <c r="N1430" s="81"/>
      <c r="O1430" s="82"/>
      <c r="P1430" s="83"/>
      <c r="U1430" s="84"/>
    </row>
    <row r="1431" spans="1:21" x14ac:dyDescent="0.2">
      <c r="A1431">
        <f>COUNTIF($I$2:I1431,'[1]Detalle Pilotos'!$G$3)</f>
        <v>5</v>
      </c>
      <c r="B1431">
        <f t="shared" si="30"/>
        <v>1430</v>
      </c>
      <c r="C1431" s="9">
        <v>45460</v>
      </c>
      <c r="D1431" s="4" t="s">
        <v>727</v>
      </c>
      <c r="E1431" s="8">
        <v>120000</v>
      </c>
      <c r="F1431" s="3"/>
      <c r="G1431" s="7">
        <f>IF(Tabla1[[#This Row],[Fecha]]="","",G1430+Tabla1[[#This Row],[ingreso]]-Tabla1[[#This Row],[egreso]])</f>
        <v>3754920.1442999989</v>
      </c>
      <c r="H1431" s="7"/>
      <c r="I1431" s="7"/>
      <c r="J1431" s="4"/>
    </row>
    <row r="1432" spans="1:21" x14ac:dyDescent="0.2">
      <c r="A1432">
        <f>COUNTIF($I$2:I1432,'[1]Detalle Pilotos'!$G$3)</f>
        <v>5</v>
      </c>
      <c r="B1432">
        <f t="shared" si="30"/>
        <v>1431</v>
      </c>
      <c r="C1432" s="9">
        <v>45460</v>
      </c>
      <c r="D1432" s="4" t="s">
        <v>728</v>
      </c>
      <c r="E1432" s="8"/>
      <c r="F1432" s="3">
        <v>250000</v>
      </c>
      <c r="G1432" s="7">
        <f>IF(Tabla1[[#This Row],[Fecha]]="","",G1431+Tabla1[[#This Row],[ingreso]]-Tabla1[[#This Row],[egreso]])</f>
        <v>4004920.1442999989</v>
      </c>
      <c r="H1432" s="7"/>
      <c r="I1432" s="7" t="s">
        <v>729</v>
      </c>
      <c r="J1432" s="4"/>
    </row>
    <row r="1433" spans="1:21" x14ac:dyDescent="0.2">
      <c r="A1433">
        <f>COUNTIF($I$2:I1433,'[1]Detalle Pilotos'!$G$3)</f>
        <v>5</v>
      </c>
      <c r="B1433">
        <f t="shared" si="30"/>
        <v>1432</v>
      </c>
      <c r="C1433" s="9">
        <v>45461</v>
      </c>
      <c r="D1433" s="4" t="s">
        <v>728</v>
      </c>
      <c r="E1433" s="8"/>
      <c r="F1433" s="3">
        <v>22000</v>
      </c>
      <c r="G1433" s="7">
        <f>IF(Tabla1[[#This Row],[Fecha]]="","",G1432+Tabla1[[#This Row],[ingreso]]-Tabla1[[#This Row],[egreso]])</f>
        <v>4026920.1442999989</v>
      </c>
      <c r="H1433" s="7"/>
      <c r="I1433" s="7" t="s">
        <v>729</v>
      </c>
      <c r="J1433" s="4"/>
    </row>
    <row r="1434" spans="1:21" x14ac:dyDescent="0.2">
      <c r="A1434">
        <f>COUNTIF($I$2:I1434,'[1]Detalle Pilotos'!$G$3)</f>
        <v>5</v>
      </c>
      <c r="B1434">
        <f t="shared" si="30"/>
        <v>1433</v>
      </c>
      <c r="C1434" s="9">
        <v>45462</v>
      </c>
      <c r="D1434" s="4" t="s">
        <v>730</v>
      </c>
      <c r="E1434" s="8">
        <f>2236.36*934.91</f>
        <v>2090795.3276</v>
      </c>
      <c r="F1434" s="3"/>
      <c r="G1434" s="7">
        <f>IF(Tabla1[[#This Row],[Fecha]]="","",G1433+Tabla1[[#This Row],[ingreso]]-Tabla1[[#This Row],[egreso]])</f>
        <v>1936124.8166999989</v>
      </c>
      <c r="H1434" s="7"/>
      <c r="I1434" s="7"/>
      <c r="J1434" s="4"/>
    </row>
    <row r="1435" spans="1:21" x14ac:dyDescent="0.2">
      <c r="A1435">
        <f>COUNTIF($I$2:I1435,'[1]Detalle Pilotos'!$G$3)</f>
        <v>5</v>
      </c>
      <c r="B1435">
        <f t="shared" si="30"/>
        <v>1434</v>
      </c>
      <c r="C1435" s="9">
        <v>45467</v>
      </c>
      <c r="D1435" s="4" t="s">
        <v>731</v>
      </c>
      <c r="E1435" s="8">
        <v>73185</v>
      </c>
      <c r="F1435" s="3"/>
      <c r="G1435" s="7">
        <f>IF(Tabla1[[#This Row],[Fecha]]="","",G1434+Tabla1[[#This Row],[ingreso]]-Tabla1[[#This Row],[egreso]])</f>
        <v>1862939.8166999989</v>
      </c>
      <c r="H1435" s="7"/>
      <c r="I1435" s="7"/>
      <c r="J1435" s="4"/>
    </row>
    <row r="1436" spans="1:21" x14ac:dyDescent="0.2">
      <c r="A1436">
        <f>COUNTIF($I$2:I1436,'[1]Detalle Pilotos'!$G$3)</f>
        <v>5</v>
      </c>
      <c r="B1436">
        <f t="shared" si="30"/>
        <v>1435</v>
      </c>
      <c r="C1436" s="9">
        <v>45467</v>
      </c>
      <c r="D1436" s="4" t="s">
        <v>732</v>
      </c>
      <c r="E1436" s="8">
        <v>1053150</v>
      </c>
      <c r="F1436" s="3"/>
      <c r="G1436" s="7">
        <f>IF(Tabla1[[#This Row],[Fecha]]="","",G1435+Tabla1[[#This Row],[ingreso]]-Tabla1[[#This Row],[egreso]])</f>
        <v>809789.81669999892</v>
      </c>
      <c r="H1436" s="7"/>
      <c r="I1436" s="7"/>
      <c r="J1436" s="4"/>
    </row>
    <row r="1437" spans="1:21" x14ac:dyDescent="0.2">
      <c r="A1437">
        <f>COUNTIF($I$2:I1437,'[1]Detalle Pilotos'!$G$3)</f>
        <v>5</v>
      </c>
      <c r="B1437">
        <f t="shared" si="30"/>
        <v>1436</v>
      </c>
      <c r="C1437" s="9">
        <v>45469</v>
      </c>
      <c r="D1437" s="4" t="s">
        <v>733</v>
      </c>
      <c r="E1437" s="8">
        <v>112455</v>
      </c>
      <c r="F1437" s="3"/>
      <c r="G1437" s="7">
        <f>IF(Tabla1[[#This Row],[Fecha]]="","",G1436+Tabla1[[#This Row],[ingreso]]-Tabla1[[#This Row],[egreso]])</f>
        <v>697334.81669999892</v>
      </c>
      <c r="H1437" s="7"/>
      <c r="I1437" s="7"/>
      <c r="J1437" s="4"/>
    </row>
    <row r="1438" spans="1:21" x14ac:dyDescent="0.2">
      <c r="A1438">
        <f>COUNTIF($I$2:I1438,'[1]Detalle Pilotos'!$G$3)</f>
        <v>5</v>
      </c>
      <c r="B1438">
        <f t="shared" si="30"/>
        <v>1437</v>
      </c>
      <c r="C1438" s="9">
        <v>45469</v>
      </c>
      <c r="D1438" s="4" t="s">
        <v>734</v>
      </c>
      <c r="E1438" s="8">
        <v>146370</v>
      </c>
      <c r="F1438" s="3"/>
      <c r="G1438" s="7">
        <f>IF(Tabla1[[#This Row],[Fecha]]="","",G1437+Tabla1[[#This Row],[ingreso]]-Tabla1[[#This Row],[egreso]])</f>
        <v>550964.81669999892</v>
      </c>
      <c r="H1438" s="7"/>
      <c r="I1438" s="7"/>
      <c r="J1438" s="4"/>
    </row>
    <row r="1439" spans="1:21" x14ac:dyDescent="0.2">
      <c r="A1439">
        <f>COUNTIF($I$2:I1439,'[1]Detalle Pilotos'!$G$3)</f>
        <v>5</v>
      </c>
      <c r="B1439">
        <f t="shared" si="30"/>
        <v>1438</v>
      </c>
      <c r="C1439" s="9">
        <v>45469</v>
      </c>
      <c r="D1439" s="4" t="s">
        <v>735</v>
      </c>
      <c r="E1439" s="8">
        <v>75000</v>
      </c>
      <c r="F1439" s="3"/>
      <c r="G1439" s="7">
        <f>IF(Tabla1[[#This Row],[Fecha]]="","",G1438+Tabla1[[#This Row],[ingreso]]-Tabla1[[#This Row],[egreso]])</f>
        <v>475964.81669999892</v>
      </c>
      <c r="H1439" s="7"/>
      <c r="I1439" s="7"/>
      <c r="J1439" s="4"/>
    </row>
    <row r="1440" spans="1:21" x14ac:dyDescent="0.2">
      <c r="A1440">
        <f>COUNTIF($I$2:I1440,'[1]Detalle Pilotos'!$G$3)</f>
        <v>5</v>
      </c>
      <c r="B1440">
        <f t="shared" si="30"/>
        <v>1439</v>
      </c>
      <c r="C1440" s="9">
        <v>45470</v>
      </c>
      <c r="D1440" s="4" t="s">
        <v>736</v>
      </c>
      <c r="E1440" s="8"/>
      <c r="F1440" s="3">
        <v>250000</v>
      </c>
      <c r="G1440" s="7">
        <f>IF(Tabla1[[#This Row],[Fecha]]="","",G1439+Tabla1[[#This Row],[ingreso]]-Tabla1[[#This Row],[egreso]])</f>
        <v>725964.81669999892</v>
      </c>
      <c r="H1440" s="7"/>
      <c r="I1440" s="7" t="s">
        <v>737</v>
      </c>
      <c r="J1440" s="4"/>
    </row>
    <row r="1441" spans="1:21" x14ac:dyDescent="0.2">
      <c r="A1441">
        <f>COUNTIF($I$2:I1441,'[1]Detalle Pilotos'!$G$3)</f>
        <v>5</v>
      </c>
      <c r="B1441">
        <f t="shared" si="30"/>
        <v>1440</v>
      </c>
      <c r="C1441" s="9">
        <v>45470</v>
      </c>
      <c r="D1441" s="4" t="s">
        <v>661</v>
      </c>
      <c r="E1441" s="8"/>
      <c r="F1441" s="3">
        <v>315000</v>
      </c>
      <c r="G1441" s="7">
        <f>IF(Tabla1[[#This Row],[Fecha]]="","",G1440+Tabla1[[#This Row],[ingreso]]-Tabla1[[#This Row],[egreso]])</f>
        <v>1040964.8166999989</v>
      </c>
      <c r="H1441" s="7"/>
      <c r="I1441" s="7" t="s">
        <v>228</v>
      </c>
      <c r="J1441" s="4"/>
    </row>
    <row r="1442" spans="1:21" x14ac:dyDescent="0.2">
      <c r="A1442">
        <f>COUNTIF($I$2:I1442,'[1]Detalle Pilotos'!$G$3)</f>
        <v>5</v>
      </c>
      <c r="B1442">
        <f t="shared" si="30"/>
        <v>1441</v>
      </c>
      <c r="C1442" s="9">
        <v>45471</v>
      </c>
      <c r="D1442" s="4" t="s">
        <v>738</v>
      </c>
      <c r="E1442" s="8">
        <v>119774</v>
      </c>
      <c r="F1442" s="3"/>
      <c r="G1442" s="7">
        <f>IF(Tabla1[[#This Row],[Fecha]]="","",G1441+Tabla1[[#This Row],[ingreso]]-Tabla1[[#This Row],[egreso]])</f>
        <v>921190.81669999892</v>
      </c>
      <c r="H1442" s="7"/>
      <c r="I1442" s="7"/>
      <c r="J1442" s="4"/>
    </row>
    <row r="1443" spans="1:21" x14ac:dyDescent="0.2">
      <c r="A1443">
        <f>COUNTIF($I$2:I1443,'[1]Detalle Pilotos'!$G$3)</f>
        <v>5</v>
      </c>
      <c r="B1443">
        <f t="shared" si="30"/>
        <v>1442</v>
      </c>
      <c r="C1443" s="9">
        <v>45471</v>
      </c>
      <c r="D1443" s="4" t="s">
        <v>739</v>
      </c>
      <c r="E1443" s="8"/>
      <c r="F1443" s="3">
        <v>166667</v>
      </c>
      <c r="G1443" s="7">
        <f>IF(Tabla1[[#This Row],[Fecha]]="","",G1442+Tabla1[[#This Row],[ingreso]]-Tabla1[[#This Row],[egreso]])</f>
        <v>1087857.8166999989</v>
      </c>
      <c r="H1443" s="7"/>
      <c r="I1443" s="7" t="s">
        <v>740</v>
      </c>
      <c r="J1443" s="4"/>
    </row>
    <row r="1444" spans="1:21" x14ac:dyDescent="0.2">
      <c r="A1444">
        <f>COUNTIF($I$2:I1444,'[1]Detalle Pilotos'!$G$3)</f>
        <v>5</v>
      </c>
      <c r="B1444">
        <f t="shared" si="30"/>
        <v>1443</v>
      </c>
      <c r="C1444" s="9">
        <v>45471</v>
      </c>
      <c r="D1444" s="4" t="s">
        <v>661</v>
      </c>
      <c r="E1444" s="8"/>
      <c r="F1444" s="3">
        <v>182500</v>
      </c>
      <c r="G1444" s="7">
        <f>IF(Tabla1[[#This Row],[Fecha]]="","",G1443+Tabla1[[#This Row],[ingreso]]-Tabla1[[#This Row],[egreso]])</f>
        <v>1270357.8166999989</v>
      </c>
      <c r="H1444" s="7"/>
      <c r="I1444" s="7" t="s">
        <v>228</v>
      </c>
      <c r="J1444" s="4"/>
    </row>
    <row r="1445" spans="1:21" x14ac:dyDescent="0.2">
      <c r="A1445">
        <f>COUNTIF($I$2:I1445,'[1]Detalle Pilotos'!$G$3)</f>
        <v>5</v>
      </c>
      <c r="B1445">
        <f t="shared" si="30"/>
        <v>1444</v>
      </c>
      <c r="C1445" s="9">
        <v>45474</v>
      </c>
      <c r="D1445" s="4" t="s">
        <v>736</v>
      </c>
      <c r="E1445" s="8"/>
      <c r="F1445" s="3">
        <v>173500</v>
      </c>
      <c r="G1445" s="7">
        <f>IF(Tabla1[[#This Row],[Fecha]]="","",G1444+Tabla1[[#This Row],[ingreso]]-Tabla1[[#This Row],[egreso]])</f>
        <v>1443857.8166999989</v>
      </c>
      <c r="H1445" s="7"/>
      <c r="I1445" s="7" t="s">
        <v>737</v>
      </c>
      <c r="J1445" s="4"/>
    </row>
    <row r="1446" spans="1:21" x14ac:dyDescent="0.2">
      <c r="A1446">
        <f>COUNTIF($I$2:I1446,'[1]Detalle Pilotos'!$G$3)</f>
        <v>5</v>
      </c>
      <c r="B1446">
        <f t="shared" si="30"/>
        <v>1445</v>
      </c>
      <c r="C1446" s="9">
        <v>45474</v>
      </c>
      <c r="D1446" s="4" t="s">
        <v>178</v>
      </c>
      <c r="E1446" s="8"/>
      <c r="F1446" s="3">
        <v>425000</v>
      </c>
      <c r="G1446" s="7">
        <f>IF(Tabla1[[#This Row],[Fecha]]="","",G1445+Tabla1[[#This Row],[ingreso]]-Tabla1[[#This Row],[egreso]])</f>
        <v>1868857.8166999989</v>
      </c>
      <c r="H1446" s="7"/>
      <c r="I1446" s="7" t="s">
        <v>179</v>
      </c>
      <c r="J1446" s="4"/>
    </row>
    <row r="1447" spans="1:21" x14ac:dyDescent="0.2">
      <c r="A1447">
        <f>COUNTIF($I$2:I1447,'[1]Detalle Pilotos'!$G$3)</f>
        <v>5</v>
      </c>
      <c r="B1447">
        <f t="shared" si="30"/>
        <v>1446</v>
      </c>
      <c r="C1447" s="9">
        <v>45474</v>
      </c>
      <c r="D1447" s="4" t="s">
        <v>217</v>
      </c>
      <c r="E1447" s="8"/>
      <c r="F1447" s="3">
        <v>102000</v>
      </c>
      <c r="G1447" s="7">
        <f>IF(Tabla1[[#This Row],[Fecha]]="","",G1446+Tabla1[[#This Row],[ingreso]]-Tabla1[[#This Row],[egreso]])</f>
        <v>1970857.8166999989</v>
      </c>
      <c r="H1447" s="7"/>
      <c r="I1447" s="7" t="s">
        <v>218</v>
      </c>
      <c r="J1447" s="4"/>
    </row>
    <row r="1448" spans="1:21" x14ac:dyDescent="0.2">
      <c r="A1448">
        <f>COUNTIF($I$2:I1448,'[1]Detalle Pilotos'!$G$3)</f>
        <v>5</v>
      </c>
      <c r="B1448">
        <f t="shared" si="30"/>
        <v>1447</v>
      </c>
      <c r="C1448" s="9">
        <v>45474</v>
      </c>
      <c r="D1448" s="4" t="s">
        <v>728</v>
      </c>
      <c r="E1448" s="8"/>
      <c r="F1448" s="3">
        <v>272000</v>
      </c>
      <c r="G1448" s="7">
        <f>IF(Tabla1[[#This Row],[Fecha]]="","",G1447+Tabla1[[#This Row],[ingreso]]-Tabla1[[#This Row],[egreso]])</f>
        <v>2242857.8166999989</v>
      </c>
      <c r="H1448" s="7"/>
      <c r="I1448" s="7" t="s">
        <v>729</v>
      </c>
      <c r="J1448" s="4"/>
    </row>
    <row r="1449" spans="1:21" s="85" customFormat="1" x14ac:dyDescent="0.2">
      <c r="A1449" s="85">
        <f>COUNTIF($I$2:I1449,'[1]Detalle Pilotos'!$G$3)</f>
        <v>5</v>
      </c>
      <c r="B1449" s="85">
        <f t="shared" si="30"/>
        <v>1448</v>
      </c>
      <c r="C1449" s="69">
        <v>45474</v>
      </c>
      <c r="D1449" s="70" t="s">
        <v>741</v>
      </c>
      <c r="E1449" s="71">
        <v>425857</v>
      </c>
      <c r="F1449" s="72"/>
      <c r="G1449" s="73">
        <f>IF(Tabla1[[#This Row],[Fecha]]="","",G1448+Tabla1[[#This Row],[ingreso]]-Tabla1[[#This Row],[egreso]])</f>
        <v>1817000.8166999989</v>
      </c>
      <c r="H1449" s="73"/>
      <c r="I1449" s="73"/>
      <c r="J1449" s="70"/>
      <c r="M1449" s="86"/>
      <c r="N1449" s="87"/>
      <c r="O1449" s="88"/>
      <c r="P1449" s="89"/>
      <c r="U1449" s="90"/>
    </row>
    <row r="1450" spans="1:21" x14ac:dyDescent="0.2">
      <c r="A1450">
        <f>COUNTIF($I$2:I1450,'[1]Detalle Pilotos'!$G$3)</f>
        <v>5</v>
      </c>
      <c r="B1450">
        <f t="shared" si="30"/>
        <v>1449</v>
      </c>
      <c r="C1450" s="9">
        <v>45478</v>
      </c>
      <c r="D1450" s="4" t="s">
        <v>724</v>
      </c>
      <c r="E1450" s="8"/>
      <c r="F1450" s="3">
        <v>54000</v>
      </c>
      <c r="G1450" s="7">
        <f>IF(Tabla1[[#This Row],[Fecha]]="","",G1449+Tabla1[[#This Row],[ingreso]]-Tabla1[[#This Row],[egreso]])</f>
        <v>1871000.8166999989</v>
      </c>
      <c r="H1450" s="7"/>
      <c r="I1450" s="7"/>
      <c r="J1450" s="4"/>
    </row>
    <row r="1451" spans="1:21" x14ac:dyDescent="0.2">
      <c r="A1451">
        <f>COUNTIF($I$2:I1451,'[1]Detalle Pilotos'!$G$3)</f>
        <v>5</v>
      </c>
      <c r="B1451">
        <f t="shared" si="30"/>
        <v>1450</v>
      </c>
      <c r="C1451" s="9">
        <v>45481</v>
      </c>
      <c r="D1451" s="4" t="s">
        <v>742</v>
      </c>
      <c r="E1451" s="8">
        <v>183938</v>
      </c>
      <c r="F1451" s="3"/>
      <c r="G1451" s="7">
        <f>IF(Tabla1[[#This Row],[Fecha]]="","",G1450+Tabla1[[#This Row],[ingreso]]-Tabla1[[#This Row],[egreso]])</f>
        <v>1687062.8166999989</v>
      </c>
      <c r="H1451" s="7"/>
      <c r="I1451" s="7"/>
      <c r="J1451" s="4"/>
    </row>
    <row r="1452" spans="1:21" x14ac:dyDescent="0.2">
      <c r="A1452">
        <f>COUNTIF($I$2:I1452,'[1]Detalle Pilotos'!$G$3)</f>
        <v>5</v>
      </c>
      <c r="B1452">
        <f t="shared" si="30"/>
        <v>1451</v>
      </c>
      <c r="C1452" s="9">
        <v>45482</v>
      </c>
      <c r="D1452" s="4" t="s">
        <v>178</v>
      </c>
      <c r="E1452" s="8"/>
      <c r="F1452" s="3">
        <v>340000</v>
      </c>
      <c r="G1452" s="7">
        <f>IF(Tabla1[[#This Row],[Fecha]]="","",G1451+Tabla1[[#This Row],[ingreso]]-Tabla1[[#This Row],[egreso]])</f>
        <v>2027062.8166999989</v>
      </c>
      <c r="H1452" s="7"/>
      <c r="I1452" s="7" t="s">
        <v>179</v>
      </c>
      <c r="J1452" s="4"/>
    </row>
    <row r="1453" spans="1:21" x14ac:dyDescent="0.2">
      <c r="A1453">
        <f>COUNTIF($I$2:I1453,'[1]Detalle Pilotos'!$G$3)</f>
        <v>5</v>
      </c>
      <c r="B1453">
        <f t="shared" si="30"/>
        <v>1452</v>
      </c>
      <c r="C1453" s="9">
        <v>45482</v>
      </c>
      <c r="D1453" s="4" t="s">
        <v>743</v>
      </c>
      <c r="E1453" s="8"/>
      <c r="F1453" s="3">
        <v>85000</v>
      </c>
      <c r="G1453" s="7">
        <f>IF(Tabla1[[#This Row],[Fecha]]="","",G1452+Tabla1[[#This Row],[ingreso]]-Tabla1[[#This Row],[egreso]])</f>
        <v>2112062.8166999989</v>
      </c>
      <c r="H1453" s="7"/>
      <c r="I1453" s="7" t="s">
        <v>167</v>
      </c>
      <c r="J1453" s="4"/>
    </row>
    <row r="1454" spans="1:21" x14ac:dyDescent="0.2">
      <c r="A1454">
        <f>COUNTIF($I$2:I1454,'[1]Detalle Pilotos'!$G$3)</f>
        <v>5</v>
      </c>
      <c r="B1454">
        <f t="shared" si="30"/>
        <v>1453</v>
      </c>
      <c r="C1454" s="9">
        <v>45489</v>
      </c>
      <c r="D1454" s="4" t="s">
        <v>744</v>
      </c>
      <c r="E1454" s="8"/>
      <c r="F1454" s="3">
        <v>235544</v>
      </c>
      <c r="G1454" s="7">
        <f>IF(Tabla1[[#This Row],[Fecha]]="","",G1453+Tabla1[[#This Row],[ingreso]]-Tabla1[[#This Row],[egreso]])</f>
        <v>2347606.8166999989</v>
      </c>
      <c r="H1454" s="7"/>
      <c r="I1454" s="7" t="s">
        <v>745</v>
      </c>
      <c r="J1454" s="4"/>
    </row>
    <row r="1455" spans="1:21" x14ac:dyDescent="0.2">
      <c r="A1455">
        <f>COUNTIF($I$2:I1455,'[1]Detalle Pilotos'!$G$3)</f>
        <v>5</v>
      </c>
      <c r="B1455">
        <f t="shared" si="30"/>
        <v>1454</v>
      </c>
      <c r="C1455" s="9">
        <v>45489</v>
      </c>
      <c r="D1455" s="4" t="s">
        <v>746</v>
      </c>
      <c r="E1455" s="8">
        <f>10000*6.1</f>
        <v>61000</v>
      </c>
      <c r="F1455" s="3"/>
      <c r="G1455" s="7">
        <f>IF(Tabla1[[#This Row],[Fecha]]="","",G1454+Tabla1[[#This Row],[ingreso]]-Tabla1[[#This Row],[egreso]])</f>
        <v>2286606.8166999989</v>
      </c>
      <c r="H1455" s="7"/>
      <c r="I1455" s="7"/>
      <c r="J1455" s="4"/>
    </row>
    <row r="1456" spans="1:21" x14ac:dyDescent="0.2">
      <c r="A1456">
        <f>COUNTIF($I$2:I1456,'[1]Detalle Pilotos'!$G$3)</f>
        <v>5</v>
      </c>
      <c r="B1456">
        <f t="shared" si="30"/>
        <v>1455</v>
      </c>
      <c r="C1456" s="9">
        <v>45489</v>
      </c>
      <c r="D1456" s="4" t="s">
        <v>47</v>
      </c>
      <c r="E1456" s="8"/>
      <c r="F1456" s="3">
        <f>E1455</f>
        <v>61000</v>
      </c>
      <c r="G1456" s="7">
        <f>IF(Tabla1[[#This Row],[Fecha]]="","",G1455+Tabla1[[#This Row],[ingreso]]-Tabla1[[#This Row],[egreso]])</f>
        <v>2347606.8166999989</v>
      </c>
      <c r="H1456" s="7"/>
      <c r="I1456" s="7" t="s">
        <v>48</v>
      </c>
      <c r="J1456" s="4"/>
    </row>
    <row r="1457" spans="1:21" x14ac:dyDescent="0.2">
      <c r="A1457">
        <f>COUNTIF($I$2:I1457,'[1]Detalle Pilotos'!$G$3)</f>
        <v>5</v>
      </c>
      <c r="B1457">
        <f t="shared" si="30"/>
        <v>1456</v>
      </c>
      <c r="C1457" s="9">
        <v>45491</v>
      </c>
      <c r="D1457" s="4" t="s">
        <v>747</v>
      </c>
      <c r="E1457" s="8">
        <v>136828</v>
      </c>
      <c r="F1457" s="3"/>
      <c r="G1457" s="7">
        <f>IF(Tabla1[[#This Row],[Fecha]]="","",G1456+Tabla1[[#This Row],[ingreso]]-Tabla1[[#This Row],[egreso]])</f>
        <v>2210778.8166999989</v>
      </c>
      <c r="H1457" s="7"/>
      <c r="I1457" s="7"/>
      <c r="J1457" s="4"/>
    </row>
    <row r="1458" spans="1:21" x14ac:dyDescent="0.2">
      <c r="A1458">
        <f>COUNTIF($I$2:I1458,'[1]Detalle Pilotos'!$G$3)</f>
        <v>5</v>
      </c>
      <c r="B1458">
        <f t="shared" si="30"/>
        <v>1457</v>
      </c>
      <c r="C1458" s="9">
        <v>45491</v>
      </c>
      <c r="D1458" s="4" t="s">
        <v>748</v>
      </c>
      <c r="E1458" s="8">
        <v>128168</v>
      </c>
      <c r="F1458" s="3"/>
      <c r="G1458" s="7">
        <f>IF(Tabla1[[#This Row],[Fecha]]="","",G1457+Tabla1[[#This Row],[ingreso]]-Tabla1[[#This Row],[egreso]])</f>
        <v>2082610.8166999989</v>
      </c>
      <c r="H1458" s="7"/>
      <c r="I1458" s="7"/>
      <c r="J1458" s="4"/>
    </row>
    <row r="1459" spans="1:21" x14ac:dyDescent="0.2">
      <c r="A1459">
        <f>COUNTIF($I$2:I1459,'[1]Detalle Pilotos'!$G$3)</f>
        <v>5</v>
      </c>
      <c r="B1459">
        <f t="shared" si="30"/>
        <v>1458</v>
      </c>
      <c r="C1459" s="9">
        <v>45492</v>
      </c>
      <c r="D1459" s="4" t="s">
        <v>744</v>
      </c>
      <c r="E1459" s="8"/>
      <c r="F1459" s="3">
        <v>536776</v>
      </c>
      <c r="G1459" s="7">
        <f>IF(Tabla1[[#This Row],[Fecha]]="","",G1458+Tabla1[[#This Row],[ingreso]]-Tabla1[[#This Row],[egreso]])</f>
        <v>2619386.8166999989</v>
      </c>
      <c r="H1459" s="7"/>
      <c r="I1459" s="7" t="s">
        <v>745</v>
      </c>
      <c r="J1459" s="4"/>
    </row>
    <row r="1460" spans="1:21" x14ac:dyDescent="0.2">
      <c r="A1460">
        <f>COUNTIF($I$2:I1460,'[1]Detalle Pilotos'!$G$3)</f>
        <v>5</v>
      </c>
      <c r="B1460">
        <f t="shared" si="30"/>
        <v>1459</v>
      </c>
      <c r="C1460" s="9">
        <v>45492</v>
      </c>
      <c r="D1460" s="4" t="s">
        <v>749</v>
      </c>
      <c r="E1460" s="8"/>
      <c r="F1460" s="3">
        <v>209000</v>
      </c>
      <c r="G1460" s="7">
        <f>IF(Tabla1[[#This Row],[Fecha]]="","",G1459+Tabla1[[#This Row],[ingreso]]-Tabla1[[#This Row],[egreso]])</f>
        <v>2828386.8166999989</v>
      </c>
      <c r="H1460" s="7"/>
      <c r="I1460" s="7" t="s">
        <v>750</v>
      </c>
      <c r="J1460" s="4"/>
    </row>
    <row r="1461" spans="1:21" x14ac:dyDescent="0.2">
      <c r="A1461">
        <f>COUNTIF($I$2:I1461,'[1]Detalle Pilotos'!$G$3)</f>
        <v>5</v>
      </c>
      <c r="B1461">
        <f t="shared" si="30"/>
        <v>1460</v>
      </c>
      <c r="C1461" s="9">
        <v>45492</v>
      </c>
      <c r="D1461" s="4" t="s">
        <v>751</v>
      </c>
      <c r="E1461" s="8">
        <f>2236.36*940.15</f>
        <v>2102513.8540000003</v>
      </c>
      <c r="F1461" s="3"/>
      <c r="G1461" s="7">
        <f>IF(Tabla1[[#This Row],[Fecha]]="","",G1460+Tabla1[[#This Row],[ingreso]]-Tabla1[[#This Row],[egreso]])</f>
        <v>725872.96269999864</v>
      </c>
      <c r="H1461" s="7"/>
      <c r="I1461" s="7"/>
      <c r="J1461" s="4"/>
    </row>
    <row r="1462" spans="1:21" x14ac:dyDescent="0.2">
      <c r="A1462">
        <f>COUNTIF($I$2:I1462,'[1]Detalle Pilotos'!$G$3)</f>
        <v>5</v>
      </c>
      <c r="B1462">
        <f t="shared" si="30"/>
        <v>1461</v>
      </c>
      <c r="C1462" s="9">
        <v>45495</v>
      </c>
      <c r="D1462" s="4" t="s">
        <v>739</v>
      </c>
      <c r="E1462" s="8"/>
      <c r="F1462" s="3">
        <v>540000</v>
      </c>
      <c r="G1462" s="7">
        <f>IF(Tabla1[[#This Row],[Fecha]]="","",G1461+Tabla1[[#This Row],[ingreso]]-Tabla1[[#This Row],[egreso]])</f>
        <v>1265872.9626999986</v>
      </c>
      <c r="H1462" s="7"/>
      <c r="I1462" s="7" t="s">
        <v>740</v>
      </c>
      <c r="J1462" s="4"/>
    </row>
    <row r="1463" spans="1:21" x14ac:dyDescent="0.2">
      <c r="A1463">
        <f>COUNTIF($I$2:I1463,'[1]Detalle Pilotos'!$G$3)</f>
        <v>5</v>
      </c>
      <c r="B1463">
        <f t="shared" si="30"/>
        <v>1462</v>
      </c>
      <c r="C1463" s="9">
        <v>45495</v>
      </c>
      <c r="D1463" s="4" t="s">
        <v>752</v>
      </c>
      <c r="E1463" s="8">
        <v>140292</v>
      </c>
      <c r="F1463" s="3"/>
      <c r="G1463" s="7">
        <f>IF(Tabla1[[#This Row],[Fecha]]="","",G1462+Tabla1[[#This Row],[ingreso]]-Tabla1[[#This Row],[egreso]])</f>
        <v>1125580.9626999986</v>
      </c>
      <c r="H1463" s="7"/>
      <c r="I1463" s="7"/>
      <c r="J1463" s="4"/>
    </row>
    <row r="1464" spans="1:21" x14ac:dyDescent="0.2">
      <c r="A1464">
        <f>COUNTIF($I$2:I1464,'[1]Detalle Pilotos'!$G$3)</f>
        <v>5</v>
      </c>
      <c r="B1464">
        <f t="shared" si="30"/>
        <v>1463</v>
      </c>
      <c r="C1464" s="9">
        <v>45495</v>
      </c>
      <c r="D1464" s="4" t="s">
        <v>271</v>
      </c>
      <c r="E1464" s="8"/>
      <c r="F1464" s="3">
        <v>302841</v>
      </c>
      <c r="G1464" s="7">
        <f>IF(Tabla1[[#This Row],[Fecha]]="","",G1463+Tabla1[[#This Row],[ingreso]]-Tabla1[[#This Row],[egreso]])</f>
        <v>1428421.9626999986</v>
      </c>
      <c r="H1464" s="7"/>
      <c r="I1464" s="7" t="s">
        <v>184</v>
      </c>
      <c r="J1464" s="4"/>
    </row>
    <row r="1465" spans="1:21" x14ac:dyDescent="0.2">
      <c r="A1465">
        <f>COUNTIF($I$2:I1465,'[1]Detalle Pilotos'!$G$3)</f>
        <v>5</v>
      </c>
      <c r="B1465">
        <f t="shared" si="30"/>
        <v>1464</v>
      </c>
      <c r="C1465" s="9">
        <v>45496</v>
      </c>
      <c r="D1465" s="4" t="s">
        <v>753</v>
      </c>
      <c r="E1465" s="8">
        <v>20000</v>
      </c>
      <c r="F1465" s="3"/>
      <c r="G1465" s="7">
        <f>IF(Tabla1[[#This Row],[Fecha]]="","",G1464+Tabla1[[#This Row],[ingreso]]-Tabla1[[#This Row],[egreso]])</f>
        <v>1408421.9626999986</v>
      </c>
      <c r="H1465" s="7"/>
      <c r="I1465" s="7"/>
      <c r="J1465" s="4"/>
    </row>
    <row r="1466" spans="1:21" x14ac:dyDescent="0.2">
      <c r="A1466">
        <f>COUNTIF($I$2:I1466,'[1]Detalle Pilotos'!$G$3)</f>
        <v>5</v>
      </c>
      <c r="B1466">
        <f t="shared" si="30"/>
        <v>1465</v>
      </c>
      <c r="C1466" s="9">
        <v>45497</v>
      </c>
      <c r="D1466" s="4" t="s">
        <v>166</v>
      </c>
      <c r="E1466" s="8"/>
      <c r="F1466" s="3">
        <v>60000</v>
      </c>
      <c r="G1466" s="7">
        <f>IF(Tabla1[[#This Row],[Fecha]]="","",G1465+Tabla1[[#This Row],[ingreso]]-Tabla1[[#This Row],[egreso]])</f>
        <v>1468421.9626999986</v>
      </c>
      <c r="H1466" s="7"/>
      <c r="I1466" s="7" t="s">
        <v>167</v>
      </c>
      <c r="J1466" s="4"/>
    </row>
    <row r="1467" spans="1:21" x14ac:dyDescent="0.2">
      <c r="A1467">
        <f>COUNTIF($I$2:I1467,'[1]Detalle Pilotos'!$G$3)</f>
        <v>5</v>
      </c>
      <c r="B1467">
        <f t="shared" si="30"/>
        <v>1466</v>
      </c>
      <c r="C1467" s="9">
        <v>45499</v>
      </c>
      <c r="D1467" s="91" t="s">
        <v>754</v>
      </c>
      <c r="E1467" s="8">
        <v>114139</v>
      </c>
      <c r="F1467" s="3"/>
      <c r="G1467" s="7">
        <f>IF(Tabla1[[#This Row],[Fecha]]="","",G1466+Tabla1[[#This Row],[ingreso]]-Tabla1[[#This Row],[egreso]])</f>
        <v>1354282.9626999986</v>
      </c>
      <c r="H1467" s="7"/>
      <c r="I1467" s="7"/>
      <c r="J1467" s="4"/>
    </row>
    <row r="1468" spans="1:21" x14ac:dyDescent="0.2">
      <c r="A1468">
        <f>COUNTIF($I$2:I1468,'[1]Detalle Pilotos'!$G$3)</f>
        <v>5</v>
      </c>
      <c r="B1468">
        <f t="shared" si="30"/>
        <v>1467</v>
      </c>
      <c r="C1468" s="9">
        <v>45502</v>
      </c>
      <c r="D1468" s="4" t="s">
        <v>755</v>
      </c>
      <c r="E1468" s="8"/>
      <c r="F1468" s="3">
        <v>160000</v>
      </c>
      <c r="G1468" s="7">
        <f>IF(Tabla1[[#This Row],[Fecha]]="","",G1467+Tabla1[[#This Row],[ingreso]]-Tabla1[[#This Row],[egreso]])</f>
        <v>1514282.9626999986</v>
      </c>
      <c r="H1468" s="7"/>
      <c r="I1468" s="7" t="s">
        <v>756</v>
      </c>
      <c r="J1468" s="4"/>
    </row>
    <row r="1469" spans="1:21" x14ac:dyDescent="0.2">
      <c r="A1469">
        <f>COUNTIF($I$2:I1469,'[1]Detalle Pilotos'!$G$3)</f>
        <v>5</v>
      </c>
      <c r="B1469">
        <f t="shared" si="30"/>
        <v>1468</v>
      </c>
      <c r="C1469" s="9">
        <v>45502</v>
      </c>
      <c r="D1469" s="4" t="s">
        <v>739</v>
      </c>
      <c r="E1469" s="8"/>
      <c r="F1469" s="3">
        <v>85000</v>
      </c>
      <c r="G1469" s="7">
        <f>IF(Tabla1[[#This Row],[Fecha]]="","",G1468+Tabla1[[#This Row],[ingreso]]-Tabla1[[#This Row],[egreso]])</f>
        <v>1599282.9626999986</v>
      </c>
      <c r="H1469" s="7"/>
      <c r="I1469" s="7" t="s">
        <v>740</v>
      </c>
      <c r="J1469" s="4"/>
    </row>
    <row r="1470" spans="1:21" x14ac:dyDescent="0.2">
      <c r="A1470">
        <f>COUNTIF($I$2:I1470,'[1]Detalle Pilotos'!$G$3)</f>
        <v>5</v>
      </c>
      <c r="B1470">
        <f t="shared" si="30"/>
        <v>1469</v>
      </c>
      <c r="C1470" s="9">
        <v>45504</v>
      </c>
      <c r="D1470" s="4" t="s">
        <v>749</v>
      </c>
      <c r="E1470" s="8"/>
      <c r="F1470" s="3">
        <v>266000</v>
      </c>
      <c r="G1470" s="7">
        <f>IF(Tabla1[[#This Row],[Fecha]]="","",G1469+Tabla1[[#This Row],[ingreso]]-Tabla1[[#This Row],[egreso]])</f>
        <v>1865282.9626999986</v>
      </c>
      <c r="H1470" s="7"/>
      <c r="I1470" s="7" t="s">
        <v>750</v>
      </c>
      <c r="J1470" s="4"/>
    </row>
    <row r="1471" spans="1:21" x14ac:dyDescent="0.2">
      <c r="A1471">
        <f>COUNTIF($I$2:I1471,'[1]Detalle Pilotos'!$G$3)</f>
        <v>5</v>
      </c>
      <c r="B1471">
        <f t="shared" si="30"/>
        <v>1470</v>
      </c>
      <c r="C1471" s="9">
        <v>45504</v>
      </c>
      <c r="D1471" s="4" t="s">
        <v>47</v>
      </c>
      <c r="E1471" s="8"/>
      <c r="F1471" s="3">
        <v>400000</v>
      </c>
      <c r="G1471" s="7">
        <f>IF(Tabla1[[#This Row],[Fecha]]="","",G1470+Tabla1[[#This Row],[ingreso]]-Tabla1[[#This Row],[egreso]])</f>
        <v>2265282.9626999986</v>
      </c>
      <c r="H1471" s="7"/>
      <c r="I1471" s="7" t="s">
        <v>48</v>
      </c>
      <c r="J1471" s="4"/>
    </row>
    <row r="1472" spans="1:21" s="85" customFormat="1" x14ac:dyDescent="0.2">
      <c r="A1472" s="85">
        <f>COUNTIF($I$2:I1472,'[1]Detalle Pilotos'!$G$3)</f>
        <v>5</v>
      </c>
      <c r="B1472" s="85">
        <f t="shared" si="30"/>
        <v>1471</v>
      </c>
      <c r="C1472" s="69">
        <v>45506</v>
      </c>
      <c r="D1472" s="70" t="s">
        <v>757</v>
      </c>
      <c r="E1472" s="71">
        <v>476000</v>
      </c>
      <c r="F1472" s="72"/>
      <c r="G1472" s="73">
        <f>IF(Tabla1[[#This Row],[Fecha]]="","",G1471+Tabla1[[#This Row],[ingreso]]-Tabla1[[#This Row],[egreso]])</f>
        <v>1789282.9626999986</v>
      </c>
      <c r="H1472" s="73"/>
      <c r="I1472" s="73"/>
      <c r="J1472" s="70"/>
      <c r="M1472" s="86"/>
      <c r="N1472" s="87"/>
      <c r="O1472" s="88"/>
      <c r="P1472" s="89"/>
      <c r="U1472" s="90"/>
    </row>
    <row r="1473" spans="1:21" s="85" customFormat="1" x14ac:dyDescent="0.2">
      <c r="A1473" s="85">
        <f>COUNTIF($I$2:I1473,'[1]Detalle Pilotos'!$G$3)</f>
        <v>5</v>
      </c>
      <c r="B1473" s="85">
        <f t="shared" si="30"/>
        <v>1472</v>
      </c>
      <c r="C1473" s="69">
        <v>45506</v>
      </c>
      <c r="D1473" s="70" t="s">
        <v>758</v>
      </c>
      <c r="E1473" s="71">
        <v>50105</v>
      </c>
      <c r="F1473" s="72"/>
      <c r="G1473" s="73">
        <f>IF(Tabla1[[#This Row],[Fecha]]="","",G1472+Tabla1[[#This Row],[ingreso]]-Tabla1[[#This Row],[egreso]])</f>
        <v>1739177.9626999986</v>
      </c>
      <c r="H1473" s="73"/>
      <c r="I1473" s="73"/>
      <c r="J1473" s="70"/>
      <c r="M1473" s="86"/>
      <c r="N1473" s="87"/>
      <c r="O1473" s="88"/>
      <c r="P1473" s="89"/>
      <c r="U1473" s="90"/>
    </row>
    <row r="1474" spans="1:21" x14ac:dyDescent="0.2">
      <c r="A1474">
        <f>COUNTIF($I$2:I1474,'[1]Detalle Pilotos'!$G$3)</f>
        <v>5</v>
      </c>
      <c r="B1474">
        <f t="shared" si="30"/>
        <v>1473</v>
      </c>
      <c r="C1474" s="9">
        <v>45511</v>
      </c>
      <c r="D1474" s="4" t="s">
        <v>724</v>
      </c>
      <c r="E1474" s="8"/>
      <c r="F1474" s="3">
        <v>105000</v>
      </c>
      <c r="G1474" s="7">
        <f>IF(Tabla1[[#This Row],[Fecha]]="","",G1473+Tabla1[[#This Row],[ingreso]]-Tabla1[[#This Row],[egreso]])</f>
        <v>1844177.9626999986</v>
      </c>
      <c r="H1474" s="7"/>
      <c r="I1474" s="7"/>
      <c r="J1474" s="4"/>
    </row>
    <row r="1475" spans="1:21" x14ac:dyDescent="0.2">
      <c r="A1475">
        <f>COUNTIF($I$2:I1475,'[1]Detalle Pilotos'!$G$3)</f>
        <v>5</v>
      </c>
      <c r="B1475">
        <f t="shared" si="30"/>
        <v>1474</v>
      </c>
      <c r="C1475" s="9">
        <v>45513</v>
      </c>
      <c r="D1475" s="4" t="s">
        <v>166</v>
      </c>
      <c r="E1475" s="8"/>
      <c r="F1475" s="3">
        <v>94104</v>
      </c>
      <c r="G1475" s="7">
        <f>IF(Tabla1[[#This Row],[Fecha]]="","",G1474+Tabla1[[#This Row],[ingreso]]-Tabla1[[#This Row],[egreso]])</f>
        <v>1938281.9626999986</v>
      </c>
      <c r="H1475" s="7"/>
      <c r="I1475" s="7" t="s">
        <v>167</v>
      </c>
      <c r="J1475" s="4"/>
    </row>
    <row r="1476" spans="1:21" x14ac:dyDescent="0.2">
      <c r="A1476">
        <f>COUNTIF($I$2:I1476,'[1]Detalle Pilotos'!$G$3)</f>
        <v>5</v>
      </c>
      <c r="B1476">
        <f t="shared" ref="B1476:B1539" si="31">IF(C1476="","",1+B1475)</f>
        <v>1475</v>
      </c>
      <c r="C1476" s="9">
        <v>45513</v>
      </c>
      <c r="D1476" s="4" t="s">
        <v>166</v>
      </c>
      <c r="E1476" s="8"/>
      <c r="F1476" s="3">
        <v>7896</v>
      </c>
      <c r="G1476" s="7">
        <f>IF(Tabla1[[#This Row],[Fecha]]="","",G1475+Tabla1[[#This Row],[ingreso]]-Tabla1[[#This Row],[egreso]])</f>
        <v>1946177.9626999986</v>
      </c>
      <c r="H1476" s="7"/>
      <c r="I1476" s="7" t="s">
        <v>167</v>
      </c>
      <c r="J1476" s="4"/>
    </row>
    <row r="1477" spans="1:21" x14ac:dyDescent="0.2">
      <c r="A1477">
        <f>COUNTIF($I$2:I1477,'[1]Detalle Pilotos'!$G$3)</f>
        <v>5</v>
      </c>
      <c r="B1477">
        <f t="shared" si="31"/>
        <v>1476</v>
      </c>
      <c r="C1477" s="9">
        <v>45513</v>
      </c>
      <c r="D1477" s="4" t="s">
        <v>662</v>
      </c>
      <c r="E1477" s="8"/>
      <c r="F1477" s="3">
        <v>510719</v>
      </c>
      <c r="G1477" s="7">
        <f>IF(Tabla1[[#This Row],[Fecha]]="","",G1476+Tabla1[[#This Row],[ingreso]]-Tabla1[[#This Row],[egreso]])</f>
        <v>2456896.9626999986</v>
      </c>
      <c r="H1477" s="7"/>
      <c r="I1477" s="7" t="s">
        <v>663</v>
      </c>
      <c r="J1477" s="4"/>
    </row>
    <row r="1478" spans="1:21" x14ac:dyDescent="0.2">
      <c r="A1478">
        <f>COUNTIF($I$2:I1478,'[1]Detalle Pilotos'!$G$3)</f>
        <v>5</v>
      </c>
      <c r="B1478">
        <f t="shared" si="31"/>
        <v>1477</v>
      </c>
      <c r="C1478" s="9">
        <v>45516</v>
      </c>
      <c r="D1478" s="4" t="s">
        <v>759</v>
      </c>
      <c r="E1478" s="8">
        <v>251090</v>
      </c>
      <c r="F1478" s="3"/>
      <c r="G1478" s="7">
        <f>IF(Tabla1[[#This Row],[Fecha]]="","",G1477+Tabla1[[#This Row],[ingreso]]-Tabla1[[#This Row],[egreso]])</f>
        <v>2205806.9626999986</v>
      </c>
      <c r="H1478" s="7"/>
      <c r="I1478" s="7"/>
      <c r="J1478" s="4"/>
    </row>
    <row r="1479" spans="1:21" x14ac:dyDescent="0.2">
      <c r="A1479">
        <f>COUNTIF($I$2:I1479,'[1]Detalle Pilotos'!$G$3)</f>
        <v>5</v>
      </c>
      <c r="B1479">
        <f t="shared" si="31"/>
        <v>1478</v>
      </c>
      <c r="C1479" s="9">
        <v>45520</v>
      </c>
      <c r="D1479" s="4" t="s">
        <v>760</v>
      </c>
      <c r="E1479" s="8">
        <v>100000</v>
      </c>
      <c r="F1479" s="3"/>
      <c r="G1479" s="7">
        <f>IF(Tabla1[[#This Row],[Fecha]]="","",G1478+Tabla1[[#This Row],[ingreso]]-Tabla1[[#This Row],[egreso]])</f>
        <v>2105806.9626999986</v>
      </c>
      <c r="H1479" s="7"/>
      <c r="I1479" s="7"/>
      <c r="J1479" s="4"/>
    </row>
    <row r="1480" spans="1:21" x14ac:dyDescent="0.2">
      <c r="A1480">
        <f>COUNTIF($I$2:I1480,'[1]Detalle Pilotos'!$G$3)</f>
        <v>5</v>
      </c>
      <c r="B1480">
        <f t="shared" si="31"/>
        <v>1479</v>
      </c>
      <c r="C1480" s="9">
        <v>45525</v>
      </c>
      <c r="D1480" s="4" t="s">
        <v>761</v>
      </c>
      <c r="E1480" s="8">
        <v>130246</v>
      </c>
      <c r="F1480" s="3"/>
      <c r="G1480" s="7">
        <f>IF(Tabla1[[#This Row],[Fecha]]="","",G1479+Tabla1[[#This Row],[ingreso]]-Tabla1[[#This Row],[egreso]])</f>
        <v>1975560.9626999986</v>
      </c>
      <c r="H1480" s="7"/>
      <c r="I1480" s="7"/>
      <c r="J1480" s="4"/>
    </row>
    <row r="1481" spans="1:21" x14ac:dyDescent="0.2">
      <c r="A1481">
        <f>COUNTIF($I$2:I1481,'[1]Detalle Pilotos'!$G$3)</f>
        <v>5</v>
      </c>
      <c r="B1481">
        <f t="shared" si="31"/>
        <v>1480</v>
      </c>
      <c r="C1481" s="9">
        <v>45523</v>
      </c>
      <c r="D1481" s="4" t="s">
        <v>746</v>
      </c>
      <c r="E1481" s="8">
        <f>10000*1.8</f>
        <v>18000</v>
      </c>
      <c r="F1481" s="3"/>
      <c r="G1481" s="7">
        <f>IF(Tabla1[[#This Row],[Fecha]]="","",G1480+Tabla1[[#This Row],[ingreso]]-Tabla1[[#This Row],[egreso]])</f>
        <v>1957560.9626999986</v>
      </c>
      <c r="H1481" s="7"/>
      <c r="I1481" s="7"/>
      <c r="J1481" s="4"/>
    </row>
    <row r="1482" spans="1:21" x14ac:dyDescent="0.2">
      <c r="A1482">
        <f>COUNTIF($I$2:I1482,'[1]Detalle Pilotos'!$G$3)</f>
        <v>5</v>
      </c>
      <c r="B1482">
        <f t="shared" si="31"/>
        <v>1481</v>
      </c>
      <c r="C1482" s="9">
        <v>45523</v>
      </c>
      <c r="D1482" s="4" t="s">
        <v>47</v>
      </c>
      <c r="E1482" s="8"/>
      <c r="F1482" s="3">
        <v>18000</v>
      </c>
      <c r="G1482" s="7">
        <f>IF(Tabla1[[#This Row],[Fecha]]="","",G1481+Tabla1[[#This Row],[ingreso]]-Tabla1[[#This Row],[egreso]])</f>
        <v>1975560.9626999986</v>
      </c>
      <c r="H1482" s="7"/>
      <c r="I1482" s="7" t="s">
        <v>48</v>
      </c>
      <c r="J1482" s="4"/>
    </row>
    <row r="1483" spans="1:21" x14ac:dyDescent="0.2">
      <c r="A1483">
        <f>COUNTIF($I$2:I1483,'[1]Detalle Pilotos'!$G$3)</f>
        <v>5</v>
      </c>
      <c r="B1483">
        <f t="shared" si="31"/>
        <v>1482</v>
      </c>
      <c r="C1483" s="9">
        <v>45527</v>
      </c>
      <c r="D1483" s="4" t="s">
        <v>762</v>
      </c>
      <c r="E1483" s="8"/>
      <c r="F1483" s="3">
        <v>143378</v>
      </c>
      <c r="G1483" s="7">
        <f>IF(Tabla1[[#This Row],[Fecha]]="","",G1482+Tabla1[[#This Row],[ingreso]]-Tabla1[[#This Row],[egreso]])</f>
        <v>2118938.9626999986</v>
      </c>
      <c r="H1483" s="7"/>
      <c r="I1483" s="7" t="s">
        <v>745</v>
      </c>
      <c r="J1483" s="4"/>
    </row>
    <row r="1484" spans="1:21" x14ac:dyDescent="0.2">
      <c r="A1484">
        <f>COUNTIF($I$2:I1484,'[1]Detalle Pilotos'!$G$3)</f>
        <v>5</v>
      </c>
      <c r="B1484">
        <f t="shared" si="31"/>
        <v>1483</v>
      </c>
      <c r="C1484" s="9">
        <v>45538</v>
      </c>
      <c r="D1484" s="4" t="s">
        <v>47</v>
      </c>
      <c r="E1484" s="8"/>
      <c r="F1484" s="3">
        <v>350000</v>
      </c>
      <c r="G1484" s="7">
        <f>IF(Tabla1[[#This Row],[Fecha]]="","",G1483+Tabla1[[#This Row],[ingreso]]-Tabla1[[#This Row],[egreso]])</f>
        <v>2468938.9626999986</v>
      </c>
      <c r="H1484" s="7"/>
      <c r="I1484" s="7" t="s">
        <v>48</v>
      </c>
      <c r="J1484" s="4"/>
    </row>
    <row r="1485" spans="1:21" s="85" customFormat="1" x14ac:dyDescent="0.2">
      <c r="A1485" s="85">
        <f>COUNTIF($I$2:I1485,'[1]Detalle Pilotos'!$G$3)</f>
        <v>5</v>
      </c>
      <c r="B1485" s="85">
        <f t="shared" si="31"/>
        <v>1484</v>
      </c>
      <c r="C1485" s="69">
        <v>45539</v>
      </c>
      <c r="D1485" s="70" t="s">
        <v>763</v>
      </c>
      <c r="E1485" s="71">
        <v>478546</v>
      </c>
      <c r="F1485" s="72"/>
      <c r="G1485" s="73">
        <f>IF(Tabla1[[#This Row],[Fecha]]="","",G1484+Tabla1[[#This Row],[ingreso]]-Tabla1[[#This Row],[egreso]])</f>
        <v>1990392.9626999986</v>
      </c>
      <c r="H1485" s="73"/>
      <c r="I1485" s="73"/>
      <c r="J1485" s="70"/>
      <c r="M1485" s="86"/>
      <c r="N1485" s="87"/>
      <c r="O1485" s="88"/>
      <c r="P1485" s="89"/>
      <c r="U1485" s="90"/>
    </row>
    <row r="1486" spans="1:21" x14ac:dyDescent="0.2">
      <c r="A1486">
        <f>COUNTIF($I$2:I1486,'[1]Detalle Pilotos'!$G$3)</f>
        <v>5</v>
      </c>
      <c r="B1486">
        <f t="shared" si="31"/>
        <v>1485</v>
      </c>
      <c r="C1486" s="9">
        <v>45544</v>
      </c>
      <c r="D1486" s="4" t="s">
        <v>764</v>
      </c>
      <c r="E1486" s="8">
        <v>140697</v>
      </c>
      <c r="F1486" s="3"/>
      <c r="G1486" s="7">
        <f>IF(Tabla1[[#This Row],[Fecha]]="","",G1485+Tabla1[[#This Row],[ingreso]]-Tabla1[[#This Row],[egreso]])</f>
        <v>1849695.9626999986</v>
      </c>
      <c r="H1486" s="7"/>
      <c r="I1486" s="7"/>
      <c r="J1486" s="4"/>
    </row>
    <row r="1487" spans="1:21" x14ac:dyDescent="0.2">
      <c r="A1487">
        <f>COUNTIF($I$2:I1487,'[1]Detalle Pilotos'!$G$3)</f>
        <v>5</v>
      </c>
      <c r="B1487">
        <f t="shared" si="31"/>
        <v>1486</v>
      </c>
      <c r="C1487" s="9">
        <v>45544</v>
      </c>
      <c r="D1487" s="4" t="s">
        <v>764</v>
      </c>
      <c r="E1487" s="8">
        <v>127843</v>
      </c>
      <c r="F1487" s="3"/>
      <c r="G1487" s="7">
        <f>IF(Tabla1[[#This Row],[Fecha]]="","",G1486+Tabla1[[#This Row],[ingreso]]-Tabla1[[#This Row],[egreso]])</f>
        <v>1721852.9626999986</v>
      </c>
      <c r="H1487" s="7"/>
      <c r="I1487" s="7"/>
      <c r="J1487" s="4"/>
    </row>
    <row r="1488" spans="1:21" x14ac:dyDescent="0.2">
      <c r="A1488">
        <f>COUNTIF($I$2:I1488,'[1]Detalle Pilotos'!$G$3)</f>
        <v>5</v>
      </c>
      <c r="B1488">
        <f t="shared" si="31"/>
        <v>1487</v>
      </c>
      <c r="C1488" s="9">
        <v>45545</v>
      </c>
      <c r="D1488" s="4" t="s">
        <v>765</v>
      </c>
      <c r="E1488" s="8"/>
      <c r="F1488" s="3">
        <v>300000</v>
      </c>
      <c r="G1488" s="7">
        <f>IF(Tabla1[[#This Row],[Fecha]]="","",G1487+Tabla1[[#This Row],[ingreso]]-Tabla1[[#This Row],[egreso]])</f>
        <v>2021852.9626999986</v>
      </c>
      <c r="H1488" s="7"/>
      <c r="I1488" s="7" t="s">
        <v>766</v>
      </c>
      <c r="J1488" s="4"/>
    </row>
    <row r="1489" spans="1:21" s="92" customFormat="1" x14ac:dyDescent="0.2">
      <c r="A1489" s="92">
        <f>COUNTIF($I$2:I1489,'[1]Detalle Pilotos'!$G$3)</f>
        <v>5</v>
      </c>
      <c r="B1489" s="92">
        <f t="shared" si="31"/>
        <v>1488</v>
      </c>
      <c r="C1489" s="93">
        <v>45545</v>
      </c>
      <c r="D1489" s="94" t="s">
        <v>767</v>
      </c>
      <c r="E1489" s="95">
        <v>1000000</v>
      </c>
      <c r="F1489" s="96"/>
      <c r="G1489" s="97">
        <f>IF(Tabla1[[#This Row],[Fecha]]="","",G1488+Tabla1[[#This Row],[ingreso]]-Tabla1[[#This Row],[egreso]])</f>
        <v>1021852.9626999986</v>
      </c>
      <c r="H1489" s="97"/>
      <c r="I1489" s="97"/>
      <c r="J1489" s="94"/>
      <c r="M1489" s="98"/>
      <c r="N1489" s="99"/>
      <c r="O1489" s="100"/>
      <c r="P1489" s="101"/>
      <c r="U1489" s="102"/>
    </row>
    <row r="1490" spans="1:21" x14ac:dyDescent="0.2">
      <c r="A1490">
        <f>COUNTIF($I$2:I1490,'[1]Detalle Pilotos'!$G$3)</f>
        <v>5</v>
      </c>
      <c r="B1490">
        <f t="shared" si="31"/>
        <v>1489</v>
      </c>
      <c r="C1490" s="9">
        <v>45545</v>
      </c>
      <c r="D1490" s="4" t="s">
        <v>768</v>
      </c>
      <c r="E1490" s="8"/>
      <c r="F1490" s="3">
        <v>975000</v>
      </c>
      <c r="G1490" s="7">
        <f>IF(Tabla1[[#This Row],[Fecha]]="","",G1489+Tabla1[[#This Row],[ingreso]]-Tabla1[[#This Row],[egreso]])</f>
        <v>1996852.9626999986</v>
      </c>
      <c r="H1490" s="7"/>
      <c r="I1490" s="7" t="s">
        <v>769</v>
      </c>
      <c r="J1490" s="4"/>
    </row>
    <row r="1491" spans="1:21" x14ac:dyDescent="0.2">
      <c r="A1491">
        <f>COUNTIF($I$2:I1491,'[1]Detalle Pilotos'!$G$3)</f>
        <v>5</v>
      </c>
      <c r="B1491">
        <f t="shared" si="31"/>
        <v>1490</v>
      </c>
      <c r="C1491" s="9">
        <v>45658</v>
      </c>
      <c r="D1491" s="4" t="s">
        <v>166</v>
      </c>
      <c r="E1491" s="8"/>
      <c r="F1491" s="3">
        <v>90000</v>
      </c>
      <c r="G1491" s="7">
        <f>IF(Tabla1[[#This Row],[Fecha]]="","",G1490+Tabla1[[#This Row],[ingreso]]-Tabla1[[#This Row],[egreso]])</f>
        <v>2086852.9626999986</v>
      </c>
      <c r="H1491" s="7"/>
      <c r="I1491" s="7" t="s">
        <v>167</v>
      </c>
      <c r="J1491" s="103">
        <v>45545</v>
      </c>
    </row>
    <row r="1492" spans="1:21" x14ac:dyDescent="0.2">
      <c r="A1492">
        <f>COUNTIF($I$2:I1492,'[1]Detalle Pilotos'!$G$3)</f>
        <v>5</v>
      </c>
      <c r="B1492">
        <f t="shared" si="31"/>
        <v>1491</v>
      </c>
      <c r="C1492" s="9">
        <v>45545</v>
      </c>
      <c r="D1492" s="4" t="s">
        <v>12</v>
      </c>
      <c r="E1492" s="8"/>
      <c r="F1492" s="3">
        <v>238000</v>
      </c>
      <c r="G1492" s="7">
        <f>IF(Tabla1[[#This Row],[Fecha]]="","",G1491+Tabla1[[#This Row],[ingreso]]-Tabla1[[#This Row],[egreso]])</f>
        <v>2324852.9626999986</v>
      </c>
      <c r="H1492" s="7"/>
      <c r="I1492" s="7" t="s">
        <v>13</v>
      </c>
      <c r="J1492" s="4"/>
    </row>
    <row r="1493" spans="1:21" x14ac:dyDescent="0.2">
      <c r="A1493">
        <f>COUNTIF($I$2:I1493,'[1]Detalle Pilotos'!$G$3)</f>
        <v>5</v>
      </c>
      <c r="B1493">
        <f t="shared" si="31"/>
        <v>1492</v>
      </c>
      <c r="C1493" s="9">
        <v>45546</v>
      </c>
      <c r="D1493" s="4" t="s">
        <v>770</v>
      </c>
      <c r="E1493" s="8"/>
      <c r="F1493" s="3">
        <v>100000</v>
      </c>
      <c r="G1493" s="7">
        <f>IF(Tabla1[[#This Row],[Fecha]]="","",G1492+Tabla1[[#This Row],[ingreso]]-Tabla1[[#This Row],[egreso]])</f>
        <v>2424852.9626999986</v>
      </c>
      <c r="H1493" s="7"/>
      <c r="I1493" s="7" t="s">
        <v>771</v>
      </c>
      <c r="J1493" s="4"/>
    </row>
    <row r="1494" spans="1:21" x14ac:dyDescent="0.2">
      <c r="A1494">
        <f>COUNTIF($I$2:I1494,'[1]Detalle Pilotos'!$G$3)</f>
        <v>5</v>
      </c>
      <c r="B1494">
        <f t="shared" si="31"/>
        <v>1493</v>
      </c>
      <c r="C1494" s="9">
        <v>45551</v>
      </c>
      <c r="D1494" s="4" t="s">
        <v>724</v>
      </c>
      <c r="E1494" s="8"/>
      <c r="F1494" s="3">
        <v>120000</v>
      </c>
      <c r="G1494" s="7">
        <f>IF(Tabla1[[#This Row],[Fecha]]="","",G1493+Tabla1[[#This Row],[ingreso]]-Tabla1[[#This Row],[egreso]])</f>
        <v>2544852.9626999986</v>
      </c>
      <c r="H1494" s="7"/>
      <c r="I1494" s="7"/>
      <c r="J1494" s="4"/>
    </row>
    <row r="1495" spans="1:21" s="92" customFormat="1" x14ac:dyDescent="0.2">
      <c r="A1495" s="92">
        <f>COUNTIF($I$2:I1495,'[1]Detalle Pilotos'!$G$3)</f>
        <v>5</v>
      </c>
      <c r="B1495" s="92">
        <f t="shared" si="31"/>
        <v>1494</v>
      </c>
      <c r="C1495" s="93">
        <v>45552</v>
      </c>
      <c r="D1495" s="94" t="s">
        <v>772</v>
      </c>
      <c r="E1495" s="95">
        <v>1500000</v>
      </c>
      <c r="F1495" s="96"/>
      <c r="G1495" s="97">
        <f>IF(Tabla1[[#This Row],[Fecha]]="","",G1494+Tabla1[[#This Row],[ingreso]]-Tabla1[[#This Row],[egreso]])</f>
        <v>1044852.9626999986</v>
      </c>
      <c r="H1495" s="97"/>
      <c r="I1495" s="97"/>
      <c r="J1495" s="94"/>
      <c r="M1495" s="98"/>
      <c r="N1495" s="99"/>
      <c r="O1495" s="100"/>
      <c r="P1495" s="101"/>
      <c r="U1495" s="102"/>
    </row>
    <row r="1496" spans="1:21" x14ac:dyDescent="0.2">
      <c r="A1496">
        <f>COUNTIF($I$2:I1496,'[1]Detalle Pilotos'!$G$3)</f>
        <v>5</v>
      </c>
      <c r="B1496">
        <f t="shared" si="31"/>
        <v>1495</v>
      </c>
      <c r="C1496" s="9">
        <v>45558</v>
      </c>
      <c r="D1496" s="4" t="s">
        <v>764</v>
      </c>
      <c r="E1496" s="8">
        <v>171963</v>
      </c>
      <c r="F1496" s="3"/>
      <c r="G1496" s="7">
        <f>IF(Tabla1[[#This Row],[Fecha]]="","",G1495+Tabla1[[#This Row],[ingreso]]-Tabla1[[#This Row],[egreso]])</f>
        <v>872889.96269999864</v>
      </c>
      <c r="H1496" s="7"/>
      <c r="I1496" s="7"/>
      <c r="J1496" s="4"/>
    </row>
    <row r="1497" spans="1:21" x14ac:dyDescent="0.2">
      <c r="A1497">
        <f>COUNTIF($I$2:I1497,'[1]Detalle Pilotos'!$G$3)</f>
        <v>5</v>
      </c>
      <c r="B1497">
        <f t="shared" si="31"/>
        <v>1496</v>
      </c>
      <c r="C1497" s="9">
        <v>45558</v>
      </c>
      <c r="D1497" s="4" t="s">
        <v>764</v>
      </c>
      <c r="E1497" s="8">
        <v>81639</v>
      </c>
      <c r="F1497" s="3"/>
      <c r="G1497" s="7">
        <f>IF(Tabla1[[#This Row],[Fecha]]="","",G1496+Tabla1[[#This Row],[ingreso]]-Tabla1[[#This Row],[egreso]])</f>
        <v>791250.96269999864</v>
      </c>
      <c r="H1497" s="7"/>
      <c r="I1497" s="7"/>
      <c r="J1497" s="4"/>
    </row>
    <row r="1498" spans="1:21" x14ac:dyDescent="0.2">
      <c r="A1498">
        <f>COUNTIF($I$2:I1498,'[1]Detalle Pilotos'!$G$3)</f>
        <v>5</v>
      </c>
      <c r="B1498">
        <f t="shared" si="31"/>
        <v>1497</v>
      </c>
      <c r="C1498" s="9">
        <v>45566</v>
      </c>
      <c r="D1498" s="4" t="s">
        <v>698</v>
      </c>
      <c r="E1498" s="8"/>
      <c r="F1498" s="3">
        <v>259000</v>
      </c>
      <c r="G1498" s="7">
        <f>IF(Tabla1[[#This Row],[Fecha]]="","",G1497+Tabla1[[#This Row],[ingreso]]-Tabla1[[#This Row],[egreso]])</f>
        <v>1050250.9626999986</v>
      </c>
      <c r="H1498" s="7"/>
      <c r="I1498" s="7" t="s">
        <v>699</v>
      </c>
      <c r="J1498" s="4"/>
    </row>
    <row r="1499" spans="1:21" s="85" customFormat="1" x14ac:dyDescent="0.2">
      <c r="A1499" s="85">
        <f>COUNTIF($I$2:I1499,'[1]Detalle Pilotos'!$G$3)</f>
        <v>5</v>
      </c>
      <c r="B1499" s="85">
        <f t="shared" si="31"/>
        <v>1498</v>
      </c>
      <c r="C1499" s="69">
        <v>45567</v>
      </c>
      <c r="D1499" s="70" t="s">
        <v>160</v>
      </c>
      <c r="E1499" s="71">
        <v>480247</v>
      </c>
      <c r="F1499" s="72"/>
      <c r="G1499" s="73">
        <f>IF(Tabla1[[#This Row],[Fecha]]="","",G1498+Tabla1[[#This Row],[ingreso]]-Tabla1[[#This Row],[egreso]])</f>
        <v>570003.96269999864</v>
      </c>
      <c r="H1499" s="73"/>
      <c r="I1499" s="73"/>
      <c r="J1499" s="70"/>
      <c r="M1499" s="86"/>
      <c r="N1499" s="87"/>
      <c r="O1499" s="88"/>
      <c r="P1499" s="89"/>
      <c r="U1499" s="90"/>
    </row>
    <row r="1500" spans="1:21" x14ac:dyDescent="0.2">
      <c r="A1500">
        <f>COUNTIF($I$2:I1500,'[1]Detalle Pilotos'!$G$3)</f>
        <v>5</v>
      </c>
      <c r="B1500">
        <f t="shared" si="31"/>
        <v>1499</v>
      </c>
      <c r="C1500" s="9">
        <v>45567</v>
      </c>
      <c r="D1500" s="4" t="s">
        <v>662</v>
      </c>
      <c r="E1500" s="8"/>
      <c r="F1500" s="3">
        <v>527594</v>
      </c>
      <c r="G1500" s="7">
        <f>IF(Tabla1[[#This Row],[Fecha]]="","",G1499+Tabla1[[#This Row],[ingreso]]-Tabla1[[#This Row],[egreso]])</f>
        <v>1097597.9626999986</v>
      </c>
      <c r="H1500" s="7"/>
      <c r="I1500" s="7" t="s">
        <v>663</v>
      </c>
      <c r="J1500" s="4"/>
    </row>
    <row r="1501" spans="1:21" x14ac:dyDescent="0.2">
      <c r="A1501">
        <f>COUNTIF($I$2:I1501,'[1]Detalle Pilotos'!$G$3)</f>
        <v>5</v>
      </c>
      <c r="B1501">
        <f t="shared" si="31"/>
        <v>1500</v>
      </c>
      <c r="C1501" s="9">
        <v>45574</v>
      </c>
      <c r="D1501" s="4" t="s">
        <v>765</v>
      </c>
      <c r="E1501" s="8"/>
      <c r="F1501" s="3">
        <v>514000</v>
      </c>
      <c r="G1501" s="7">
        <f>IF(Tabla1[[#This Row],[Fecha]]="","",G1500+Tabla1[[#This Row],[ingreso]]-Tabla1[[#This Row],[egreso]])</f>
        <v>1611597.9626999986</v>
      </c>
      <c r="H1501" s="7"/>
      <c r="I1501" s="7" t="s">
        <v>766</v>
      </c>
      <c r="J1501" s="4"/>
    </row>
    <row r="1502" spans="1:21" x14ac:dyDescent="0.2">
      <c r="A1502">
        <f>COUNTIF($I$2:I1502,'[1]Detalle Pilotos'!$G$3)</f>
        <v>5</v>
      </c>
      <c r="B1502">
        <f t="shared" si="31"/>
        <v>1501</v>
      </c>
      <c r="C1502" s="9">
        <v>45575</v>
      </c>
      <c r="D1502" s="4" t="s">
        <v>47</v>
      </c>
      <c r="E1502" s="8"/>
      <c r="F1502" s="3">
        <v>331300</v>
      </c>
      <c r="G1502" s="7">
        <f>IF(Tabla1[[#This Row],[Fecha]]="","",G1501+Tabla1[[#This Row],[ingreso]]-Tabla1[[#This Row],[egreso]])</f>
        <v>1942897.9626999986</v>
      </c>
      <c r="H1502" s="7"/>
      <c r="I1502" s="7" t="s">
        <v>48</v>
      </c>
      <c r="J1502" s="4"/>
    </row>
    <row r="1503" spans="1:21" x14ac:dyDescent="0.2">
      <c r="A1503">
        <f>COUNTIF($I$2:I1503,'[1]Detalle Pilotos'!$G$3)</f>
        <v>5</v>
      </c>
      <c r="B1503">
        <f t="shared" si="31"/>
        <v>1502</v>
      </c>
      <c r="C1503" s="9">
        <v>45579</v>
      </c>
      <c r="D1503" s="4" t="s">
        <v>773</v>
      </c>
      <c r="E1503" s="8">
        <v>10000</v>
      </c>
      <c r="F1503" s="3"/>
      <c r="G1503" s="7">
        <f>IF(Tabla1[[#This Row],[Fecha]]="","",G1502+Tabla1[[#This Row],[ingreso]]-Tabla1[[#This Row],[egreso]])</f>
        <v>1932897.9626999986</v>
      </c>
      <c r="H1503" s="7"/>
      <c r="I1503" s="7"/>
      <c r="J1503" s="4"/>
    </row>
    <row r="1504" spans="1:21" x14ac:dyDescent="0.2">
      <c r="A1504">
        <f>COUNTIF($I$2:I1504,'[1]Detalle Pilotos'!$G$3)</f>
        <v>5</v>
      </c>
      <c r="B1504">
        <f t="shared" si="31"/>
        <v>1503</v>
      </c>
      <c r="C1504" s="9">
        <v>45579</v>
      </c>
      <c r="D1504" s="4" t="s">
        <v>773</v>
      </c>
      <c r="E1504" s="8">
        <v>5000</v>
      </c>
      <c r="F1504" s="3"/>
      <c r="G1504" s="7">
        <f>IF(Tabla1[[#This Row],[Fecha]]="","",G1503+Tabla1[[#This Row],[ingreso]]-Tabla1[[#This Row],[egreso]])</f>
        <v>1927897.9626999986</v>
      </c>
      <c r="H1504" s="7"/>
      <c r="I1504" s="7"/>
      <c r="J1504" s="4"/>
    </row>
    <row r="1505" spans="1:21" x14ac:dyDescent="0.2">
      <c r="A1505">
        <f>COUNTIF($I$2:I1505,'[1]Detalle Pilotos'!$G$3)</f>
        <v>5</v>
      </c>
      <c r="B1505">
        <f t="shared" si="31"/>
        <v>1504</v>
      </c>
      <c r="C1505" s="9">
        <v>45581</v>
      </c>
      <c r="D1505" s="4" t="s">
        <v>762</v>
      </c>
      <c r="E1505" s="8"/>
      <c r="F1505" s="3">
        <v>352000</v>
      </c>
      <c r="G1505" s="7">
        <f>IF(Tabla1[[#This Row],[Fecha]]="","",G1504+Tabla1[[#This Row],[ingreso]]-Tabla1[[#This Row],[egreso]])</f>
        <v>2279897.9626999986</v>
      </c>
      <c r="H1505" s="7"/>
      <c r="I1505" s="7" t="s">
        <v>745</v>
      </c>
      <c r="J1505" s="4"/>
    </row>
    <row r="1506" spans="1:21" x14ac:dyDescent="0.2">
      <c r="A1506">
        <f>COUNTIF($I$2:I1506,'[1]Detalle Pilotos'!$G$3)</f>
        <v>5</v>
      </c>
      <c r="B1506">
        <f t="shared" si="31"/>
        <v>1505</v>
      </c>
      <c r="C1506" s="9">
        <v>45562</v>
      </c>
      <c r="D1506" s="4" t="s">
        <v>774</v>
      </c>
      <c r="E1506" s="8"/>
      <c r="F1506" s="3">
        <v>1420315</v>
      </c>
      <c r="G1506" s="7">
        <f>IF(Tabla1[[#This Row],[Fecha]]="","",G1505+Tabla1[[#This Row],[ingreso]]-Tabla1[[#This Row],[egreso]])</f>
        <v>3700212.9626999986</v>
      </c>
      <c r="H1506" s="7"/>
      <c r="I1506" s="7"/>
      <c r="J1506" s="4"/>
    </row>
    <row r="1507" spans="1:21" s="92" customFormat="1" x14ac:dyDescent="0.2">
      <c r="A1507" s="92">
        <f>COUNTIF($I$2:I1507,'[1]Detalle Pilotos'!$G$3)</f>
        <v>5</v>
      </c>
      <c r="B1507" s="92">
        <f t="shared" si="31"/>
        <v>1506</v>
      </c>
      <c r="C1507" s="93">
        <v>45562</v>
      </c>
      <c r="D1507" s="94" t="s">
        <v>775</v>
      </c>
      <c r="E1507" s="95">
        <v>1420315</v>
      </c>
      <c r="F1507" s="96"/>
      <c r="G1507" s="97">
        <f>IF(Tabla1[[#This Row],[Fecha]]="","",G1506+Tabla1[[#This Row],[ingreso]]-Tabla1[[#This Row],[egreso]])</f>
        <v>2279897.9626999986</v>
      </c>
      <c r="H1507" s="97"/>
      <c r="I1507" s="97"/>
      <c r="J1507" s="94"/>
      <c r="M1507" s="98"/>
      <c r="N1507" s="99"/>
      <c r="O1507" s="100"/>
      <c r="P1507" s="101"/>
      <c r="U1507" s="102"/>
    </row>
    <row r="1508" spans="1:21" x14ac:dyDescent="0.2">
      <c r="A1508">
        <f>COUNTIF($I$2:I1508,'[1]Detalle Pilotos'!$G$3)</f>
        <v>5</v>
      </c>
      <c r="B1508">
        <f t="shared" si="31"/>
        <v>1507</v>
      </c>
      <c r="C1508" s="9">
        <v>45586</v>
      </c>
      <c r="D1508" s="4" t="s">
        <v>728</v>
      </c>
      <c r="E1508" s="8"/>
      <c r="F1508" s="3">
        <v>139790</v>
      </c>
      <c r="G1508" s="7">
        <f>IF(Tabla1[[#This Row],[Fecha]]="","",G1507+Tabla1[[#This Row],[ingreso]]-Tabla1[[#This Row],[egreso]])</f>
        <v>2419687.9626999986</v>
      </c>
      <c r="H1508" s="7"/>
      <c r="I1508" s="7" t="s">
        <v>729</v>
      </c>
      <c r="J1508" s="4"/>
    </row>
    <row r="1509" spans="1:21" x14ac:dyDescent="0.2">
      <c r="A1509">
        <f>COUNTIF($I$2:I1509,'[1]Detalle Pilotos'!$G$3)</f>
        <v>5</v>
      </c>
      <c r="B1509">
        <f t="shared" si="31"/>
        <v>1508</v>
      </c>
      <c r="C1509" s="9">
        <v>45587</v>
      </c>
      <c r="D1509" s="4" t="s">
        <v>764</v>
      </c>
      <c r="E1509" s="8">
        <v>163842</v>
      </c>
      <c r="F1509" s="3"/>
      <c r="G1509" s="7">
        <f>IF(Tabla1[[#This Row],[Fecha]]="","",G1508+Tabla1[[#This Row],[ingreso]]-Tabla1[[#This Row],[egreso]])</f>
        <v>2255845.9626999986</v>
      </c>
      <c r="H1509" s="7"/>
      <c r="I1509" s="7"/>
      <c r="J1509" s="4"/>
    </row>
    <row r="1510" spans="1:21" x14ac:dyDescent="0.2">
      <c r="A1510">
        <f>COUNTIF($I$2:I1510,'[1]Detalle Pilotos'!$G$3)</f>
        <v>5</v>
      </c>
      <c r="B1510">
        <f t="shared" si="31"/>
        <v>1509</v>
      </c>
      <c r="C1510" s="9">
        <v>45587</v>
      </c>
      <c r="D1510" s="4" t="s">
        <v>776</v>
      </c>
      <c r="E1510" s="8"/>
      <c r="F1510" s="3">
        <v>200000</v>
      </c>
      <c r="G1510" s="7">
        <f>IF(Tabla1[[#This Row],[Fecha]]="","",G1509+Tabla1[[#This Row],[ingreso]]-Tabla1[[#This Row],[egreso]])</f>
        <v>2455845.9626999986</v>
      </c>
      <c r="H1510" s="7"/>
      <c r="I1510" s="7" t="s">
        <v>777</v>
      </c>
      <c r="J1510" s="4"/>
    </row>
    <row r="1511" spans="1:21" x14ac:dyDescent="0.2">
      <c r="A1511">
        <f>COUNTIF($I$2:I1511,'[1]Detalle Pilotos'!$G$3)</f>
        <v>5</v>
      </c>
      <c r="B1511">
        <f t="shared" si="31"/>
        <v>1510</v>
      </c>
      <c r="C1511" s="9">
        <v>45587</v>
      </c>
      <c r="D1511" s="4" t="s">
        <v>764</v>
      </c>
      <c r="E1511" s="8">
        <v>78020</v>
      </c>
      <c r="F1511" s="3"/>
      <c r="G1511" s="7">
        <f>IF(Tabla1[[#This Row],[Fecha]]="","",G1510+Tabla1[[#This Row],[ingreso]]-Tabla1[[#This Row],[egreso]])</f>
        <v>2377825.9626999986</v>
      </c>
      <c r="H1511" s="7"/>
      <c r="I1511" s="7"/>
      <c r="J1511" s="4"/>
    </row>
    <row r="1512" spans="1:21" x14ac:dyDescent="0.2">
      <c r="A1512">
        <f>COUNTIF($I$2:I1512,'[1]Detalle Pilotos'!$G$3)</f>
        <v>5</v>
      </c>
      <c r="B1512">
        <f t="shared" si="31"/>
        <v>1511</v>
      </c>
      <c r="C1512" s="9">
        <v>45588</v>
      </c>
      <c r="D1512" s="4" t="s">
        <v>204</v>
      </c>
      <c r="E1512" s="8"/>
      <c r="F1512" s="3">
        <v>33720</v>
      </c>
      <c r="G1512" s="7">
        <f>IF(Tabla1[[#This Row],[Fecha]]="","",G1511+Tabla1[[#This Row],[ingreso]]-Tabla1[[#This Row],[egreso]])</f>
        <v>2411545.9626999986</v>
      </c>
      <c r="H1512" s="7"/>
      <c r="I1512" s="7" t="s">
        <v>182</v>
      </c>
      <c r="J1512" s="4"/>
    </row>
    <row r="1513" spans="1:21" x14ac:dyDescent="0.2">
      <c r="A1513">
        <f>COUNTIF($I$2:I1513,'[1]Detalle Pilotos'!$G$3)</f>
        <v>5</v>
      </c>
      <c r="B1513">
        <f t="shared" si="31"/>
        <v>1512</v>
      </c>
      <c r="C1513" s="9">
        <v>45589</v>
      </c>
      <c r="D1513" s="4" t="s">
        <v>778</v>
      </c>
      <c r="E1513" s="8">
        <v>216580</v>
      </c>
      <c r="F1513" s="3"/>
      <c r="G1513" s="7">
        <f>IF(Tabla1[[#This Row],[Fecha]]="","",G1512+Tabla1[[#This Row],[ingreso]]-Tabla1[[#This Row],[egreso]])</f>
        <v>2194965.9626999986</v>
      </c>
      <c r="H1513" s="7"/>
      <c r="I1513" s="7"/>
      <c r="J1513" s="4"/>
    </row>
    <row r="1514" spans="1:21" x14ac:dyDescent="0.2">
      <c r="A1514">
        <f>COUNTIF($I$2:I1514,'[1]Detalle Pilotos'!$G$3)</f>
        <v>5</v>
      </c>
      <c r="B1514">
        <f t="shared" si="31"/>
        <v>1513</v>
      </c>
      <c r="C1514" s="9">
        <v>45593</v>
      </c>
      <c r="D1514" s="4" t="s">
        <v>625</v>
      </c>
      <c r="E1514" s="8">
        <v>30000</v>
      </c>
      <c r="F1514" s="3"/>
      <c r="G1514" s="7">
        <f>IF(Tabla1[[#This Row],[Fecha]]="","",G1513+Tabla1[[#This Row],[ingreso]]-Tabla1[[#This Row],[egreso]])</f>
        <v>2164965.9626999986</v>
      </c>
      <c r="H1514" s="7"/>
      <c r="I1514" s="7"/>
      <c r="J1514" s="4"/>
    </row>
    <row r="1515" spans="1:21" s="85" customFormat="1" x14ac:dyDescent="0.2">
      <c r="A1515" s="85">
        <f>COUNTIF($I$2:I1515,'[1]Detalle Pilotos'!$G$3)</f>
        <v>5</v>
      </c>
      <c r="B1515" s="85">
        <f t="shared" si="31"/>
        <v>1514</v>
      </c>
      <c r="C1515" s="69">
        <v>45600</v>
      </c>
      <c r="D1515" s="70" t="s">
        <v>779</v>
      </c>
      <c r="E1515" s="71">
        <v>481002</v>
      </c>
      <c r="F1515" s="72"/>
      <c r="G1515" s="73">
        <f>IF(Tabla1[[#This Row],[Fecha]]="","",G1514+Tabla1[[#This Row],[ingreso]]-Tabla1[[#This Row],[egreso]])</f>
        <v>1683963.9626999986</v>
      </c>
      <c r="H1515" s="73"/>
      <c r="I1515" s="73"/>
      <c r="J1515" s="70"/>
      <c r="M1515" s="86"/>
      <c r="N1515" s="87"/>
      <c r="O1515" s="88"/>
      <c r="P1515" s="89"/>
      <c r="U1515" s="90"/>
    </row>
    <row r="1516" spans="1:21" x14ac:dyDescent="0.2">
      <c r="A1516">
        <f>COUNTIF($I$2:I1516,'[1]Detalle Pilotos'!$G$3)</f>
        <v>5</v>
      </c>
      <c r="B1516">
        <f t="shared" si="31"/>
        <v>1515</v>
      </c>
      <c r="C1516" s="9">
        <v>45601</v>
      </c>
      <c r="D1516" s="4" t="s">
        <v>662</v>
      </c>
      <c r="E1516" s="8"/>
      <c r="F1516" s="3">
        <v>527594</v>
      </c>
      <c r="G1516" s="7">
        <f>IF(Tabla1[[#This Row],[Fecha]]="","",G1515+Tabla1[[#This Row],[ingreso]]-Tabla1[[#This Row],[egreso]])</f>
        <v>2211557.9626999986</v>
      </c>
      <c r="H1516" s="7"/>
      <c r="I1516" s="7" t="s">
        <v>663</v>
      </c>
      <c r="J1516" s="4"/>
    </row>
    <row r="1517" spans="1:21" x14ac:dyDescent="0.2">
      <c r="A1517">
        <f>COUNTIF($I$2:I1517,'[1]Detalle Pilotos'!$G$3)</f>
        <v>5</v>
      </c>
      <c r="B1517">
        <f t="shared" si="31"/>
        <v>1516</v>
      </c>
      <c r="C1517" s="9">
        <v>45601</v>
      </c>
      <c r="D1517" s="4" t="s">
        <v>780</v>
      </c>
      <c r="E1517" s="8"/>
      <c r="F1517" s="3">
        <v>213274</v>
      </c>
      <c r="G1517" s="7">
        <f>IF(Tabla1[[#This Row],[Fecha]]="","",G1516+Tabla1[[#This Row],[ingreso]]-Tabla1[[#This Row],[egreso]])</f>
        <v>2424831.9626999986</v>
      </c>
      <c r="H1517" s="7"/>
      <c r="I1517" s="7" t="s">
        <v>781</v>
      </c>
      <c r="J1517" s="4"/>
    </row>
    <row r="1518" spans="1:21" x14ac:dyDescent="0.2">
      <c r="A1518">
        <f>COUNTIF($I$2:I1518,'[1]Detalle Pilotos'!$G$3)</f>
        <v>5</v>
      </c>
      <c r="B1518">
        <f t="shared" si="31"/>
        <v>1517</v>
      </c>
      <c r="C1518" s="9">
        <v>45601</v>
      </c>
      <c r="D1518" s="4" t="s">
        <v>782</v>
      </c>
      <c r="E1518" s="8"/>
      <c r="F1518" s="3">
        <v>250000</v>
      </c>
      <c r="G1518" s="7">
        <f>IF(Tabla1[[#This Row],[Fecha]]="","",G1517+Tabla1[[#This Row],[ingreso]]-Tabla1[[#This Row],[egreso]])</f>
        <v>2674831.9626999986</v>
      </c>
      <c r="H1518" s="7"/>
      <c r="I1518" s="7" t="s">
        <v>783</v>
      </c>
      <c r="J1518" s="4"/>
    </row>
    <row r="1519" spans="1:21" x14ac:dyDescent="0.2">
      <c r="A1519">
        <f>COUNTIF($I$2:I1519,'[1]Detalle Pilotos'!$G$3)</f>
        <v>5</v>
      </c>
      <c r="B1519">
        <f t="shared" si="31"/>
        <v>1518</v>
      </c>
      <c r="C1519" s="9">
        <v>45603</v>
      </c>
      <c r="D1519" s="4" t="s">
        <v>782</v>
      </c>
      <c r="E1519" s="8"/>
      <c r="F1519" s="3">
        <v>300211</v>
      </c>
      <c r="G1519" s="7">
        <f>IF(Tabla1[[#This Row],[Fecha]]="","",G1518+Tabla1[[#This Row],[ingreso]]-Tabla1[[#This Row],[egreso]])</f>
        <v>2975042.9626999986</v>
      </c>
      <c r="H1519" s="7"/>
      <c r="I1519" s="7" t="s">
        <v>783</v>
      </c>
      <c r="J1519" s="4"/>
    </row>
    <row r="1520" spans="1:21" x14ac:dyDescent="0.2">
      <c r="A1520">
        <f>COUNTIF($I$2:I1520,'[1]Detalle Pilotos'!$G$3)</f>
        <v>5</v>
      </c>
      <c r="B1520">
        <f t="shared" si="31"/>
        <v>1519</v>
      </c>
      <c r="C1520" s="9">
        <v>45603</v>
      </c>
      <c r="D1520" s="4" t="s">
        <v>728</v>
      </c>
      <c r="E1520" s="8"/>
      <c r="F1520" s="3">
        <v>139790</v>
      </c>
      <c r="G1520" s="7">
        <f>IF(Tabla1[[#This Row],[Fecha]]="","",G1519+Tabla1[[#This Row],[ingreso]]-Tabla1[[#This Row],[egreso]])</f>
        <v>3114832.9626999986</v>
      </c>
      <c r="H1520" s="7"/>
      <c r="I1520" s="7" t="s">
        <v>729</v>
      </c>
      <c r="J1520" s="4"/>
    </row>
    <row r="1521" spans="1:21" x14ac:dyDescent="0.2">
      <c r="A1521">
        <f>COUNTIF($I$2:I1521,'[1]Detalle Pilotos'!$G$3)</f>
        <v>5</v>
      </c>
      <c r="B1521">
        <f t="shared" si="31"/>
        <v>1520</v>
      </c>
      <c r="C1521" s="9">
        <v>45604</v>
      </c>
      <c r="D1521" s="4" t="s">
        <v>724</v>
      </c>
      <c r="E1521" s="8"/>
      <c r="F1521" s="3">
        <v>114000</v>
      </c>
      <c r="G1521" s="7">
        <f>IF(Tabla1[[#This Row],[Fecha]]="","",G1520+Tabla1[[#This Row],[ingreso]]-Tabla1[[#This Row],[egreso]])</f>
        <v>3228832.9626999986</v>
      </c>
      <c r="H1521" s="7"/>
      <c r="I1521" s="7"/>
      <c r="J1521" s="4"/>
    </row>
    <row r="1522" spans="1:21" x14ac:dyDescent="0.2">
      <c r="A1522">
        <f>COUNTIF($I$2:I1522,'[1]Detalle Pilotos'!$G$3)</f>
        <v>5</v>
      </c>
      <c r="B1522">
        <f t="shared" si="31"/>
        <v>1521</v>
      </c>
      <c r="C1522" s="9">
        <v>45607</v>
      </c>
      <c r="D1522" s="4" t="s">
        <v>784</v>
      </c>
      <c r="E1522" s="8">
        <v>71394</v>
      </c>
      <c r="F1522" s="3"/>
      <c r="G1522" s="7">
        <f>IF(Tabla1[[#This Row],[Fecha]]="","",G1521+Tabla1[[#This Row],[ingreso]]-Tabla1[[#This Row],[egreso]])</f>
        <v>3157438.9626999986</v>
      </c>
      <c r="H1522" s="7"/>
      <c r="I1522" s="7"/>
      <c r="J1522" s="4"/>
    </row>
    <row r="1523" spans="1:21" x14ac:dyDescent="0.2">
      <c r="A1523">
        <f>COUNTIF($I$2:I1523,'[1]Detalle Pilotos'!$G$3)</f>
        <v>5</v>
      </c>
      <c r="B1523">
        <f t="shared" si="31"/>
        <v>1522</v>
      </c>
      <c r="C1523" s="9">
        <v>45608</v>
      </c>
      <c r="D1523" s="4" t="s">
        <v>178</v>
      </c>
      <c r="E1523" s="8"/>
      <c r="F1523" s="3">
        <v>350000</v>
      </c>
      <c r="G1523" s="7">
        <f>IF(Tabla1[[#This Row],[Fecha]]="","",G1522+Tabla1[[#This Row],[ingreso]]-Tabla1[[#This Row],[egreso]])</f>
        <v>3507438.9626999986</v>
      </c>
      <c r="H1523" s="7"/>
      <c r="I1523" s="7" t="s">
        <v>179</v>
      </c>
      <c r="J1523" s="4"/>
    </row>
    <row r="1524" spans="1:21" x14ac:dyDescent="0.2">
      <c r="A1524">
        <f>COUNTIF($I$2:I1524,'[1]Detalle Pilotos'!$G$3)</f>
        <v>5</v>
      </c>
      <c r="B1524">
        <f t="shared" si="31"/>
        <v>1523</v>
      </c>
      <c r="C1524" s="9">
        <v>45609</v>
      </c>
      <c r="D1524" s="4" t="s">
        <v>785</v>
      </c>
      <c r="E1524" s="8"/>
      <c r="F1524" s="3">
        <v>306327</v>
      </c>
      <c r="G1524" s="7">
        <f>IF(Tabla1[[#This Row],[Fecha]]="","",G1523+Tabla1[[#This Row],[ingreso]]-Tabla1[[#This Row],[egreso]])</f>
        <v>3813765.9626999986</v>
      </c>
      <c r="H1524" s="7"/>
      <c r="I1524" s="7" t="s">
        <v>786</v>
      </c>
      <c r="J1524" s="4"/>
    </row>
    <row r="1525" spans="1:21" x14ac:dyDescent="0.2">
      <c r="A1525">
        <f>COUNTIF($I$2:I1525,'[1]Detalle Pilotos'!$G$3)</f>
        <v>5</v>
      </c>
      <c r="B1525">
        <f t="shared" si="31"/>
        <v>1524</v>
      </c>
      <c r="C1525" s="9">
        <v>45610</v>
      </c>
      <c r="D1525" s="4" t="s">
        <v>787</v>
      </c>
      <c r="E1525" s="8">
        <v>124062</v>
      </c>
      <c r="F1525" s="3"/>
      <c r="G1525" s="7">
        <f>IF(Tabla1[[#This Row],[Fecha]]="","",G1524+Tabla1[[#This Row],[ingreso]]-Tabla1[[#This Row],[egreso]])</f>
        <v>3689703.9626999986</v>
      </c>
      <c r="H1525" s="7"/>
      <c r="I1525" s="7"/>
      <c r="J1525" s="4"/>
    </row>
    <row r="1526" spans="1:21" x14ac:dyDescent="0.2">
      <c r="A1526">
        <f>COUNTIF($I$2:I1526,'[1]Detalle Pilotos'!$G$3)</f>
        <v>5</v>
      </c>
      <c r="B1526">
        <f t="shared" si="31"/>
        <v>1525</v>
      </c>
      <c r="C1526" s="9">
        <v>45610</v>
      </c>
      <c r="D1526" s="4" t="s">
        <v>788</v>
      </c>
      <c r="E1526" s="8">
        <v>95000</v>
      </c>
      <c r="F1526" s="3"/>
      <c r="G1526" s="7">
        <f>IF(Tabla1[[#This Row],[Fecha]]="","",G1525+Tabla1[[#This Row],[ingreso]]-Tabla1[[#This Row],[egreso]])</f>
        <v>3594703.9626999986</v>
      </c>
      <c r="H1526" s="7"/>
      <c r="I1526" s="7"/>
      <c r="J1526" s="4"/>
    </row>
    <row r="1527" spans="1:21" x14ac:dyDescent="0.2">
      <c r="A1527">
        <f>COUNTIF($I$2:I1527,'[1]Detalle Pilotos'!$G$3)</f>
        <v>5</v>
      </c>
      <c r="B1527">
        <f t="shared" si="31"/>
        <v>1526</v>
      </c>
      <c r="C1527" s="9">
        <v>45611</v>
      </c>
      <c r="D1527" s="4" t="s">
        <v>765</v>
      </c>
      <c r="E1527" s="8"/>
      <c r="F1527" s="3">
        <v>222000</v>
      </c>
      <c r="G1527" s="7">
        <f>IF(Tabla1[[#This Row],[Fecha]]="","",G1526+Tabla1[[#This Row],[ingreso]]-Tabla1[[#This Row],[egreso]])</f>
        <v>3816703.9626999986</v>
      </c>
      <c r="H1527" s="7"/>
      <c r="I1527" s="7" t="s">
        <v>766</v>
      </c>
      <c r="J1527" s="4"/>
    </row>
    <row r="1528" spans="1:21" x14ac:dyDescent="0.2">
      <c r="A1528">
        <f>COUNTIF($I$2:I1528,'[1]Detalle Pilotos'!$G$3)</f>
        <v>5</v>
      </c>
      <c r="B1528">
        <f t="shared" si="31"/>
        <v>1527</v>
      </c>
      <c r="C1528" s="9">
        <v>45614</v>
      </c>
      <c r="D1528" s="4" t="s">
        <v>770</v>
      </c>
      <c r="E1528" s="8"/>
      <c r="F1528" s="3">
        <v>128480</v>
      </c>
      <c r="G1528" s="7">
        <f>IF(Tabla1[[#This Row],[Fecha]]="","",G1527+Tabla1[[#This Row],[ingreso]]-Tabla1[[#This Row],[egreso]])</f>
        <v>3945183.9626999986</v>
      </c>
      <c r="H1528" s="7"/>
      <c r="I1528" s="7" t="s">
        <v>771</v>
      </c>
      <c r="J1528" s="4"/>
    </row>
    <row r="1529" spans="1:21" x14ac:dyDescent="0.2">
      <c r="A1529">
        <f>COUNTIF($I$2:I1529,'[1]Detalle Pilotos'!$G$3)</f>
        <v>5</v>
      </c>
      <c r="B1529">
        <f t="shared" si="31"/>
        <v>1528</v>
      </c>
      <c r="C1529" s="9">
        <v>45614</v>
      </c>
      <c r="D1529" s="4" t="s">
        <v>186</v>
      </c>
      <c r="E1529" s="8"/>
      <c r="F1529" s="3">
        <v>600000</v>
      </c>
      <c r="G1529" s="7">
        <f>IF(Tabla1[[#This Row],[Fecha]]="","",G1528+Tabla1[[#This Row],[ingreso]]-Tabla1[[#This Row],[egreso]])</f>
        <v>4545183.9626999982</v>
      </c>
      <c r="H1529" s="7"/>
      <c r="I1529" s="7" t="s">
        <v>187</v>
      </c>
      <c r="J1529" s="4"/>
    </row>
    <row r="1530" spans="1:21" x14ac:dyDescent="0.2">
      <c r="A1530">
        <f>COUNTIF($I$2:I1530,'[1]Detalle Pilotos'!$G$3)</f>
        <v>5</v>
      </c>
      <c r="B1530">
        <f t="shared" si="31"/>
        <v>1529</v>
      </c>
      <c r="C1530" s="9">
        <v>45614</v>
      </c>
      <c r="D1530" s="4" t="s">
        <v>789</v>
      </c>
      <c r="E1530" s="8"/>
      <c r="F1530" s="3">
        <v>640000</v>
      </c>
      <c r="G1530" s="7">
        <f>IF(Tabla1[[#This Row],[Fecha]]="","",G1529+Tabla1[[#This Row],[ingreso]]-Tabla1[[#This Row],[egreso]])</f>
        <v>5185183.9626999982</v>
      </c>
      <c r="H1530" s="7"/>
      <c r="I1530" s="7" t="s">
        <v>790</v>
      </c>
      <c r="J1530" s="4"/>
    </row>
    <row r="1531" spans="1:21" x14ac:dyDescent="0.2">
      <c r="A1531">
        <f>COUNTIF($I$2:I1531,'[1]Detalle Pilotos'!$G$3)</f>
        <v>5</v>
      </c>
      <c r="B1531">
        <f t="shared" si="31"/>
        <v>1530</v>
      </c>
      <c r="C1531" s="9">
        <v>45614</v>
      </c>
      <c r="D1531" s="4" t="s">
        <v>789</v>
      </c>
      <c r="E1531" s="8"/>
      <c r="F1531" s="3">
        <v>80000</v>
      </c>
      <c r="G1531" s="7">
        <f>IF(Tabla1[[#This Row],[Fecha]]="","",G1530+Tabla1[[#This Row],[ingreso]]-Tabla1[[#This Row],[egreso]])</f>
        <v>5265183.9626999982</v>
      </c>
      <c r="H1531" s="7"/>
      <c r="I1531" s="7" t="s">
        <v>790</v>
      </c>
      <c r="J1531" s="4"/>
    </row>
    <row r="1532" spans="1:21" x14ac:dyDescent="0.2">
      <c r="A1532">
        <f>COUNTIF($I$2:I1532,'[1]Detalle Pilotos'!$G$3)</f>
        <v>5</v>
      </c>
      <c r="B1532">
        <f t="shared" si="31"/>
        <v>1531</v>
      </c>
      <c r="C1532" s="9">
        <v>45616</v>
      </c>
      <c r="D1532" s="4" t="s">
        <v>791</v>
      </c>
      <c r="E1532" s="8">
        <v>135432</v>
      </c>
      <c r="F1532" s="3"/>
      <c r="G1532" s="7">
        <f>IF(Tabla1[[#This Row],[Fecha]]="","",G1531+Tabla1[[#This Row],[ingreso]]-Tabla1[[#This Row],[egreso]])</f>
        <v>5129751.9626999982</v>
      </c>
      <c r="H1532" s="7"/>
      <c r="I1532" s="7"/>
      <c r="J1532" s="4"/>
    </row>
    <row r="1533" spans="1:21" x14ac:dyDescent="0.2">
      <c r="A1533">
        <f>COUNTIF($I$2:I1533,'[1]Detalle Pilotos'!$G$3)</f>
        <v>5</v>
      </c>
      <c r="B1533">
        <f t="shared" si="31"/>
        <v>1532</v>
      </c>
      <c r="C1533" s="9">
        <v>45616</v>
      </c>
      <c r="D1533" s="4" t="s">
        <v>792</v>
      </c>
      <c r="E1533" s="8">
        <v>83600</v>
      </c>
      <c r="F1533" s="3"/>
      <c r="G1533" s="7">
        <f>IF(Tabla1[[#This Row],[Fecha]]="","",G1532+Tabla1[[#This Row],[ingreso]]-Tabla1[[#This Row],[egreso]])</f>
        <v>5046151.9626999982</v>
      </c>
      <c r="H1533" s="7"/>
      <c r="I1533" s="7"/>
      <c r="J1533" s="4"/>
    </row>
    <row r="1534" spans="1:21" x14ac:dyDescent="0.2">
      <c r="A1534">
        <f>COUNTIF($I$2:I1534,'[1]Detalle Pilotos'!$G$3)</f>
        <v>5</v>
      </c>
      <c r="B1534">
        <f t="shared" si="31"/>
        <v>1533</v>
      </c>
      <c r="C1534" s="9">
        <v>45621</v>
      </c>
      <c r="D1534" s="4" t="s">
        <v>793</v>
      </c>
      <c r="E1534" s="8">
        <v>104674</v>
      </c>
      <c r="F1534" s="3"/>
      <c r="G1534" s="7">
        <f>IF(Tabla1[[#This Row],[Fecha]]="","",G1533+Tabla1[[#This Row],[ingreso]]-Tabla1[[#This Row],[egreso]])</f>
        <v>4941477.9626999982</v>
      </c>
      <c r="H1534" s="7"/>
      <c r="I1534" s="7"/>
      <c r="J1534" s="4"/>
    </row>
    <row r="1535" spans="1:21" x14ac:dyDescent="0.2">
      <c r="A1535">
        <f>COUNTIF($I$2:I1535,'[1]Detalle Pilotos'!$G$3)</f>
        <v>5</v>
      </c>
      <c r="B1535">
        <f t="shared" si="31"/>
        <v>1534</v>
      </c>
      <c r="C1535" s="9">
        <v>45628</v>
      </c>
      <c r="D1535" s="4" t="s">
        <v>794</v>
      </c>
      <c r="E1535" s="8">
        <v>121056</v>
      </c>
      <c r="F1535" s="3"/>
      <c r="G1535" s="7">
        <f>IF(Tabla1[[#This Row],[Fecha]]="","",G1534+Tabla1[[#This Row],[ingreso]]-Tabla1[[#This Row],[egreso]])</f>
        <v>4820421.9626999982</v>
      </c>
      <c r="H1535" s="7"/>
      <c r="I1535" s="7"/>
      <c r="J1535" s="4"/>
    </row>
    <row r="1536" spans="1:21" s="85" customFormat="1" x14ac:dyDescent="0.2">
      <c r="A1536" s="85">
        <f>COUNTIF($I$2:I1536,'[1]Detalle Pilotos'!$G$3)</f>
        <v>5</v>
      </c>
      <c r="B1536" s="85">
        <f t="shared" si="31"/>
        <v>1535</v>
      </c>
      <c r="C1536" s="69">
        <v>45628</v>
      </c>
      <c r="D1536" s="70" t="s">
        <v>795</v>
      </c>
      <c r="E1536" s="71">
        <v>484795</v>
      </c>
      <c r="F1536" s="72"/>
      <c r="G1536" s="73">
        <f>IF(Tabla1[[#This Row],[Fecha]]="","",G1535+Tabla1[[#This Row],[ingreso]]-Tabla1[[#This Row],[egreso]])</f>
        <v>4335626.9626999982</v>
      </c>
      <c r="H1536" s="73"/>
      <c r="I1536" s="73"/>
      <c r="J1536" s="70"/>
      <c r="M1536" s="86"/>
      <c r="N1536" s="87"/>
      <c r="O1536" s="88"/>
      <c r="P1536" s="89"/>
      <c r="U1536" s="90"/>
    </row>
    <row r="1537" spans="1:10" x14ac:dyDescent="0.2">
      <c r="A1537">
        <f>COUNTIF($I$2:I1537,'[1]Detalle Pilotos'!$G$3)</f>
        <v>5</v>
      </c>
      <c r="B1537">
        <f t="shared" si="31"/>
        <v>1536</v>
      </c>
      <c r="C1537" s="9">
        <v>45628</v>
      </c>
      <c r="D1537" s="4" t="s">
        <v>564</v>
      </c>
      <c r="E1537" s="8"/>
      <c r="F1537" s="3">
        <v>190000</v>
      </c>
      <c r="G1537" s="7">
        <f>IF(Tabla1[[#This Row],[Fecha]]="","",G1536+Tabla1[[#This Row],[ingreso]]-Tabla1[[#This Row],[egreso]])</f>
        <v>4525626.9626999982</v>
      </c>
      <c r="H1537" s="7"/>
      <c r="I1537" s="7" t="s">
        <v>565</v>
      </c>
      <c r="J1537" s="4"/>
    </row>
    <row r="1538" spans="1:10" x14ac:dyDescent="0.2">
      <c r="A1538">
        <f>COUNTIF($I$2:I1538,'[1]Detalle Pilotos'!$G$3)</f>
        <v>5</v>
      </c>
      <c r="B1538">
        <f t="shared" si="31"/>
        <v>1537</v>
      </c>
      <c r="C1538" s="9">
        <v>45629</v>
      </c>
      <c r="D1538" s="4" t="s">
        <v>782</v>
      </c>
      <c r="E1538" s="8"/>
      <c r="F1538" s="3">
        <v>408000</v>
      </c>
      <c r="G1538" s="7">
        <f>IF(Tabla1[[#This Row],[Fecha]]="","",G1537+Tabla1[[#This Row],[ingreso]]-Tabla1[[#This Row],[egreso]])</f>
        <v>4933626.9626999982</v>
      </c>
      <c r="H1538" s="7"/>
      <c r="I1538" s="7" t="s">
        <v>783</v>
      </c>
      <c r="J1538" s="4"/>
    </row>
    <row r="1539" spans="1:10" x14ac:dyDescent="0.2">
      <c r="A1539">
        <f>COUNTIF($I$2:I1539,'[1]Detalle Pilotos'!$G$3)</f>
        <v>5</v>
      </c>
      <c r="B1539">
        <f t="shared" si="31"/>
        <v>1538</v>
      </c>
      <c r="C1539" s="9">
        <v>45629</v>
      </c>
      <c r="D1539" s="4" t="s">
        <v>728</v>
      </c>
      <c r="E1539" s="8"/>
      <c r="F1539" s="3">
        <v>139790</v>
      </c>
      <c r="G1539" s="7">
        <f>IF(Tabla1[[#This Row],[Fecha]]="","",G1538+Tabla1[[#This Row],[ingreso]]-Tabla1[[#This Row],[egreso]])</f>
        <v>5073416.9626999982</v>
      </c>
      <c r="H1539" s="7"/>
      <c r="I1539" s="7" t="s">
        <v>729</v>
      </c>
      <c r="J1539" s="4"/>
    </row>
    <row r="1540" spans="1:10" x14ac:dyDescent="0.2">
      <c r="A1540">
        <f>COUNTIF($I$2:I1540,'[1]Detalle Pilotos'!$G$3)</f>
        <v>5</v>
      </c>
      <c r="B1540">
        <f t="shared" ref="B1540:B1603" si="32">IF(C1540="","",1+B1539)</f>
        <v>1539</v>
      </c>
      <c r="C1540" s="9">
        <v>45630</v>
      </c>
      <c r="D1540" s="4" t="s">
        <v>785</v>
      </c>
      <c r="E1540" s="8"/>
      <c r="F1540" s="3">
        <v>250000</v>
      </c>
      <c r="G1540" s="7">
        <f>IF(Tabla1[[#This Row],[Fecha]]="","",G1539+Tabla1[[#This Row],[ingreso]]-Tabla1[[#This Row],[egreso]])</f>
        <v>5323416.9626999982</v>
      </c>
      <c r="H1540" s="7"/>
      <c r="I1540" s="7" t="s">
        <v>786</v>
      </c>
      <c r="J1540" s="4"/>
    </row>
    <row r="1541" spans="1:10" x14ac:dyDescent="0.2">
      <c r="A1541">
        <f>COUNTIF($I$2:I1541,'[1]Detalle Pilotos'!$G$3)</f>
        <v>5</v>
      </c>
      <c r="B1541">
        <f t="shared" si="32"/>
        <v>1540</v>
      </c>
      <c r="C1541" s="9">
        <v>45630</v>
      </c>
      <c r="D1541" s="4" t="s">
        <v>789</v>
      </c>
      <c r="E1541" s="8"/>
      <c r="F1541" s="3">
        <v>300000</v>
      </c>
      <c r="G1541" s="7">
        <f>IF(Tabla1[[#This Row],[Fecha]]="","",G1540+Tabla1[[#This Row],[ingreso]]-Tabla1[[#This Row],[egreso]])</f>
        <v>5623416.9626999982</v>
      </c>
      <c r="H1541" s="7"/>
      <c r="I1541" s="7" t="s">
        <v>790</v>
      </c>
      <c r="J1541" s="4"/>
    </row>
    <row r="1542" spans="1:10" x14ac:dyDescent="0.2">
      <c r="A1542">
        <f>COUNTIF($I$2:I1542,'[1]Detalle Pilotos'!$G$3)</f>
        <v>5</v>
      </c>
      <c r="B1542">
        <f t="shared" si="32"/>
        <v>1541</v>
      </c>
      <c r="C1542" s="9">
        <v>45631</v>
      </c>
      <c r="D1542" s="4" t="s">
        <v>768</v>
      </c>
      <c r="E1542" s="8"/>
      <c r="F1542" s="3">
        <v>7500</v>
      </c>
      <c r="G1542" s="7">
        <f>IF(Tabla1[[#This Row],[Fecha]]="","",G1541+Tabla1[[#This Row],[ingreso]]-Tabla1[[#This Row],[egreso]])</f>
        <v>5630916.9626999982</v>
      </c>
      <c r="H1542" s="7"/>
      <c r="I1542" s="7" t="s">
        <v>769</v>
      </c>
      <c r="J1542" s="4"/>
    </row>
    <row r="1543" spans="1:10" x14ac:dyDescent="0.2">
      <c r="A1543">
        <f>COUNTIF($I$2:I1543,'[1]Detalle Pilotos'!$G$3)</f>
        <v>5</v>
      </c>
      <c r="B1543">
        <f t="shared" si="32"/>
        <v>1542</v>
      </c>
      <c r="C1543" s="9">
        <v>45631</v>
      </c>
      <c r="D1543" s="4" t="s">
        <v>662</v>
      </c>
      <c r="E1543" s="8"/>
      <c r="F1543" s="3">
        <v>656867</v>
      </c>
      <c r="G1543" s="7">
        <f>IF(Tabla1[[#This Row],[Fecha]]="","",G1542+Tabla1[[#This Row],[ingreso]]-Tabla1[[#This Row],[egreso]])</f>
        <v>6287783.9626999982</v>
      </c>
      <c r="H1543" s="7"/>
      <c r="I1543" s="7" t="s">
        <v>663</v>
      </c>
      <c r="J1543" s="4"/>
    </row>
    <row r="1544" spans="1:10" x14ac:dyDescent="0.2">
      <c r="A1544">
        <f>COUNTIF($I$2:I1544,'[1]Detalle Pilotos'!$G$3)</f>
        <v>5</v>
      </c>
      <c r="B1544">
        <f t="shared" si="32"/>
        <v>1543</v>
      </c>
      <c r="C1544" s="9">
        <v>45632</v>
      </c>
      <c r="D1544" s="4" t="s">
        <v>768</v>
      </c>
      <c r="E1544" s="8"/>
      <c r="F1544" s="3">
        <v>540000</v>
      </c>
      <c r="G1544" s="7">
        <f>IF(Tabla1[[#This Row],[Fecha]]="","",G1543+Tabla1[[#This Row],[ingreso]]-Tabla1[[#This Row],[egreso]])</f>
        <v>6827783.9626999982</v>
      </c>
      <c r="H1544" s="7"/>
      <c r="I1544" s="7" t="s">
        <v>769</v>
      </c>
      <c r="J1544" s="4"/>
    </row>
    <row r="1545" spans="1:10" x14ac:dyDescent="0.2">
      <c r="A1545">
        <f>COUNTIF($I$2:I1545,'[1]Detalle Pilotos'!$G$3)</f>
        <v>5</v>
      </c>
      <c r="B1545">
        <f t="shared" si="32"/>
        <v>1544</v>
      </c>
      <c r="C1545" s="9">
        <v>45632</v>
      </c>
      <c r="D1545" s="4" t="s">
        <v>567</v>
      </c>
      <c r="E1545" s="8">
        <v>5327784</v>
      </c>
      <c r="F1545" s="3"/>
      <c r="G1545" s="7">
        <f>IF(Tabla1[[#This Row],[Fecha]]="","",G1544+Tabla1[[#This Row],[ingreso]]-Tabla1[[#This Row],[egreso]])</f>
        <v>1499999.9626999982</v>
      </c>
      <c r="H1545" s="7"/>
      <c r="I1545" s="7"/>
      <c r="J1545" s="4"/>
    </row>
    <row r="1546" spans="1:10" x14ac:dyDescent="0.2">
      <c r="A1546">
        <f>COUNTIF($I$2:I1546,'[1]Detalle Pilotos'!$G$3)</f>
        <v>5</v>
      </c>
      <c r="B1546">
        <f t="shared" si="32"/>
        <v>1545</v>
      </c>
      <c r="C1546" s="9">
        <v>45635</v>
      </c>
      <c r="D1546" s="4" t="s">
        <v>776</v>
      </c>
      <c r="E1546" s="8"/>
      <c r="F1546" s="3">
        <v>271500</v>
      </c>
      <c r="G1546" s="7">
        <f>IF(Tabla1[[#This Row],[Fecha]]="","",G1545+Tabla1[[#This Row],[ingreso]]-Tabla1[[#This Row],[egreso]])</f>
        <v>1771499.9626999982</v>
      </c>
      <c r="H1546" s="7"/>
      <c r="I1546" s="7" t="s">
        <v>777</v>
      </c>
      <c r="J1546" s="4"/>
    </row>
    <row r="1547" spans="1:10" x14ac:dyDescent="0.2">
      <c r="A1547">
        <f>COUNTIF($I$2:I1547,'[1]Detalle Pilotos'!$G$3)</f>
        <v>5</v>
      </c>
      <c r="B1547">
        <f t="shared" si="32"/>
        <v>1546</v>
      </c>
      <c r="C1547" s="9">
        <v>45635</v>
      </c>
      <c r="D1547" s="4" t="s">
        <v>785</v>
      </c>
      <c r="E1547" s="8"/>
      <c r="F1547" s="3">
        <v>15587</v>
      </c>
      <c r="G1547" s="7">
        <f>IF(Tabla1[[#This Row],[Fecha]]="","",G1546+Tabla1[[#This Row],[ingreso]]-Tabla1[[#This Row],[egreso]])</f>
        <v>1787086.9626999982</v>
      </c>
      <c r="H1547" s="7"/>
      <c r="I1547" s="7" t="s">
        <v>786</v>
      </c>
      <c r="J1547" s="4"/>
    </row>
    <row r="1548" spans="1:10" x14ac:dyDescent="0.2">
      <c r="A1548">
        <f>COUNTIF($I$2:I1548,'[1]Detalle Pilotos'!$G$3)</f>
        <v>5</v>
      </c>
      <c r="B1548">
        <f t="shared" si="32"/>
        <v>1547</v>
      </c>
      <c r="C1548" s="9">
        <v>45635</v>
      </c>
      <c r="D1548" s="4" t="s">
        <v>724</v>
      </c>
      <c r="E1548" s="8"/>
      <c r="F1548" s="3">
        <v>45000</v>
      </c>
      <c r="G1548" s="7">
        <f>IF(Tabla1[[#This Row],[Fecha]]="","",G1547+Tabla1[[#This Row],[ingreso]]-Tabla1[[#This Row],[egreso]])</f>
        <v>1832086.9626999982</v>
      </c>
      <c r="H1548" s="7"/>
      <c r="I1548" s="7"/>
      <c r="J1548" s="4"/>
    </row>
    <row r="1549" spans="1:10" x14ac:dyDescent="0.2">
      <c r="A1549">
        <f>COUNTIF($I$2:I1549,'[1]Detalle Pilotos'!$G$3)</f>
        <v>5</v>
      </c>
      <c r="B1549">
        <f t="shared" si="32"/>
        <v>1548</v>
      </c>
      <c r="C1549" s="9">
        <v>45635</v>
      </c>
      <c r="D1549" s="4" t="s">
        <v>796</v>
      </c>
      <c r="E1549" s="8">
        <v>130962</v>
      </c>
      <c r="F1549" s="3"/>
      <c r="G1549" s="7">
        <f>IF(Tabla1[[#This Row],[Fecha]]="","",G1548+Tabla1[[#This Row],[ingreso]]-Tabla1[[#This Row],[egreso]])</f>
        <v>1701124.9626999982</v>
      </c>
      <c r="H1549" s="7"/>
      <c r="I1549" s="7"/>
      <c r="J1549" s="4"/>
    </row>
    <row r="1550" spans="1:10" x14ac:dyDescent="0.2">
      <c r="A1550">
        <f>COUNTIF($I$2:I1550,'[1]Detalle Pilotos'!$G$3)</f>
        <v>5</v>
      </c>
      <c r="B1550">
        <f t="shared" si="32"/>
        <v>1549</v>
      </c>
      <c r="C1550" s="9">
        <v>45636</v>
      </c>
      <c r="D1550" s="4" t="s">
        <v>762</v>
      </c>
      <c r="E1550" s="8"/>
      <c r="F1550" s="3">
        <v>176000</v>
      </c>
      <c r="G1550" s="7">
        <f>IF(Tabla1[[#This Row],[Fecha]]="","",G1549+Tabla1[[#This Row],[ingreso]]-Tabla1[[#This Row],[egreso]])</f>
        <v>1877124.9626999982</v>
      </c>
      <c r="H1550" s="7"/>
      <c r="I1550" s="7" t="s">
        <v>745</v>
      </c>
      <c r="J1550" s="4"/>
    </row>
    <row r="1551" spans="1:10" x14ac:dyDescent="0.2">
      <c r="A1551">
        <f>COUNTIF($I$2:I1551,'[1]Detalle Pilotos'!$G$3)</f>
        <v>5</v>
      </c>
      <c r="B1551">
        <f t="shared" si="32"/>
        <v>1550</v>
      </c>
      <c r="C1551" s="9">
        <v>45637</v>
      </c>
      <c r="D1551" s="4" t="s">
        <v>755</v>
      </c>
      <c r="E1551" s="8"/>
      <c r="F1551" s="3">
        <v>280000</v>
      </c>
      <c r="G1551" s="7">
        <f>IF(Tabla1[[#This Row],[Fecha]]="","",G1550+Tabla1[[#This Row],[ingreso]]-Tabla1[[#This Row],[egreso]])</f>
        <v>2157124.9626999982</v>
      </c>
      <c r="H1551" s="7"/>
      <c r="I1551" s="7" t="s">
        <v>756</v>
      </c>
      <c r="J1551" s="4"/>
    </row>
    <row r="1552" spans="1:10" x14ac:dyDescent="0.2">
      <c r="A1552">
        <f>COUNTIF($I$2:I1552,'[1]Detalle Pilotos'!$G$3)</f>
        <v>5</v>
      </c>
      <c r="B1552">
        <f t="shared" si="32"/>
        <v>1551</v>
      </c>
      <c r="C1552" s="9">
        <v>45639</v>
      </c>
      <c r="D1552" s="4" t="s">
        <v>797</v>
      </c>
      <c r="E1552" s="8">
        <v>76774</v>
      </c>
      <c r="F1552" s="3"/>
      <c r="G1552" s="7">
        <f>IF(Tabla1[[#This Row],[Fecha]]="","",G1551+Tabla1[[#This Row],[ingreso]]-Tabla1[[#This Row],[egreso]])</f>
        <v>2080350.9626999982</v>
      </c>
      <c r="H1552" s="7"/>
      <c r="I1552" s="7"/>
      <c r="J1552" s="4"/>
    </row>
    <row r="1553" spans="1:10" x14ac:dyDescent="0.2">
      <c r="A1553">
        <f>COUNTIF($I$2:I1553,'[1]Detalle Pilotos'!$G$3)</f>
        <v>5</v>
      </c>
      <c r="B1553">
        <f t="shared" si="32"/>
        <v>1552</v>
      </c>
      <c r="C1553" s="9">
        <v>45642</v>
      </c>
      <c r="D1553" s="4" t="s">
        <v>798</v>
      </c>
      <c r="E1553" s="8">
        <v>10000</v>
      </c>
      <c r="F1553" s="3"/>
      <c r="G1553" s="7">
        <f>IF(Tabla1[[#This Row],[Fecha]]="","",G1552+Tabla1[[#This Row],[ingreso]]-Tabla1[[#This Row],[egreso]])</f>
        <v>2070350.9626999982</v>
      </c>
      <c r="H1553" s="7"/>
      <c r="I1553" s="7"/>
      <c r="J1553" s="4"/>
    </row>
    <row r="1554" spans="1:10" x14ac:dyDescent="0.2">
      <c r="A1554">
        <f>COUNTIF($I$2:I1554,'[1]Detalle Pilotos'!$G$3)</f>
        <v>5</v>
      </c>
      <c r="B1554">
        <f t="shared" si="32"/>
        <v>1553</v>
      </c>
      <c r="C1554" s="9">
        <v>45642</v>
      </c>
      <c r="D1554" s="4" t="s">
        <v>798</v>
      </c>
      <c r="E1554" s="8"/>
      <c r="F1554" s="3">
        <v>10000</v>
      </c>
      <c r="G1554" s="7">
        <f>IF(Tabla1[[#This Row],[Fecha]]="","",G1553+Tabla1[[#This Row],[ingreso]]-Tabla1[[#This Row],[egreso]])</f>
        <v>2080350.9626999982</v>
      </c>
      <c r="H1554" s="7"/>
      <c r="I1554" s="7"/>
      <c r="J1554" s="4"/>
    </row>
    <row r="1555" spans="1:10" x14ac:dyDescent="0.2">
      <c r="A1555">
        <f>COUNTIF($I$2:I1555,'[1]Detalle Pilotos'!$G$3)</f>
        <v>5</v>
      </c>
      <c r="B1555">
        <f t="shared" si="32"/>
        <v>1554</v>
      </c>
      <c r="C1555" s="9">
        <v>45649</v>
      </c>
      <c r="D1555" s="4" t="s">
        <v>186</v>
      </c>
      <c r="E1555" s="8"/>
      <c r="F1555" s="3">
        <v>300000</v>
      </c>
      <c r="G1555" s="7">
        <f>IF(Tabla1[[#This Row],[Fecha]]="","",G1554+Tabla1[[#This Row],[ingreso]]-Tabla1[[#This Row],[egreso]])</f>
        <v>2380350.9626999982</v>
      </c>
      <c r="H1555" s="7"/>
      <c r="I1555" s="7" t="s">
        <v>187</v>
      </c>
      <c r="J1555" s="4"/>
    </row>
    <row r="1556" spans="1:10" x14ac:dyDescent="0.2">
      <c r="A1556">
        <f>COUNTIF($I$2:I1556,'[1]Detalle Pilotos'!$G$3)</f>
        <v>5</v>
      </c>
      <c r="B1556">
        <f t="shared" si="32"/>
        <v>1555</v>
      </c>
      <c r="C1556" s="9">
        <v>46015</v>
      </c>
      <c r="D1556" s="4" t="s">
        <v>799</v>
      </c>
      <c r="E1556" s="8">
        <v>75105</v>
      </c>
      <c r="F1556" s="3"/>
      <c r="G1556" s="7">
        <f>IF(Tabla1[[#This Row],[Fecha]]="","",G1555+Tabla1[[#This Row],[ingreso]]-Tabla1[[#This Row],[egreso]])</f>
        <v>2305245.9626999982</v>
      </c>
      <c r="H1556" s="7"/>
      <c r="I1556" s="7"/>
      <c r="J1556" s="4"/>
    </row>
    <row r="1557" spans="1:10" x14ac:dyDescent="0.2">
      <c r="A1557">
        <f>COUNTIF($I$2:I1557,'[1]Detalle Pilotos'!$G$3)</f>
        <v>5</v>
      </c>
      <c r="B1557">
        <f t="shared" si="32"/>
        <v>1556</v>
      </c>
      <c r="C1557" s="9">
        <v>46015</v>
      </c>
      <c r="D1557" s="4" t="s">
        <v>724</v>
      </c>
      <c r="E1557" s="8"/>
      <c r="F1557" s="3">
        <v>39000</v>
      </c>
      <c r="G1557" s="7">
        <f>IF(Tabla1[[#This Row],[Fecha]]="","",G1556+Tabla1[[#This Row],[ingreso]]-Tabla1[[#This Row],[egreso]])</f>
        <v>2344245.9626999982</v>
      </c>
      <c r="H1557" s="7"/>
      <c r="I1557" s="7"/>
      <c r="J1557" s="4"/>
    </row>
    <row r="1558" spans="1:10" x14ac:dyDescent="0.2">
      <c r="A1558">
        <f>COUNTIF($I$2:I1558,'[1]Detalle Pilotos'!$G$3)</f>
        <v>5</v>
      </c>
      <c r="B1558">
        <f t="shared" si="32"/>
        <v>1557</v>
      </c>
      <c r="C1558" s="9">
        <v>46021</v>
      </c>
      <c r="D1558" s="4" t="s">
        <v>789</v>
      </c>
      <c r="E1558" s="8"/>
      <c r="F1558" s="3">
        <v>200000</v>
      </c>
      <c r="G1558" s="7">
        <f>IF(Tabla1[[#This Row],[Fecha]]="","",G1557+Tabla1[[#This Row],[ingreso]]-Tabla1[[#This Row],[egreso]])</f>
        <v>2544245.9626999982</v>
      </c>
      <c r="H1558" s="7"/>
      <c r="I1558" s="7" t="s">
        <v>790</v>
      </c>
      <c r="J1558" s="4"/>
    </row>
    <row r="1559" spans="1:10" x14ac:dyDescent="0.2">
      <c r="A1559">
        <f>COUNTIF($I$2:I1559,'[1]Detalle Pilotos'!$G$3)</f>
        <v>5</v>
      </c>
      <c r="B1559">
        <f t="shared" si="32"/>
        <v>1558</v>
      </c>
      <c r="C1559" s="9">
        <v>46021</v>
      </c>
      <c r="D1559" s="4" t="s">
        <v>789</v>
      </c>
      <c r="E1559" s="8"/>
      <c r="F1559" s="3">
        <v>100000</v>
      </c>
      <c r="G1559" s="7">
        <f>IF(Tabla1[[#This Row],[Fecha]]="","",G1558+Tabla1[[#This Row],[ingreso]]-Tabla1[[#This Row],[egreso]])</f>
        <v>2644245.9626999982</v>
      </c>
      <c r="H1559" s="7"/>
      <c r="I1559" s="7" t="s">
        <v>790</v>
      </c>
      <c r="J1559" s="4"/>
    </row>
    <row r="1560" spans="1:10" x14ac:dyDescent="0.2">
      <c r="A1560">
        <f>COUNTIF($I$2:I1560,'[1]Detalle Pilotos'!$G$3)</f>
        <v>5</v>
      </c>
      <c r="B1560">
        <f t="shared" si="32"/>
        <v>1559</v>
      </c>
      <c r="C1560" s="9">
        <v>45659</v>
      </c>
      <c r="D1560" s="4" t="s">
        <v>566</v>
      </c>
      <c r="E1560" s="8"/>
      <c r="F1560" s="3">
        <v>5342649</v>
      </c>
      <c r="G1560" s="7">
        <f>IF(Tabla1[[#This Row],[Fecha]]="","",G1559+Tabla1[[#This Row],[ingreso]]-Tabla1[[#This Row],[egreso]])</f>
        <v>7986894.9626999982</v>
      </c>
      <c r="H1560" s="7"/>
      <c r="I1560" s="7"/>
      <c r="J1560" s="4"/>
    </row>
    <row r="1561" spans="1:10" x14ac:dyDescent="0.2">
      <c r="A1561">
        <f>COUNTIF($I$2:I1561,'[1]Detalle Pilotos'!$G$3)</f>
        <v>5</v>
      </c>
      <c r="B1561">
        <f t="shared" si="32"/>
        <v>1560</v>
      </c>
      <c r="C1561" s="9">
        <v>45659</v>
      </c>
      <c r="D1561" s="4" t="s">
        <v>800</v>
      </c>
      <c r="E1561" s="8"/>
      <c r="F1561" s="3">
        <v>435000</v>
      </c>
      <c r="G1561" s="7">
        <f>IF(Tabla1[[#This Row],[Fecha]]="","",G1560+Tabla1[[#This Row],[ingreso]]-Tabla1[[#This Row],[egreso]])</f>
        <v>8421894.9626999982</v>
      </c>
      <c r="H1561" s="7"/>
      <c r="I1561" s="7"/>
      <c r="J1561" s="4"/>
    </row>
    <row r="1562" spans="1:10" x14ac:dyDescent="0.2">
      <c r="A1562">
        <f>COUNTIF($I$2:I1562,'[1]Detalle Pilotos'!$G$3)</f>
        <v>5</v>
      </c>
      <c r="B1562">
        <f t="shared" si="32"/>
        <v>1561</v>
      </c>
      <c r="C1562" s="9">
        <v>45659</v>
      </c>
      <c r="D1562" s="4" t="s">
        <v>801</v>
      </c>
      <c r="E1562" s="8">
        <v>486674</v>
      </c>
      <c r="F1562" s="3"/>
      <c r="G1562" s="7">
        <f>IF(Tabla1[[#This Row],[Fecha]]="","",G1561+Tabla1[[#This Row],[ingreso]]-Tabla1[[#This Row],[egreso]])</f>
        <v>7935220.9626999982</v>
      </c>
      <c r="H1562" s="7"/>
      <c r="I1562" s="7"/>
      <c r="J1562" s="4"/>
    </row>
    <row r="1563" spans="1:10" x14ac:dyDescent="0.2">
      <c r="A1563">
        <f>COUNTIF($I$2:I1563,'[1]Detalle Pilotos'!$G$3)</f>
        <v>5</v>
      </c>
      <c r="B1563">
        <f t="shared" si="32"/>
        <v>1562</v>
      </c>
      <c r="C1563" s="9">
        <v>45659</v>
      </c>
      <c r="D1563" s="4" t="s">
        <v>800</v>
      </c>
      <c r="E1563" s="8">
        <v>435000</v>
      </c>
      <c r="F1563" s="3"/>
      <c r="G1563" s="7">
        <f>IF(Tabla1[[#This Row],[Fecha]]="","",G1562+Tabla1[[#This Row],[ingreso]]-Tabla1[[#This Row],[egreso]])</f>
        <v>7500220.9626999982</v>
      </c>
      <c r="H1563" s="7"/>
      <c r="I1563" s="7"/>
      <c r="J1563" s="4"/>
    </row>
    <row r="1564" spans="1:10" x14ac:dyDescent="0.2">
      <c r="A1564">
        <f>COUNTIF($I$2:I1564,'[1]Detalle Pilotos'!$G$3)</f>
        <v>5</v>
      </c>
      <c r="B1564">
        <f t="shared" si="32"/>
        <v>1563</v>
      </c>
      <c r="C1564" s="9">
        <v>45660</v>
      </c>
      <c r="D1564" s="4" t="s">
        <v>782</v>
      </c>
      <c r="E1564" s="8"/>
      <c r="F1564" s="3">
        <v>348774</v>
      </c>
      <c r="G1564" s="7">
        <f>IF(Tabla1[[#This Row],[Fecha]]="","",G1563+Tabla1[[#This Row],[ingreso]]-Tabla1[[#This Row],[egreso]])</f>
        <v>7848994.9626999982</v>
      </c>
      <c r="H1564" s="7"/>
      <c r="I1564" s="7" t="s">
        <v>783</v>
      </c>
      <c r="J1564" s="4"/>
    </row>
    <row r="1565" spans="1:10" x14ac:dyDescent="0.2">
      <c r="A1565">
        <f>COUNTIF($I$2:I1565,'[1]Detalle Pilotos'!$G$3)</f>
        <v>5</v>
      </c>
      <c r="B1565">
        <f t="shared" si="32"/>
        <v>1564</v>
      </c>
      <c r="C1565" s="9">
        <v>45663</v>
      </c>
      <c r="D1565" s="4" t="s">
        <v>802</v>
      </c>
      <c r="E1565" s="8"/>
      <c r="F1565" s="3">
        <v>300000</v>
      </c>
      <c r="G1565" s="7">
        <f>IF(Tabla1[[#This Row],[Fecha]]="","",G1564+Tabla1[[#This Row],[ingreso]]-Tabla1[[#This Row],[egreso]])</f>
        <v>8148994.9626999982</v>
      </c>
      <c r="H1565" s="7"/>
      <c r="I1565" s="7" t="s">
        <v>803</v>
      </c>
      <c r="J1565" s="4"/>
    </row>
    <row r="1566" spans="1:10" x14ac:dyDescent="0.2">
      <c r="A1566">
        <f>COUNTIF($I$2:I1566,'[1]Detalle Pilotos'!$G$3)</f>
        <v>5</v>
      </c>
      <c r="B1566">
        <f t="shared" si="32"/>
        <v>1565</v>
      </c>
      <c r="C1566" s="9">
        <v>45663</v>
      </c>
      <c r="D1566" s="4" t="s">
        <v>804</v>
      </c>
      <c r="E1566" s="8">
        <v>250000</v>
      </c>
      <c r="F1566" s="3"/>
      <c r="G1566" s="7">
        <f>IF(Tabla1[[#This Row],[Fecha]]="","",G1565+Tabla1[[#This Row],[ingreso]]-Tabla1[[#This Row],[egreso]])</f>
        <v>7898994.9626999982</v>
      </c>
      <c r="H1566" s="7"/>
      <c r="I1566" s="7"/>
      <c r="J1566" s="4"/>
    </row>
    <row r="1567" spans="1:10" x14ac:dyDescent="0.2">
      <c r="A1567">
        <f>COUNTIF($I$2:I1567,'[1]Detalle Pilotos'!$G$3)</f>
        <v>5</v>
      </c>
      <c r="B1567">
        <f t="shared" si="32"/>
        <v>1566</v>
      </c>
      <c r="C1567" s="9">
        <v>45663</v>
      </c>
      <c r="D1567" s="4" t="s">
        <v>805</v>
      </c>
      <c r="E1567" s="8">
        <v>130683</v>
      </c>
      <c r="F1567" s="3"/>
      <c r="G1567" s="7">
        <f>IF(Tabla1[[#This Row],[Fecha]]="","",G1566+Tabla1[[#This Row],[ingreso]]-Tabla1[[#This Row],[egreso]])</f>
        <v>7768311.9626999982</v>
      </c>
      <c r="H1567" s="7"/>
      <c r="I1567" s="7"/>
      <c r="J1567" s="4"/>
    </row>
    <row r="1568" spans="1:10" x14ac:dyDescent="0.2">
      <c r="A1568">
        <f>COUNTIF($I$2:I1568,'[1]Detalle Pilotos'!$G$3)</f>
        <v>5</v>
      </c>
      <c r="B1568">
        <f t="shared" si="32"/>
        <v>1567</v>
      </c>
      <c r="C1568" s="9">
        <v>45664</v>
      </c>
      <c r="D1568" s="4" t="s">
        <v>806</v>
      </c>
      <c r="E1568" s="8">
        <v>5000000</v>
      </c>
      <c r="F1568" s="3"/>
      <c r="G1568" s="7">
        <f>IF(Tabla1[[#This Row],[Fecha]]="","",G1567+Tabla1[[#This Row],[ingreso]]-Tabla1[[#This Row],[egreso]])</f>
        <v>2768311.9626999982</v>
      </c>
      <c r="H1568" s="7"/>
      <c r="I1568" s="7"/>
      <c r="J1568" s="4"/>
    </row>
    <row r="1569" spans="1:10" x14ac:dyDescent="0.2">
      <c r="A1569">
        <f>COUNTIF($I$2:I1569,'[1]Detalle Pilotos'!$G$3)</f>
        <v>5</v>
      </c>
      <c r="B1569">
        <f t="shared" si="32"/>
        <v>1568</v>
      </c>
      <c r="C1569" s="9">
        <v>45666</v>
      </c>
      <c r="D1569" s="4" t="s">
        <v>755</v>
      </c>
      <c r="E1569" s="8"/>
      <c r="F1569" s="3">
        <v>10000</v>
      </c>
      <c r="G1569" s="7">
        <f>IF(Tabla1[[#This Row],[Fecha]]="","",G1568+Tabla1[[#This Row],[ingreso]]-Tabla1[[#This Row],[egreso]])</f>
        <v>2778311.9626999982</v>
      </c>
      <c r="H1569" s="7"/>
      <c r="I1569" s="7"/>
      <c r="J1569" s="4"/>
    </row>
    <row r="1570" spans="1:10" x14ac:dyDescent="0.2">
      <c r="A1570">
        <f>COUNTIF($I$2:I1570,'[1]Detalle Pilotos'!$G$3)</f>
        <v>5</v>
      </c>
      <c r="B1570">
        <f t="shared" si="32"/>
        <v>1569</v>
      </c>
      <c r="C1570" s="9">
        <v>45666</v>
      </c>
      <c r="D1570" s="4" t="s">
        <v>804</v>
      </c>
      <c r="E1570" s="8">
        <v>10000</v>
      </c>
      <c r="F1570" s="3"/>
      <c r="G1570" s="7">
        <f>IF(Tabla1[[#This Row],[Fecha]]="","",G1569+Tabla1[[#This Row],[ingreso]]-Tabla1[[#This Row],[egreso]])</f>
        <v>2768311.9626999982</v>
      </c>
      <c r="H1570" s="7"/>
      <c r="I1570" s="7"/>
      <c r="J1570" s="4"/>
    </row>
    <row r="1571" spans="1:10" x14ac:dyDescent="0.2">
      <c r="A1571">
        <f>COUNTIF($I$2:I1571,'[1]Detalle Pilotos'!$G$3)</f>
        <v>5</v>
      </c>
      <c r="B1571">
        <f t="shared" si="32"/>
        <v>1570</v>
      </c>
      <c r="C1571" s="9">
        <v>45667</v>
      </c>
      <c r="D1571" s="4" t="s">
        <v>807</v>
      </c>
      <c r="E1571" s="8">
        <v>197645</v>
      </c>
      <c r="F1571" s="3"/>
      <c r="G1571" s="7">
        <f>IF(Tabla1[[#This Row],[Fecha]]="","",G1570+Tabla1[[#This Row],[ingreso]]-Tabla1[[#This Row],[egreso]])</f>
        <v>2570666.9626999982</v>
      </c>
      <c r="H1571" s="7"/>
      <c r="I1571" s="7"/>
      <c r="J1571" s="4"/>
    </row>
    <row r="1572" spans="1:10" x14ac:dyDescent="0.2">
      <c r="A1572">
        <f>COUNTIF($I$2:I1572,'[1]Detalle Pilotos'!$G$3)</f>
        <v>5</v>
      </c>
      <c r="B1572">
        <f t="shared" si="32"/>
        <v>1571</v>
      </c>
      <c r="C1572" s="9">
        <v>45667</v>
      </c>
      <c r="D1572" s="4" t="s">
        <v>808</v>
      </c>
      <c r="E1572" s="8">
        <v>215390</v>
      </c>
      <c r="F1572" s="3"/>
      <c r="G1572" s="7">
        <f>IF(Tabla1[[#This Row],[Fecha]]="","",G1571+Tabla1[[#This Row],[ingreso]]-Tabla1[[#This Row],[egreso]])</f>
        <v>2355276.9626999982</v>
      </c>
      <c r="H1572" s="7" t="s">
        <v>34</v>
      </c>
      <c r="I1572" s="7"/>
      <c r="J1572" s="4"/>
    </row>
    <row r="1573" spans="1:10" x14ac:dyDescent="0.2">
      <c r="A1573">
        <f>COUNTIF($I$2:I1573,'[1]Detalle Pilotos'!$G$3)</f>
        <v>5</v>
      </c>
      <c r="B1573">
        <f t="shared" si="32"/>
        <v>1572</v>
      </c>
      <c r="C1573" s="9">
        <v>45667</v>
      </c>
      <c r="D1573" s="4" t="s">
        <v>724</v>
      </c>
      <c r="E1573" s="8"/>
      <c r="F1573" s="3">
        <v>435000</v>
      </c>
      <c r="G1573" s="7">
        <f>IF(Tabla1[[#This Row],[Fecha]]="","",G1572+Tabla1[[#This Row],[ingreso]]-Tabla1[[#This Row],[egreso]])</f>
        <v>2790276.9626999982</v>
      </c>
      <c r="H1573" s="7"/>
      <c r="I1573" s="7"/>
      <c r="J1573" s="4"/>
    </row>
    <row r="1574" spans="1:10" x14ac:dyDescent="0.2">
      <c r="A1574">
        <f>COUNTIF($I$2:I1574,'[1]Detalle Pilotos'!$G$3)</f>
        <v>5</v>
      </c>
      <c r="B1574">
        <f t="shared" si="32"/>
        <v>1573</v>
      </c>
      <c r="C1574" s="9">
        <v>45671</v>
      </c>
      <c r="D1574" s="4" t="s">
        <v>809</v>
      </c>
      <c r="E1574" s="8">
        <v>127560</v>
      </c>
      <c r="F1574" s="3"/>
      <c r="G1574" s="7">
        <f>IF(Tabla1[[#This Row],[Fecha]]="","",G1573+Tabla1[[#This Row],[ingreso]]-Tabla1[[#This Row],[egreso]])</f>
        <v>2662716.9626999982</v>
      </c>
      <c r="H1574" s="7" t="s">
        <v>34</v>
      </c>
      <c r="I1574" s="7"/>
      <c r="J1574" s="4"/>
    </row>
    <row r="1575" spans="1:10" x14ac:dyDescent="0.2">
      <c r="A1575">
        <f>COUNTIF($I$2:I1575,'[1]Detalle Pilotos'!$G$3)</f>
        <v>5</v>
      </c>
      <c r="B1575">
        <f t="shared" si="32"/>
        <v>1574</v>
      </c>
      <c r="C1575" s="9">
        <v>45671</v>
      </c>
      <c r="D1575" s="4" t="s">
        <v>186</v>
      </c>
      <c r="E1575" s="8"/>
      <c r="F1575" s="3">
        <v>250000</v>
      </c>
      <c r="G1575" s="7">
        <f>IF(Tabla1[[#This Row],[Fecha]]="","",G1574+Tabla1[[#This Row],[ingreso]]-Tabla1[[#This Row],[egreso]])</f>
        <v>2912716.9626999982</v>
      </c>
      <c r="H1575" s="7"/>
      <c r="I1575" s="7" t="s">
        <v>187</v>
      </c>
      <c r="J1575" s="4"/>
    </row>
    <row r="1576" spans="1:10" x14ac:dyDescent="0.2">
      <c r="A1576">
        <f>COUNTIF($I$2:I1576,'[1]Detalle Pilotos'!$G$3)</f>
        <v>5</v>
      </c>
      <c r="B1576">
        <f t="shared" si="32"/>
        <v>1575</v>
      </c>
      <c r="C1576" s="9">
        <v>45671</v>
      </c>
      <c r="D1576" s="4" t="s">
        <v>810</v>
      </c>
      <c r="E1576" s="8">
        <v>7090</v>
      </c>
      <c r="F1576" s="3"/>
      <c r="G1576" s="7">
        <f>IF(Tabla1[[#This Row],[Fecha]]="","",G1575+Tabla1[[#This Row],[ingreso]]-Tabla1[[#This Row],[egreso]])</f>
        <v>2905626.9626999982</v>
      </c>
      <c r="H1576" s="7"/>
      <c r="I1576" s="7"/>
      <c r="J1576" s="4"/>
    </row>
    <row r="1577" spans="1:10" x14ac:dyDescent="0.2">
      <c r="A1577">
        <f>COUNTIF($I$2:I1577,'[1]Detalle Pilotos'!$G$3)</f>
        <v>5</v>
      </c>
      <c r="B1577">
        <f t="shared" si="32"/>
        <v>1576</v>
      </c>
      <c r="C1577" s="9">
        <v>45671</v>
      </c>
      <c r="D1577" s="4" t="s">
        <v>662</v>
      </c>
      <c r="E1577" s="8"/>
      <c r="F1577" s="3">
        <v>656867</v>
      </c>
      <c r="G1577" s="7">
        <f>IF(Tabla1[[#This Row],[Fecha]]="","",G1576+Tabla1[[#This Row],[ingreso]]-Tabla1[[#This Row],[egreso]])</f>
        <v>3562493.9626999982</v>
      </c>
      <c r="H1577" s="7"/>
      <c r="I1577" s="7" t="s">
        <v>663</v>
      </c>
      <c r="J1577" s="4"/>
    </row>
    <row r="1578" spans="1:10" x14ac:dyDescent="0.2">
      <c r="A1578">
        <f>COUNTIF($I$2:I1578,'[1]Detalle Pilotos'!$G$3)</f>
        <v>5</v>
      </c>
      <c r="B1578">
        <f t="shared" si="32"/>
        <v>1577</v>
      </c>
      <c r="C1578" s="9">
        <v>45674</v>
      </c>
      <c r="D1578" s="4" t="s">
        <v>811</v>
      </c>
      <c r="E1578" s="8">
        <v>110000</v>
      </c>
      <c r="F1578" s="3"/>
      <c r="G1578" s="7">
        <f>IF(Tabla1[[#This Row],[Fecha]]="","",G1577+Tabla1[[#This Row],[ingreso]]-Tabla1[[#This Row],[egreso]])</f>
        <v>3452493.9626999982</v>
      </c>
      <c r="H1578" s="7" t="s">
        <v>34</v>
      </c>
      <c r="I1578" s="7"/>
      <c r="J1578" s="4"/>
    </row>
    <row r="1579" spans="1:10" x14ac:dyDescent="0.2">
      <c r="A1579">
        <f>COUNTIF($I$2:I1579,'[1]Detalle Pilotos'!$G$3)</f>
        <v>5</v>
      </c>
      <c r="B1579">
        <f t="shared" si="32"/>
        <v>1578</v>
      </c>
      <c r="C1579" s="9">
        <v>45677</v>
      </c>
      <c r="D1579" s="4" t="s">
        <v>812</v>
      </c>
      <c r="E1579" s="8">
        <v>50000</v>
      </c>
      <c r="F1579" s="3"/>
      <c r="G1579" s="7">
        <f>IF(Tabla1[[#This Row],[Fecha]]="","",G1578+Tabla1[[#This Row],[ingreso]]-Tabla1[[#This Row],[egreso]])</f>
        <v>3402493.9626999982</v>
      </c>
      <c r="H1579" s="7" t="s">
        <v>34</v>
      </c>
      <c r="I1579" s="7"/>
      <c r="J1579" s="4"/>
    </row>
    <row r="1580" spans="1:10" x14ac:dyDescent="0.2">
      <c r="A1580">
        <f>COUNTIF($I$2:I1580,'[1]Detalle Pilotos'!$G$3)</f>
        <v>5</v>
      </c>
      <c r="B1580">
        <f t="shared" si="32"/>
        <v>1579</v>
      </c>
      <c r="C1580" s="9">
        <v>45678</v>
      </c>
      <c r="D1580" s="4" t="s">
        <v>813</v>
      </c>
      <c r="E1580" s="8">
        <v>145203</v>
      </c>
      <c r="F1580" s="3"/>
      <c r="G1580" s="7">
        <f>IF(Tabla1[[#This Row],[Fecha]]="","",G1579+Tabla1[[#This Row],[ingreso]]-Tabla1[[#This Row],[egreso]])</f>
        <v>3257290.9626999982</v>
      </c>
      <c r="H1580" s="7"/>
      <c r="I1580" s="7"/>
      <c r="J1580" s="4"/>
    </row>
    <row r="1581" spans="1:10" x14ac:dyDescent="0.2">
      <c r="A1581">
        <f>COUNTIF($I$2:I1581,'[1]Detalle Pilotos'!$G$3)</f>
        <v>5</v>
      </c>
      <c r="B1581">
        <f t="shared" si="32"/>
        <v>1580</v>
      </c>
      <c r="C1581" s="9">
        <v>45679</v>
      </c>
      <c r="D1581" s="4" t="s">
        <v>814</v>
      </c>
      <c r="E1581" s="8">
        <v>700000</v>
      </c>
      <c r="F1581" s="3"/>
      <c r="G1581" s="7">
        <f>IF(Tabla1[[#This Row],[Fecha]]="","",G1580+Tabla1[[#This Row],[ingreso]]-Tabla1[[#This Row],[egreso]])</f>
        <v>2557290.9626999982</v>
      </c>
      <c r="H1581" s="7" t="s">
        <v>34</v>
      </c>
      <c r="I1581" s="7"/>
      <c r="J1581" s="4"/>
    </row>
    <row r="1582" spans="1:10" x14ac:dyDescent="0.2">
      <c r="A1582">
        <f>COUNTIF($I$2:I1582,'[1]Detalle Pilotos'!$G$3)</f>
        <v>5</v>
      </c>
      <c r="B1582">
        <f t="shared" si="32"/>
        <v>1581</v>
      </c>
      <c r="C1582" s="9">
        <v>45680</v>
      </c>
      <c r="D1582" s="4" t="s">
        <v>765</v>
      </c>
      <c r="E1582" s="8"/>
      <c r="F1582" s="3">
        <v>131750</v>
      </c>
      <c r="G1582" s="7">
        <f>IF(Tabla1[[#This Row],[Fecha]]="","",G1581+Tabla1[[#This Row],[ingreso]]-Tabla1[[#This Row],[egreso]])</f>
        <v>2689040.9626999982</v>
      </c>
      <c r="H1582" s="7"/>
      <c r="I1582" s="7" t="s">
        <v>766</v>
      </c>
      <c r="J1582" s="4"/>
    </row>
    <row r="1583" spans="1:10" x14ac:dyDescent="0.2">
      <c r="A1583">
        <f>COUNTIF($I$2:I1583,'[1]Detalle Pilotos'!$G$3)</f>
        <v>5</v>
      </c>
      <c r="B1583">
        <f t="shared" si="32"/>
        <v>1582</v>
      </c>
      <c r="C1583" s="9">
        <v>45681</v>
      </c>
      <c r="D1583" s="4" t="s">
        <v>815</v>
      </c>
      <c r="E1583" s="8">
        <v>606900</v>
      </c>
      <c r="F1583" s="3"/>
      <c r="G1583" s="7">
        <f>IF(Tabla1[[#This Row],[Fecha]]="","",G1582+Tabla1[[#This Row],[ingreso]]-Tabla1[[#This Row],[egreso]])</f>
        <v>2082140.9626999982</v>
      </c>
      <c r="H1583" s="7" t="s">
        <v>34</v>
      </c>
      <c r="I1583" s="7"/>
      <c r="J1583" s="4"/>
    </row>
    <row r="1584" spans="1:10" x14ac:dyDescent="0.2">
      <c r="A1584">
        <f>COUNTIF($I$2:I1584,'[1]Detalle Pilotos'!$G$3)</f>
        <v>5</v>
      </c>
      <c r="B1584">
        <f t="shared" si="32"/>
        <v>1583</v>
      </c>
      <c r="C1584" s="9">
        <v>45684</v>
      </c>
      <c r="D1584" s="4" t="s">
        <v>816</v>
      </c>
      <c r="E1584" s="8">
        <v>280000</v>
      </c>
      <c r="F1584" s="3"/>
      <c r="G1584" s="7">
        <f>IF(Tabla1[[#This Row],[Fecha]]="","",G1583+Tabla1[[#This Row],[ingreso]]-Tabla1[[#This Row],[egreso]])</f>
        <v>1802140.9626999982</v>
      </c>
      <c r="H1584" s="7" t="s">
        <v>34</v>
      </c>
      <c r="I1584" s="7"/>
      <c r="J1584" s="4"/>
    </row>
    <row r="1585" spans="1:10" x14ac:dyDescent="0.2">
      <c r="A1585">
        <f>COUNTIF($I$2:I1585,'[1]Detalle Pilotos'!$G$3)</f>
        <v>5</v>
      </c>
      <c r="B1585">
        <f t="shared" si="32"/>
        <v>1584</v>
      </c>
      <c r="C1585" s="9">
        <v>45684</v>
      </c>
      <c r="D1585" s="4" t="s">
        <v>782</v>
      </c>
      <c r="E1585" s="8"/>
      <c r="F1585" s="3">
        <v>870831</v>
      </c>
      <c r="G1585" s="7">
        <f>IF(Tabla1[[#This Row],[Fecha]]="","",G1584+Tabla1[[#This Row],[ingreso]]-Tabla1[[#This Row],[egreso]])</f>
        <v>2672971.9626999982</v>
      </c>
      <c r="H1585" s="7"/>
      <c r="I1585" s="7" t="s">
        <v>783</v>
      </c>
      <c r="J1585" s="4"/>
    </row>
    <row r="1586" spans="1:10" x14ac:dyDescent="0.2">
      <c r="A1586">
        <f>COUNTIF($I$2:I1586,'[1]Detalle Pilotos'!$G$3)</f>
        <v>5</v>
      </c>
      <c r="B1586">
        <f t="shared" si="32"/>
        <v>1585</v>
      </c>
      <c r="C1586" s="9">
        <v>45684</v>
      </c>
      <c r="D1586" s="4" t="s">
        <v>817</v>
      </c>
      <c r="E1586" s="8">
        <v>150423</v>
      </c>
      <c r="F1586" s="3"/>
      <c r="G1586" s="7">
        <f>IF(Tabla1[[#This Row],[Fecha]]="","",G1585+Tabla1[[#This Row],[ingreso]]-Tabla1[[#This Row],[egreso]])</f>
        <v>2522548.9626999982</v>
      </c>
      <c r="H1586" s="7"/>
      <c r="I1586" s="7"/>
      <c r="J1586" s="4"/>
    </row>
    <row r="1587" spans="1:10" x14ac:dyDescent="0.2">
      <c r="A1587">
        <f>COUNTIF($I$2:I1587,'[1]Detalle Pilotos'!$G$3)</f>
        <v>5</v>
      </c>
      <c r="B1587">
        <f t="shared" si="32"/>
        <v>1586</v>
      </c>
      <c r="C1587" s="9">
        <v>45688</v>
      </c>
      <c r="D1587" s="4" t="s">
        <v>818</v>
      </c>
      <c r="E1587" s="8">
        <v>90428</v>
      </c>
      <c r="F1587" s="3"/>
      <c r="G1587" s="7">
        <f>IF(Tabla1[[#This Row],[Fecha]]="","",G1586+Tabla1[[#This Row],[ingreso]]-Tabla1[[#This Row],[egreso]])</f>
        <v>2432120.9626999982</v>
      </c>
      <c r="H1587" s="7"/>
      <c r="I1587" s="7"/>
      <c r="J1587" s="4"/>
    </row>
    <row r="1588" spans="1:10" x14ac:dyDescent="0.2">
      <c r="A1588">
        <f>COUNTIF($I$2:I1588,'[1]Detalle Pilotos'!$G$3)</f>
        <v>5</v>
      </c>
      <c r="B1588">
        <f t="shared" si="32"/>
        <v>1587</v>
      </c>
      <c r="C1588" s="9">
        <v>45691</v>
      </c>
      <c r="D1588" s="4" t="s">
        <v>819</v>
      </c>
      <c r="E1588" s="8">
        <v>486203</v>
      </c>
      <c r="F1588" s="3"/>
      <c r="G1588" s="7">
        <f>IF(Tabla1[[#This Row],[Fecha]]="","",G1587+Tabla1[[#This Row],[ingreso]]-Tabla1[[#This Row],[egreso]])</f>
        <v>1945917.9626999982</v>
      </c>
      <c r="H1588" s="7"/>
      <c r="I1588" s="7"/>
      <c r="J1588" s="4"/>
    </row>
    <row r="1589" spans="1:10" x14ac:dyDescent="0.2">
      <c r="A1589">
        <f>COUNTIF($I$2:I1589,'[1]Detalle Pilotos'!$G$3)</f>
        <v>5</v>
      </c>
      <c r="B1589">
        <f t="shared" si="32"/>
        <v>1588</v>
      </c>
      <c r="C1589" s="9">
        <v>45691</v>
      </c>
      <c r="D1589" s="4" t="s">
        <v>820</v>
      </c>
      <c r="E1589" s="8"/>
      <c r="F1589" s="3">
        <v>294500</v>
      </c>
      <c r="G1589" s="7">
        <f>IF(Tabla1[[#This Row],[Fecha]]="","",G1588+Tabla1[[#This Row],[ingreso]]-Tabla1[[#This Row],[egreso]])</f>
        <v>2240417.9626999982</v>
      </c>
      <c r="H1589" s="7"/>
      <c r="I1589" s="7" t="s">
        <v>648</v>
      </c>
      <c r="J1589" s="4"/>
    </row>
    <row r="1590" spans="1:10" x14ac:dyDescent="0.2">
      <c r="A1590">
        <f>COUNTIF($I$2:I1590,'[1]Detalle Pilotos'!$G$3)</f>
        <v>5</v>
      </c>
      <c r="B1590">
        <f t="shared" si="32"/>
        <v>1589</v>
      </c>
      <c r="C1590" s="9">
        <v>45691</v>
      </c>
      <c r="D1590" s="4" t="s">
        <v>821</v>
      </c>
      <c r="E1590" s="8"/>
      <c r="F1590" s="3">
        <f>500000-F1589</f>
        <v>205500</v>
      </c>
      <c r="G1590" s="7">
        <f>IF(Tabla1[[#This Row],[Fecha]]="","",G1589+Tabla1[[#This Row],[ingreso]]-Tabla1[[#This Row],[egreso]])</f>
        <v>2445917.9626999982</v>
      </c>
      <c r="H1590" s="7"/>
      <c r="I1590" s="7"/>
      <c r="J1590" s="4"/>
    </row>
    <row r="1591" spans="1:10" x14ac:dyDescent="0.2">
      <c r="A1591">
        <f>COUNTIF($I$2:I1591,'[1]Detalle Pilotos'!$G$3)</f>
        <v>5</v>
      </c>
      <c r="B1591">
        <f t="shared" si="32"/>
        <v>1590</v>
      </c>
      <c r="C1591" s="9">
        <v>45691</v>
      </c>
      <c r="D1591" s="4" t="s">
        <v>802</v>
      </c>
      <c r="E1591" s="8"/>
      <c r="F1591" s="3">
        <v>1622378</v>
      </c>
      <c r="G1591" s="7">
        <f>IF(Tabla1[[#This Row],[Fecha]]="","",G1590+Tabla1[[#This Row],[ingreso]]-Tabla1[[#This Row],[egreso]])</f>
        <v>4068295.9626999982</v>
      </c>
      <c r="H1591" s="7"/>
      <c r="I1591" s="7" t="s">
        <v>803</v>
      </c>
      <c r="J1591" s="4"/>
    </row>
    <row r="1592" spans="1:10" x14ac:dyDescent="0.2">
      <c r="A1592">
        <f>COUNTIF($I$2:I1592,'[1]Detalle Pilotos'!$G$3)</f>
        <v>5</v>
      </c>
      <c r="B1592">
        <f t="shared" si="32"/>
        <v>1591</v>
      </c>
      <c r="C1592" s="9">
        <v>45694</v>
      </c>
      <c r="D1592" s="4" t="s">
        <v>765</v>
      </c>
      <c r="E1592" s="8"/>
      <c r="F1592" s="3">
        <v>131750</v>
      </c>
      <c r="G1592" s="7">
        <f>IF(Tabla1[[#This Row],[Fecha]]="","",G1591+Tabla1[[#This Row],[ingreso]]-Tabla1[[#This Row],[egreso]])</f>
        <v>4200045.9626999982</v>
      </c>
      <c r="H1592" s="7"/>
      <c r="I1592" s="7" t="s">
        <v>766</v>
      </c>
      <c r="J1592" s="4"/>
    </row>
    <row r="1593" spans="1:10" x14ac:dyDescent="0.2">
      <c r="A1593">
        <f>COUNTIF($I$2:I1593,'[1]Detalle Pilotos'!$G$3)</f>
        <v>5</v>
      </c>
      <c r="B1593">
        <f t="shared" si="32"/>
        <v>1592</v>
      </c>
      <c r="C1593" s="9">
        <v>45698</v>
      </c>
      <c r="D1593" s="4" t="s">
        <v>724</v>
      </c>
      <c r="E1593" s="8"/>
      <c r="F1593" s="3">
        <v>96000</v>
      </c>
      <c r="G1593" s="7">
        <f>IF(Tabla1[[#This Row],[Fecha]]="","",G1592+Tabla1[[#This Row],[ingreso]]-Tabla1[[#This Row],[egreso]])</f>
        <v>4296045.9626999982</v>
      </c>
      <c r="H1593" s="7"/>
      <c r="I1593" s="7"/>
      <c r="J1593" s="4"/>
    </row>
    <row r="1594" spans="1:10" x14ac:dyDescent="0.2">
      <c r="A1594">
        <f>COUNTIF($I$2:I1594,'[1]Detalle Pilotos'!$G$3)</f>
        <v>5</v>
      </c>
      <c r="B1594">
        <f t="shared" si="32"/>
        <v>1593</v>
      </c>
      <c r="C1594" s="9">
        <v>45698</v>
      </c>
      <c r="D1594" s="4" t="s">
        <v>806</v>
      </c>
      <c r="E1594" s="8">
        <v>300000</v>
      </c>
      <c r="F1594" s="3"/>
      <c r="G1594" s="7">
        <f>IF(Tabla1[[#This Row],[Fecha]]="","",G1593+Tabla1[[#This Row],[ingreso]]-Tabla1[[#This Row],[egreso]])</f>
        <v>3996045.9626999982</v>
      </c>
      <c r="H1594" s="7"/>
      <c r="I1594" s="7"/>
      <c r="J1594" s="4"/>
    </row>
    <row r="1595" spans="1:10" x14ac:dyDescent="0.2">
      <c r="A1595">
        <f>COUNTIF($I$2:I1595,'[1]Detalle Pilotos'!$G$3)</f>
        <v>5</v>
      </c>
      <c r="B1595">
        <f t="shared" si="32"/>
        <v>1594</v>
      </c>
      <c r="C1595" s="9">
        <v>45699</v>
      </c>
      <c r="D1595" s="4" t="s">
        <v>166</v>
      </c>
      <c r="E1595" s="8"/>
      <c r="F1595" s="3">
        <v>690365</v>
      </c>
      <c r="G1595" s="7">
        <f>IF(Tabla1[[#This Row],[Fecha]]="","",G1594+Tabla1[[#This Row],[ingreso]]-Tabla1[[#This Row],[egreso]])</f>
        <v>4686410.9626999982</v>
      </c>
      <c r="H1595" s="7"/>
      <c r="I1595" s="7" t="s">
        <v>167</v>
      </c>
      <c r="J1595" s="4"/>
    </row>
    <row r="1596" spans="1:10" x14ac:dyDescent="0.2">
      <c r="A1596">
        <f>COUNTIF($I$2:I1596,'[1]Detalle Pilotos'!$G$3)</f>
        <v>5</v>
      </c>
      <c r="B1596">
        <f t="shared" si="32"/>
        <v>1595</v>
      </c>
      <c r="C1596" s="9">
        <v>45700</v>
      </c>
      <c r="D1596" s="4" t="s">
        <v>822</v>
      </c>
      <c r="E1596" s="8">
        <v>2824089</v>
      </c>
      <c r="F1596" s="3"/>
      <c r="G1596" s="7">
        <f>IF(Tabla1[[#This Row],[Fecha]]="","",G1595+Tabla1[[#This Row],[ingreso]]-Tabla1[[#This Row],[egreso]])</f>
        <v>1862321.9626999982</v>
      </c>
      <c r="H1596" s="7" t="s">
        <v>34</v>
      </c>
      <c r="I1596" s="7"/>
      <c r="J1596" s="4"/>
    </row>
    <row r="1597" spans="1:10" x14ac:dyDescent="0.2">
      <c r="A1597">
        <f>COUNTIF($I$2:I1597,'[1]Detalle Pilotos'!$G$3)</f>
        <v>5</v>
      </c>
      <c r="B1597">
        <f t="shared" si="32"/>
        <v>1596</v>
      </c>
      <c r="C1597" s="9">
        <v>45701</v>
      </c>
      <c r="D1597" s="4" t="s">
        <v>823</v>
      </c>
      <c r="E1597" s="8">
        <v>154771</v>
      </c>
      <c r="F1597" s="3"/>
      <c r="G1597" s="7">
        <f>IF(Tabla1[[#This Row],[Fecha]]="","",G1596+Tabla1[[#This Row],[ingreso]]-Tabla1[[#This Row],[egreso]])</f>
        <v>1707550.9626999982</v>
      </c>
      <c r="H1597" s="7"/>
      <c r="I1597" s="7"/>
      <c r="J1597" s="4"/>
    </row>
    <row r="1598" spans="1:10" x14ac:dyDescent="0.2">
      <c r="A1598">
        <f>COUNTIF($I$2:I1598,'[1]Detalle Pilotos'!$G$3)</f>
        <v>5</v>
      </c>
      <c r="B1598">
        <f t="shared" si="32"/>
        <v>1597</v>
      </c>
      <c r="C1598" s="9">
        <v>45701</v>
      </c>
      <c r="D1598" s="4" t="s">
        <v>824</v>
      </c>
      <c r="E1598" s="8">
        <v>133555</v>
      </c>
      <c r="F1598" s="3"/>
      <c r="G1598" s="7">
        <f>IF(Tabla1[[#This Row],[Fecha]]="","",G1597+Tabla1[[#This Row],[ingreso]]-Tabla1[[#This Row],[egreso]])</f>
        <v>1573995.9626999982</v>
      </c>
      <c r="H1598" s="7"/>
      <c r="I1598" s="7"/>
      <c r="J1598" s="4"/>
    </row>
    <row r="1599" spans="1:10" x14ac:dyDescent="0.2">
      <c r="A1599">
        <f>COUNTIF($I$2:I1599,'[1]Detalle Pilotos'!$G$3)</f>
        <v>5</v>
      </c>
      <c r="B1599">
        <f t="shared" si="32"/>
        <v>1598</v>
      </c>
      <c r="C1599" s="9">
        <v>45701</v>
      </c>
      <c r="D1599" s="4" t="s">
        <v>825</v>
      </c>
      <c r="E1599" s="8"/>
      <c r="F1599" s="3">
        <v>54599</v>
      </c>
      <c r="G1599" s="7">
        <f>IF(Tabla1[[#This Row],[Fecha]]="","",G1598+Tabla1[[#This Row],[ingreso]]-Tabla1[[#This Row],[egreso]])</f>
        <v>1628594.9626999982</v>
      </c>
      <c r="H1599" s="7"/>
      <c r="I1599" s="7"/>
      <c r="J1599" s="4"/>
    </row>
    <row r="1600" spans="1:10" x14ac:dyDescent="0.2">
      <c r="A1600">
        <f>COUNTIF($I$2:I1600,'[1]Detalle Pilotos'!$G$3)</f>
        <v>5</v>
      </c>
      <c r="B1600">
        <f t="shared" si="32"/>
        <v>1599</v>
      </c>
      <c r="C1600" s="9">
        <v>45702</v>
      </c>
      <c r="D1600" s="4" t="s">
        <v>826</v>
      </c>
      <c r="E1600" s="8"/>
      <c r="F1600" s="3">
        <v>250000</v>
      </c>
      <c r="G1600" s="7">
        <f>IF(Tabla1[[#This Row],[Fecha]]="","",G1599+Tabla1[[#This Row],[ingreso]]-Tabla1[[#This Row],[egreso]])</f>
        <v>1878594.9626999982</v>
      </c>
      <c r="H1600" s="7"/>
      <c r="I1600" s="7" t="s">
        <v>827</v>
      </c>
      <c r="J1600" s="4"/>
    </row>
    <row r="1601" spans="1:10" x14ac:dyDescent="0.2">
      <c r="A1601">
        <f>COUNTIF($I$2:I1601,'[1]Detalle Pilotos'!$G$3)</f>
        <v>5</v>
      </c>
      <c r="B1601">
        <f t="shared" si="32"/>
        <v>1600</v>
      </c>
      <c r="C1601" s="9">
        <v>45705</v>
      </c>
      <c r="D1601" s="4" t="s">
        <v>826</v>
      </c>
      <c r="E1601" s="8"/>
      <c r="F1601" s="3">
        <v>242000</v>
      </c>
      <c r="G1601" s="7">
        <f>IF(Tabla1[[#This Row],[Fecha]]="","",G1600+Tabla1[[#This Row],[ingreso]]-Tabla1[[#This Row],[egreso]])</f>
        <v>2120594.9626999982</v>
      </c>
      <c r="H1601" s="7"/>
      <c r="I1601" s="7" t="s">
        <v>827</v>
      </c>
      <c r="J1601" s="4"/>
    </row>
    <row r="1602" spans="1:10" x14ac:dyDescent="0.2">
      <c r="A1602">
        <f>COUNTIF($I$2:I1602,'[1]Detalle Pilotos'!$G$3)</f>
        <v>5</v>
      </c>
      <c r="B1602">
        <f t="shared" si="32"/>
        <v>1601</v>
      </c>
      <c r="C1602" s="9">
        <v>45705</v>
      </c>
      <c r="D1602" s="4" t="s">
        <v>186</v>
      </c>
      <c r="E1602" s="8"/>
      <c r="F1602" s="3">
        <v>500000</v>
      </c>
      <c r="G1602" s="7">
        <f>IF(Tabla1[[#This Row],[Fecha]]="","",G1601+Tabla1[[#This Row],[ingreso]]-Tabla1[[#This Row],[egreso]])</f>
        <v>2620594.9626999982</v>
      </c>
      <c r="H1602" s="7"/>
      <c r="I1602" s="7" t="s">
        <v>187</v>
      </c>
      <c r="J1602" s="4"/>
    </row>
    <row r="1603" spans="1:10" x14ac:dyDescent="0.2">
      <c r="A1603">
        <f>COUNTIF($I$2:I1603,'[1]Detalle Pilotos'!$G$3)</f>
        <v>5</v>
      </c>
      <c r="B1603">
        <f t="shared" si="32"/>
        <v>1602</v>
      </c>
      <c r="C1603" s="9">
        <v>45707</v>
      </c>
      <c r="D1603" s="4" t="s">
        <v>780</v>
      </c>
      <c r="E1603" s="8"/>
      <c r="F1603" s="3">
        <v>542050</v>
      </c>
      <c r="G1603" s="7">
        <f>IF(Tabla1[[#This Row],[Fecha]]="","",G1602+Tabla1[[#This Row],[ingreso]]-Tabla1[[#This Row],[egreso]])</f>
        <v>3162644.9626999982</v>
      </c>
      <c r="H1603" s="7"/>
      <c r="I1603" s="7" t="s">
        <v>781</v>
      </c>
      <c r="J1603" s="4"/>
    </row>
    <row r="1604" spans="1:10" x14ac:dyDescent="0.2">
      <c r="A1604">
        <f>COUNTIF($I$2:I1604,'[1]Detalle Pilotos'!$G$3)</f>
        <v>5</v>
      </c>
      <c r="B1604">
        <f t="shared" ref="B1604:B1667" si="33">IF(C1604="","",1+B1603)</f>
        <v>1603</v>
      </c>
      <c r="C1604" s="9">
        <v>45707</v>
      </c>
      <c r="D1604" s="4" t="s">
        <v>813</v>
      </c>
      <c r="E1604" s="39">
        <v>151293</v>
      </c>
      <c r="F1604" s="3"/>
      <c r="G1604" s="7">
        <f>IF(Tabla1[[#This Row],[Fecha]]="","",G1603+Tabla1[[#This Row],[ingreso]]-Tabla1[[#This Row],[egreso]])</f>
        <v>3011351.9626999982</v>
      </c>
      <c r="H1604" s="7"/>
      <c r="I1604" s="7"/>
      <c r="J1604" s="4"/>
    </row>
    <row r="1605" spans="1:10" x14ac:dyDescent="0.2">
      <c r="A1605">
        <f>COUNTIF($I$2:I1605,'[1]Detalle Pilotos'!$G$3)</f>
        <v>5</v>
      </c>
      <c r="B1605">
        <f t="shared" si="33"/>
        <v>1604</v>
      </c>
      <c r="C1605" s="9">
        <v>45712</v>
      </c>
      <c r="D1605" s="4" t="s">
        <v>258</v>
      </c>
      <c r="E1605" s="8"/>
      <c r="F1605" s="3">
        <v>90000</v>
      </c>
      <c r="G1605" s="7">
        <f>IF(Tabla1[[#This Row],[Fecha]]="","",G1604+Tabla1[[#This Row],[ingreso]]-Tabla1[[#This Row],[egreso]])</f>
        <v>3101351.9626999982</v>
      </c>
      <c r="H1605" s="7"/>
      <c r="I1605" s="7" t="s">
        <v>259</v>
      </c>
      <c r="J1605" s="4"/>
    </row>
    <row r="1606" spans="1:10" x14ac:dyDescent="0.2">
      <c r="A1606">
        <f>COUNTIF($I$2:I1606,'[1]Detalle Pilotos'!$G$3)</f>
        <v>5</v>
      </c>
      <c r="B1606">
        <f t="shared" si="33"/>
        <v>1605</v>
      </c>
      <c r="C1606" s="9">
        <v>45712</v>
      </c>
      <c r="D1606" s="4" t="s">
        <v>258</v>
      </c>
      <c r="E1606" s="8"/>
      <c r="F1606" s="3">
        <v>63000</v>
      </c>
      <c r="G1606" s="7">
        <f>IF(Tabla1[[#This Row],[Fecha]]="","",G1605+Tabla1[[#This Row],[ingreso]]-Tabla1[[#This Row],[egreso]])</f>
        <v>3164351.9626999982</v>
      </c>
      <c r="H1606" s="7"/>
      <c r="I1606" s="7" t="s">
        <v>259</v>
      </c>
      <c r="J1606" s="4"/>
    </row>
    <row r="1607" spans="1:10" x14ac:dyDescent="0.2">
      <c r="A1607">
        <f>COUNTIF($I$2:I1607,'[1]Detalle Pilotos'!$G$3)</f>
        <v>5</v>
      </c>
      <c r="B1607">
        <f t="shared" si="33"/>
        <v>1606</v>
      </c>
      <c r="C1607" s="9">
        <v>45713</v>
      </c>
      <c r="D1607" s="4" t="s">
        <v>828</v>
      </c>
      <c r="E1607" s="8">
        <v>133903</v>
      </c>
      <c r="F1607" s="3"/>
      <c r="G1607" s="7">
        <f>IF(Tabla1[[#This Row],[Fecha]]="","",G1606+Tabla1[[#This Row],[ingreso]]-Tabla1[[#This Row],[egreso]])</f>
        <v>3030448.9626999982</v>
      </c>
      <c r="H1607" s="7"/>
      <c r="I1607" s="7"/>
      <c r="J1607" s="4"/>
    </row>
    <row r="1608" spans="1:10" x14ac:dyDescent="0.2">
      <c r="A1608">
        <f>COUNTIF($I$2:I1608,'[1]Detalle Pilotos'!$G$3)</f>
        <v>5</v>
      </c>
      <c r="B1608">
        <f t="shared" si="33"/>
        <v>1607</v>
      </c>
      <c r="C1608" s="9">
        <v>45713</v>
      </c>
      <c r="D1608" s="4" t="s">
        <v>829</v>
      </c>
      <c r="E1608" s="8">
        <v>112513</v>
      </c>
      <c r="F1608" s="3"/>
      <c r="G1608" s="7">
        <f>IF(Tabla1[[#This Row],[Fecha]]="","",G1607+Tabla1[[#This Row],[ingreso]]-Tabla1[[#This Row],[egreso]])</f>
        <v>2917935.9626999982</v>
      </c>
      <c r="H1608" s="7"/>
      <c r="I1608" s="7"/>
      <c r="J1608" s="4"/>
    </row>
    <row r="1609" spans="1:10" x14ac:dyDescent="0.2">
      <c r="A1609">
        <f>COUNTIF($I$2:I1609,'[1]Detalle Pilotos'!$G$3)</f>
        <v>5</v>
      </c>
      <c r="B1609">
        <f t="shared" si="33"/>
        <v>1608</v>
      </c>
      <c r="C1609" s="9">
        <v>45716</v>
      </c>
      <c r="D1609" s="4" t="s">
        <v>826</v>
      </c>
      <c r="E1609" s="8"/>
      <c r="F1609" s="3">
        <v>348500</v>
      </c>
      <c r="G1609" s="7">
        <f>IF(Tabla1[[#This Row],[Fecha]]="","",G1608+Tabla1[[#This Row],[ingreso]]-Tabla1[[#This Row],[egreso]])</f>
        <v>3266435.9626999982</v>
      </c>
      <c r="H1609" s="7"/>
      <c r="I1609" s="7" t="s">
        <v>827</v>
      </c>
      <c r="J1609" s="4"/>
    </row>
    <row r="1610" spans="1:10" x14ac:dyDescent="0.2">
      <c r="A1610">
        <f>COUNTIF($I$2:I1610,'[1]Detalle Pilotos'!$G$3)</f>
        <v>5</v>
      </c>
      <c r="B1610">
        <f t="shared" si="33"/>
        <v>1609</v>
      </c>
      <c r="C1610" s="9">
        <v>45719</v>
      </c>
      <c r="D1610" s="4" t="s">
        <v>830</v>
      </c>
      <c r="E1610" s="8">
        <v>104340</v>
      </c>
      <c r="F1610" s="3"/>
      <c r="G1610" s="7">
        <f>IF(Tabla1[[#This Row],[Fecha]]="","",G1609+Tabla1[[#This Row],[ingreso]]-Tabla1[[#This Row],[egreso]])</f>
        <v>3162095.9626999982</v>
      </c>
      <c r="H1610" s="7"/>
      <c r="I1610" s="7"/>
      <c r="J1610" s="4"/>
    </row>
    <row r="1611" spans="1:10" x14ac:dyDescent="0.2">
      <c r="A1611">
        <f>COUNTIF($I$2:I1611,'[1]Detalle Pilotos'!$G$3)</f>
        <v>5</v>
      </c>
      <c r="B1611">
        <f t="shared" si="33"/>
        <v>1610</v>
      </c>
      <c r="C1611" s="9">
        <v>45719</v>
      </c>
      <c r="D1611" s="4" t="s">
        <v>831</v>
      </c>
      <c r="E1611" s="8">
        <v>489923</v>
      </c>
      <c r="F1611" s="3"/>
      <c r="G1611" s="7">
        <f>IF(Tabla1[[#This Row],[Fecha]]="","",G1610+Tabla1[[#This Row],[ingreso]]-Tabla1[[#This Row],[egreso]])</f>
        <v>2672172.9626999982</v>
      </c>
      <c r="H1611" s="7"/>
      <c r="I1611" s="7"/>
      <c r="J1611" s="4"/>
    </row>
    <row r="1612" spans="1:10" x14ac:dyDescent="0.2">
      <c r="A1612">
        <f>COUNTIF($I$2:I1612,'[1]Detalle Pilotos'!$G$3)</f>
        <v>5</v>
      </c>
      <c r="B1612">
        <f t="shared" si="33"/>
        <v>1611</v>
      </c>
      <c r="C1612" s="9">
        <v>45719</v>
      </c>
      <c r="D1612" s="4" t="s">
        <v>258</v>
      </c>
      <c r="E1612" s="8"/>
      <c r="F1612" s="3">
        <v>170000</v>
      </c>
      <c r="G1612" s="7">
        <f>IF(Tabla1[[#This Row],[Fecha]]="","",G1611+Tabla1[[#This Row],[ingreso]]-Tabla1[[#This Row],[egreso]])</f>
        <v>2842172.9626999982</v>
      </c>
      <c r="H1612" s="7"/>
      <c r="I1612" s="7" t="s">
        <v>259</v>
      </c>
      <c r="J1612" s="4"/>
    </row>
    <row r="1613" spans="1:10" x14ac:dyDescent="0.2">
      <c r="A1613">
        <f>COUNTIF($I$2:I1613,'[1]Detalle Pilotos'!$G$3)</f>
        <v>5</v>
      </c>
      <c r="B1613">
        <f t="shared" si="33"/>
        <v>1612</v>
      </c>
      <c r="C1613" s="9">
        <v>45719</v>
      </c>
      <c r="D1613" s="4" t="s">
        <v>832</v>
      </c>
      <c r="E1613" s="8">
        <v>67821</v>
      </c>
      <c r="F1613" s="3"/>
      <c r="G1613" s="7">
        <f>IF(Tabla1[[#This Row],[Fecha]]="","",G1612+Tabla1[[#This Row],[ingreso]]-Tabla1[[#This Row],[egreso]])</f>
        <v>2774351.9626999982</v>
      </c>
      <c r="H1613" s="7"/>
      <c r="I1613" s="7"/>
      <c r="J1613" s="4"/>
    </row>
    <row r="1614" spans="1:10" x14ac:dyDescent="0.2">
      <c r="A1614">
        <f>COUNTIF($I$2:I1614,'[1]Detalle Pilotos'!$G$3)</f>
        <v>5</v>
      </c>
      <c r="B1614">
        <f t="shared" si="33"/>
        <v>1613</v>
      </c>
      <c r="C1614" s="9">
        <v>45720</v>
      </c>
      <c r="D1614" s="4" t="s">
        <v>662</v>
      </c>
      <c r="E1614" s="8"/>
      <c r="F1614" s="3">
        <v>656867</v>
      </c>
      <c r="G1614" s="7">
        <f>IF(Tabla1[[#This Row],[Fecha]]="","",G1613+Tabla1[[#This Row],[ingreso]]-Tabla1[[#This Row],[egreso]])</f>
        <v>3431218.9626999982</v>
      </c>
      <c r="H1614" s="7"/>
      <c r="I1614" s="7" t="s">
        <v>663</v>
      </c>
      <c r="J1614" s="4"/>
    </row>
    <row r="1615" spans="1:10" x14ac:dyDescent="0.2">
      <c r="A1615">
        <f>COUNTIF($I$2:I1615,'[1]Detalle Pilotos'!$G$3)</f>
        <v>5</v>
      </c>
      <c r="B1615">
        <f t="shared" si="33"/>
        <v>1614</v>
      </c>
      <c r="C1615" s="9">
        <v>45721</v>
      </c>
      <c r="D1615" s="4" t="s">
        <v>833</v>
      </c>
      <c r="E1615" s="8">
        <v>146945</v>
      </c>
      <c r="F1615" s="3"/>
      <c r="G1615" s="7">
        <f>IF(Tabla1[[#This Row],[Fecha]]="","",G1614+Tabla1[[#This Row],[ingreso]]-Tabla1[[#This Row],[egreso]])</f>
        <v>3284273.9626999982</v>
      </c>
      <c r="H1615" s="7"/>
      <c r="I1615" s="7"/>
      <c r="J1615" s="4"/>
    </row>
    <row r="1616" spans="1:10" x14ac:dyDescent="0.2">
      <c r="A1616">
        <f>COUNTIF($I$2:I1616,'[1]Detalle Pilotos'!$G$3)</f>
        <v>5</v>
      </c>
      <c r="B1616">
        <f t="shared" si="33"/>
        <v>1615</v>
      </c>
      <c r="C1616" s="9">
        <v>45722</v>
      </c>
      <c r="D1616" s="4" t="s">
        <v>806</v>
      </c>
      <c r="E1616" s="8">
        <v>300000</v>
      </c>
      <c r="F1616" s="3"/>
      <c r="G1616" s="7">
        <f>IF(Tabla1[[#This Row],[Fecha]]="","",G1615+Tabla1[[#This Row],[ingreso]]-Tabla1[[#This Row],[egreso]])</f>
        <v>2984273.9626999982</v>
      </c>
      <c r="H1616" s="7"/>
      <c r="I1616" s="7"/>
      <c r="J1616" s="4"/>
    </row>
    <row r="1617" spans="1:10" x14ac:dyDescent="0.2">
      <c r="A1617">
        <f>COUNTIF($I$2:I1617,'[1]Detalle Pilotos'!$G$3)</f>
        <v>5</v>
      </c>
      <c r="B1617">
        <f t="shared" si="33"/>
        <v>1616</v>
      </c>
      <c r="C1617" s="9">
        <v>45722</v>
      </c>
      <c r="D1617" s="4" t="s">
        <v>834</v>
      </c>
      <c r="E1617" s="8">
        <v>1000000</v>
      </c>
      <c r="F1617" s="3"/>
      <c r="G1617" s="7">
        <f>IF(Tabla1[[#This Row],[Fecha]]="","",G1616+Tabla1[[#This Row],[ingreso]]-Tabla1[[#This Row],[egreso]])</f>
        <v>1984273.9626999982</v>
      </c>
      <c r="H1617" s="7"/>
      <c r="I1617" s="7"/>
      <c r="J1617" s="4"/>
    </row>
    <row r="1618" spans="1:10" x14ac:dyDescent="0.2">
      <c r="A1618">
        <f>COUNTIF($I$2:I1618,'[1]Detalle Pilotos'!$G$3)</f>
        <v>5</v>
      </c>
      <c r="B1618">
        <f t="shared" si="33"/>
        <v>1617</v>
      </c>
      <c r="C1618" s="9">
        <v>45723</v>
      </c>
      <c r="D1618" s="4" t="s">
        <v>802</v>
      </c>
      <c r="E1618" s="8"/>
      <c r="F1618" s="3">
        <v>1000000</v>
      </c>
      <c r="G1618" s="7">
        <f>IF(Tabla1[[#This Row],[Fecha]]="","",G1617+Tabla1[[#This Row],[ingreso]]-Tabla1[[#This Row],[egreso]])</f>
        <v>2984273.9626999982</v>
      </c>
      <c r="H1618" s="7"/>
      <c r="I1618" s="7" t="s">
        <v>803</v>
      </c>
      <c r="J1618" s="4"/>
    </row>
    <row r="1619" spans="1:10" x14ac:dyDescent="0.2">
      <c r="A1619">
        <f>COUNTIF($I$2:I1619,'[1]Detalle Pilotos'!$G$3)</f>
        <v>5</v>
      </c>
      <c r="B1619">
        <f t="shared" si="33"/>
        <v>1618</v>
      </c>
      <c r="C1619" s="9">
        <v>45726</v>
      </c>
      <c r="D1619" s="4" t="s">
        <v>765</v>
      </c>
      <c r="E1619" s="8"/>
      <c r="F1619" s="3">
        <v>131750</v>
      </c>
      <c r="G1619" s="7">
        <f>IF(Tabla1[[#This Row],[Fecha]]="","",G1618+Tabla1[[#This Row],[ingreso]]-Tabla1[[#This Row],[egreso]])</f>
        <v>3116023.9626999982</v>
      </c>
      <c r="H1619" s="7"/>
      <c r="I1619" s="7" t="s">
        <v>766</v>
      </c>
      <c r="J1619" s="4"/>
    </row>
    <row r="1620" spans="1:10" x14ac:dyDescent="0.2">
      <c r="A1620">
        <f>COUNTIF($I$2:I1620,'[1]Detalle Pilotos'!$G$3)</f>
        <v>5</v>
      </c>
      <c r="B1620">
        <f t="shared" si="33"/>
        <v>1619</v>
      </c>
      <c r="C1620" s="9">
        <v>45726</v>
      </c>
      <c r="D1620" s="4" t="s">
        <v>834</v>
      </c>
      <c r="E1620" s="8">
        <v>1500000</v>
      </c>
      <c r="F1620" s="3"/>
      <c r="G1620" s="7">
        <f>IF(Tabla1[[#This Row],[Fecha]]="","",G1619+Tabla1[[#This Row],[ingreso]]-Tabla1[[#This Row],[egreso]])</f>
        <v>1616023.9626999982</v>
      </c>
      <c r="H1620" s="7"/>
      <c r="I1620" s="7"/>
      <c r="J1620" s="4"/>
    </row>
    <row r="1621" spans="1:10" x14ac:dyDescent="0.2">
      <c r="A1621">
        <f>COUNTIF($I$2:I1621,'[1]Detalle Pilotos'!$G$3)</f>
        <v>5</v>
      </c>
      <c r="B1621">
        <f t="shared" si="33"/>
        <v>1620</v>
      </c>
      <c r="C1621" s="9">
        <v>45728</v>
      </c>
      <c r="D1621" s="4" t="s">
        <v>186</v>
      </c>
      <c r="E1621" s="8"/>
      <c r="F1621" s="3">
        <v>500000</v>
      </c>
      <c r="G1621" s="7">
        <f>IF(Tabla1[[#This Row],[Fecha]]="","",G1620+Tabla1[[#This Row],[ingreso]]-Tabla1[[#This Row],[egreso]])</f>
        <v>2116023.9626999982</v>
      </c>
      <c r="H1621" s="7"/>
      <c r="I1621" s="7" t="s">
        <v>187</v>
      </c>
      <c r="J1621" s="4"/>
    </row>
    <row r="1622" spans="1:10" x14ac:dyDescent="0.2">
      <c r="A1622">
        <f>COUNTIF($I$2:I1622,'[1]Detalle Pilotos'!$G$3)</f>
        <v>5</v>
      </c>
      <c r="B1622">
        <f t="shared" si="33"/>
        <v>1621</v>
      </c>
      <c r="C1622" s="9">
        <v>45733</v>
      </c>
      <c r="D1622" s="4" t="s">
        <v>835</v>
      </c>
      <c r="E1622" s="8">
        <v>111122</v>
      </c>
      <c r="F1622" s="3"/>
      <c r="G1622" s="7">
        <f>IF(Tabla1[[#This Row],[Fecha]]="","",G1621+Tabla1[[#This Row],[ingreso]]-Tabla1[[#This Row],[egreso]])</f>
        <v>2004901.9626999982</v>
      </c>
      <c r="H1622" s="7"/>
      <c r="I1622" s="7"/>
      <c r="J1622" s="4"/>
    </row>
    <row r="1623" spans="1:10" x14ac:dyDescent="0.2">
      <c r="A1623">
        <f>COUNTIF($I$2:I1623,'[1]Detalle Pilotos'!$G$3)</f>
        <v>5</v>
      </c>
      <c r="B1623">
        <f t="shared" si="33"/>
        <v>1622</v>
      </c>
      <c r="C1623" s="9">
        <v>45733</v>
      </c>
      <c r="D1623" s="4" t="s">
        <v>836</v>
      </c>
      <c r="E1623" s="8">
        <v>72082</v>
      </c>
      <c r="F1623" s="3"/>
      <c r="G1623" s="7">
        <f>IF(Tabla1[[#This Row],[Fecha]]="","",G1622+Tabla1[[#This Row],[ingreso]]-Tabla1[[#This Row],[egreso]])</f>
        <v>1932819.9626999982</v>
      </c>
      <c r="H1623" s="7"/>
      <c r="I1623" s="7"/>
      <c r="J1623" s="4"/>
    </row>
    <row r="1624" spans="1:10" x14ac:dyDescent="0.2">
      <c r="A1624">
        <f>COUNTIF($I$2:I1624,'[1]Detalle Pilotos'!$G$3)</f>
        <v>5</v>
      </c>
      <c r="B1624">
        <f t="shared" si="33"/>
        <v>1623</v>
      </c>
      <c r="C1624" s="9">
        <v>45733</v>
      </c>
      <c r="D1624" s="4" t="s">
        <v>837</v>
      </c>
      <c r="E1624" s="8">
        <v>111296</v>
      </c>
      <c r="F1624" s="3"/>
      <c r="G1624" s="7">
        <f>IF(Tabla1[[#This Row],[Fecha]]="","",G1623+Tabla1[[#This Row],[ingreso]]-Tabla1[[#This Row],[egreso]])</f>
        <v>1821523.9626999982</v>
      </c>
      <c r="H1624" s="7"/>
      <c r="I1624" s="7"/>
      <c r="J1624" s="4"/>
    </row>
    <row r="1625" spans="1:10" x14ac:dyDescent="0.2">
      <c r="A1625">
        <f>COUNTIF($I$2:I1625,'[1]Detalle Pilotos'!$G$3)</f>
        <v>5</v>
      </c>
      <c r="B1625">
        <f t="shared" si="33"/>
        <v>1624</v>
      </c>
      <c r="C1625" s="9">
        <v>45734</v>
      </c>
      <c r="D1625" s="4" t="s">
        <v>838</v>
      </c>
      <c r="E1625" s="8">
        <v>107470</v>
      </c>
      <c r="F1625" s="3"/>
      <c r="G1625" s="7">
        <f>IF(Tabla1[[#This Row],[Fecha]]="","",G1624+Tabla1[[#This Row],[ingreso]]-Tabla1[[#This Row],[egreso]])</f>
        <v>1714053.9626999982</v>
      </c>
      <c r="H1625" s="7"/>
      <c r="I1625" s="7"/>
      <c r="J1625" s="4"/>
    </row>
    <row r="1626" spans="1:10" x14ac:dyDescent="0.2">
      <c r="A1626">
        <f>COUNTIF($I$2:I1626,'[1]Detalle Pilotos'!$G$3)</f>
        <v>5</v>
      </c>
      <c r="B1626">
        <f t="shared" si="33"/>
        <v>1625</v>
      </c>
      <c r="C1626" s="9">
        <v>45734</v>
      </c>
      <c r="D1626" s="4" t="s">
        <v>12</v>
      </c>
      <c r="E1626" s="8"/>
      <c r="F1626" s="3">
        <v>272000</v>
      </c>
      <c r="G1626" s="7">
        <f>IF(Tabla1[[#This Row],[Fecha]]="","",G1625+Tabla1[[#This Row],[ingreso]]-Tabla1[[#This Row],[egreso]])</f>
        <v>1986053.9626999982</v>
      </c>
      <c r="H1626" s="7"/>
      <c r="I1626" s="7" t="s">
        <v>13</v>
      </c>
      <c r="J1626" s="4"/>
    </row>
    <row r="1627" spans="1:10" x14ac:dyDescent="0.2">
      <c r="A1627">
        <f>COUNTIF($I$2:I1627,'[1]Detalle Pilotos'!$G$3)</f>
        <v>5</v>
      </c>
      <c r="B1627">
        <f t="shared" si="33"/>
        <v>1626</v>
      </c>
      <c r="C1627" s="9">
        <v>45735</v>
      </c>
      <c r="D1627" s="4" t="s">
        <v>178</v>
      </c>
      <c r="E1627" s="8"/>
      <c r="F1627" s="3">
        <v>273000</v>
      </c>
      <c r="G1627" s="7">
        <f>IF(Tabla1[[#This Row],[Fecha]]="","",G1626+Tabla1[[#This Row],[ingreso]]-Tabla1[[#This Row],[egreso]])</f>
        <v>2259053.9626999982</v>
      </c>
      <c r="H1627" s="7"/>
      <c r="I1627" s="7" t="s">
        <v>179</v>
      </c>
      <c r="J1627" s="4"/>
    </row>
    <row r="1628" spans="1:10" x14ac:dyDescent="0.2">
      <c r="A1628">
        <f>COUNTIF($I$2:I1628,'[1]Detalle Pilotos'!$G$3)</f>
        <v>5</v>
      </c>
      <c r="B1628">
        <f t="shared" si="33"/>
        <v>1627</v>
      </c>
      <c r="C1628" s="9">
        <v>45735</v>
      </c>
      <c r="D1628" s="4" t="s">
        <v>839</v>
      </c>
      <c r="E1628" s="8">
        <v>1000000</v>
      </c>
      <c r="F1628" s="3"/>
      <c r="G1628" s="7">
        <f>IF(Tabla1[[#This Row],[Fecha]]="","",G1627+Tabla1[[#This Row],[ingreso]]-Tabla1[[#This Row],[egreso]])</f>
        <v>1259053.9626999982</v>
      </c>
      <c r="H1628" s="7"/>
      <c r="I1628" s="7"/>
      <c r="J1628" s="4"/>
    </row>
    <row r="1629" spans="1:10" x14ac:dyDescent="0.2">
      <c r="A1629">
        <f>COUNTIF($I$2:I1629,'[1]Detalle Pilotos'!$G$3)</f>
        <v>5</v>
      </c>
      <c r="B1629">
        <f t="shared" si="33"/>
        <v>1628</v>
      </c>
      <c r="C1629" s="9">
        <v>45740</v>
      </c>
      <c r="D1629" s="4" t="s">
        <v>785</v>
      </c>
      <c r="E1629" s="8"/>
      <c r="F1629" s="3">
        <v>163600</v>
      </c>
      <c r="G1629" s="7">
        <f>IF(Tabla1[[#This Row],[Fecha]]="","",G1628+Tabla1[[#This Row],[ingreso]]-Tabla1[[#This Row],[egreso]])</f>
        <v>1422653.9626999982</v>
      </c>
      <c r="H1629" s="7"/>
      <c r="I1629" s="7" t="s">
        <v>786</v>
      </c>
      <c r="J1629" s="4"/>
    </row>
    <row r="1630" spans="1:10" x14ac:dyDescent="0.2">
      <c r="A1630">
        <f>COUNTIF($I$2:I1630,'[1]Detalle Pilotos'!$G$3)</f>
        <v>5</v>
      </c>
      <c r="B1630">
        <f t="shared" si="33"/>
        <v>1629</v>
      </c>
      <c r="C1630" s="9">
        <v>45740</v>
      </c>
      <c r="D1630" s="4" t="s">
        <v>826</v>
      </c>
      <c r="E1630" s="8"/>
      <c r="F1630" s="3">
        <v>266500</v>
      </c>
      <c r="G1630" s="7">
        <f>IF(Tabla1[[#This Row],[Fecha]]="","",G1629+Tabla1[[#This Row],[ingreso]]-Tabla1[[#This Row],[egreso]])</f>
        <v>1689153.9626999982</v>
      </c>
      <c r="H1630" s="7"/>
      <c r="I1630" s="7" t="s">
        <v>827</v>
      </c>
      <c r="J1630" s="4"/>
    </row>
    <row r="1631" spans="1:10" x14ac:dyDescent="0.2">
      <c r="A1631">
        <f>COUNTIF($I$2:I1631,'[1]Detalle Pilotos'!$G$3)</f>
        <v>5</v>
      </c>
      <c r="B1631">
        <f t="shared" si="33"/>
        <v>1630</v>
      </c>
      <c r="C1631" s="9">
        <v>45742</v>
      </c>
      <c r="D1631" s="4" t="s">
        <v>826</v>
      </c>
      <c r="E1631" s="8"/>
      <c r="F1631" s="3">
        <v>119000</v>
      </c>
      <c r="G1631" s="7">
        <f>IF(Tabla1[[#This Row],[Fecha]]="","",G1630+Tabla1[[#This Row],[ingreso]]-Tabla1[[#This Row],[egreso]])</f>
        <v>1808153.9626999982</v>
      </c>
      <c r="H1631" s="7"/>
      <c r="I1631" s="7" t="s">
        <v>827</v>
      </c>
      <c r="J1631" s="4"/>
    </row>
    <row r="1632" spans="1:10" x14ac:dyDescent="0.2">
      <c r="A1632">
        <f>COUNTIF($I$2:I1632,'[1]Detalle Pilotos'!$G$3)</f>
        <v>5</v>
      </c>
      <c r="B1632">
        <f t="shared" si="33"/>
        <v>1631</v>
      </c>
      <c r="C1632" s="9">
        <v>45743</v>
      </c>
      <c r="D1632" s="4" t="s">
        <v>780</v>
      </c>
      <c r="E1632" s="8"/>
      <c r="F1632" s="3">
        <v>308308</v>
      </c>
      <c r="G1632" s="7">
        <f>IF(Tabla1[[#This Row],[Fecha]]="","",G1631+Tabla1[[#This Row],[ingreso]]-Tabla1[[#This Row],[egreso]])</f>
        <v>2116461.9626999982</v>
      </c>
      <c r="H1632" s="7"/>
      <c r="I1632" s="7" t="s">
        <v>781</v>
      </c>
      <c r="J1632" s="4"/>
    </row>
    <row r="1633" spans="1:10" x14ac:dyDescent="0.2">
      <c r="A1633">
        <f>COUNTIF($I$2:I1633,'[1]Detalle Pilotos'!$G$3)</f>
        <v>5</v>
      </c>
      <c r="B1633">
        <f t="shared" si="33"/>
        <v>1632</v>
      </c>
      <c r="C1633" s="9">
        <v>45744</v>
      </c>
      <c r="D1633" s="4" t="s">
        <v>840</v>
      </c>
      <c r="E1633" s="8">
        <v>168683</v>
      </c>
      <c r="F1633" s="3"/>
      <c r="G1633" s="7">
        <f>IF(Tabla1[[#This Row],[Fecha]]="","",G1632+Tabla1[[#This Row],[ingreso]]-Tabla1[[#This Row],[egreso]])</f>
        <v>1947778.9626999982</v>
      </c>
      <c r="H1633" s="7"/>
      <c r="I1633" s="7"/>
      <c r="J1633" s="4"/>
    </row>
    <row r="1634" spans="1:10" x14ac:dyDescent="0.2">
      <c r="A1634">
        <f>COUNTIF($I$2:I1634,'[1]Detalle Pilotos'!$G$3)</f>
        <v>5</v>
      </c>
      <c r="B1634">
        <f t="shared" si="33"/>
        <v>1633</v>
      </c>
      <c r="C1634" s="9">
        <v>45744</v>
      </c>
      <c r="D1634" s="4" t="s">
        <v>841</v>
      </c>
      <c r="E1634" s="8"/>
      <c r="F1634" s="3">
        <v>260000</v>
      </c>
      <c r="G1634" s="7">
        <f>IF(Tabla1[[#This Row],[Fecha]]="","",G1633+Tabla1[[#This Row],[ingreso]]-Tabla1[[#This Row],[egreso]])</f>
        <v>2207778.9626999982</v>
      </c>
      <c r="H1634" s="7"/>
      <c r="I1634" s="7" t="s">
        <v>842</v>
      </c>
      <c r="J1634" s="4"/>
    </row>
    <row r="1635" spans="1:10" x14ac:dyDescent="0.2">
      <c r="A1635">
        <f>COUNTIF($I$2:I1635,'[1]Detalle Pilotos'!$G$3)</f>
        <v>5</v>
      </c>
      <c r="B1635">
        <f t="shared" si="33"/>
        <v>1634</v>
      </c>
      <c r="C1635" s="9">
        <v>45747</v>
      </c>
      <c r="D1635" s="4" t="s">
        <v>843</v>
      </c>
      <c r="E1635" s="8">
        <v>492659</v>
      </c>
      <c r="F1635" s="3"/>
      <c r="G1635" s="7">
        <f>IF(Tabla1[[#This Row],[Fecha]]="","",G1634+Tabla1[[#This Row],[ingreso]]-Tabla1[[#This Row],[egreso]])</f>
        <v>1715119.9626999982</v>
      </c>
      <c r="H1635" s="7"/>
      <c r="I1635" s="7"/>
      <c r="J1635" s="4"/>
    </row>
    <row r="1636" spans="1:10" x14ac:dyDescent="0.2">
      <c r="A1636">
        <f>COUNTIF($I$2:I1636,'[1]Detalle Pilotos'!$G$3)</f>
        <v>5</v>
      </c>
      <c r="B1636">
        <f t="shared" si="33"/>
        <v>1635</v>
      </c>
      <c r="C1636" s="9">
        <v>45748</v>
      </c>
      <c r="D1636" s="4" t="s">
        <v>802</v>
      </c>
      <c r="E1636" s="8"/>
      <c r="F1636" s="3">
        <v>1000000</v>
      </c>
      <c r="G1636" s="7">
        <f>IF(Tabla1[[#This Row],[Fecha]]="","",G1635+Tabla1[[#This Row],[ingreso]]-Tabla1[[#This Row],[egreso]])</f>
        <v>2715119.9626999982</v>
      </c>
      <c r="H1636" s="7"/>
      <c r="I1636" s="7" t="s">
        <v>803</v>
      </c>
      <c r="J1636" s="4"/>
    </row>
    <row r="1637" spans="1:10" x14ac:dyDescent="0.2">
      <c r="A1637">
        <f>COUNTIF($I$2:I1637,'[1]Detalle Pilotos'!$G$3)</f>
        <v>5</v>
      </c>
      <c r="B1637">
        <f t="shared" si="33"/>
        <v>1636</v>
      </c>
      <c r="C1637" s="9">
        <v>45748</v>
      </c>
      <c r="D1637" s="4" t="s">
        <v>844</v>
      </c>
      <c r="E1637" s="8">
        <v>579980</v>
      </c>
      <c r="F1637" s="3"/>
      <c r="G1637" s="7">
        <f>IF(Tabla1[[#This Row],[Fecha]]="","",G1636+Tabla1[[#This Row],[ingreso]]-Tabla1[[#This Row],[egreso]])</f>
        <v>2135139.9626999982</v>
      </c>
      <c r="H1637" s="7"/>
      <c r="I1637" s="7"/>
      <c r="J1637" s="4"/>
    </row>
    <row r="1638" spans="1:10" x14ac:dyDescent="0.2">
      <c r="A1638">
        <f>COUNTIF($I$2:I1638,'[1]Detalle Pilotos'!$G$3)</f>
        <v>5</v>
      </c>
      <c r="B1638">
        <f t="shared" si="33"/>
        <v>1637</v>
      </c>
      <c r="C1638" s="9">
        <v>45748</v>
      </c>
      <c r="D1638" s="4" t="s">
        <v>839</v>
      </c>
      <c r="E1638" s="8">
        <v>1100000</v>
      </c>
      <c r="F1638" s="3"/>
      <c r="G1638" s="7">
        <f>IF(Tabla1[[#This Row],[Fecha]]="","",G1637+Tabla1[[#This Row],[ingreso]]-Tabla1[[#This Row],[egreso]])</f>
        <v>1035139.9626999982</v>
      </c>
      <c r="H1638" s="7"/>
      <c r="I1638" s="7"/>
      <c r="J1638" s="4"/>
    </row>
    <row r="1639" spans="1:10" x14ac:dyDescent="0.2">
      <c r="A1639">
        <f>COUNTIF($I$2:I1639,'[1]Detalle Pilotos'!$G$3)</f>
        <v>5</v>
      </c>
      <c r="B1639">
        <f t="shared" si="33"/>
        <v>1638</v>
      </c>
      <c r="C1639" s="9">
        <v>45749</v>
      </c>
      <c r="D1639" s="4" t="s">
        <v>765</v>
      </c>
      <c r="E1639" s="8"/>
      <c r="F1639" s="3">
        <v>131750</v>
      </c>
      <c r="G1639" s="7">
        <f>IF(Tabla1[[#This Row],[Fecha]]="","",G1638+Tabla1[[#This Row],[ingreso]]-Tabla1[[#This Row],[egreso]])</f>
        <v>1166889.9626999982</v>
      </c>
      <c r="H1639" s="7"/>
      <c r="I1639" s="7" t="s">
        <v>766</v>
      </c>
      <c r="J1639" s="4"/>
    </row>
    <row r="1640" spans="1:10" x14ac:dyDescent="0.2">
      <c r="A1640">
        <f>COUNTIF($I$2:I1640,'[1]Detalle Pilotos'!$G$3)</f>
        <v>5</v>
      </c>
      <c r="B1640">
        <f t="shared" si="33"/>
        <v>1639</v>
      </c>
      <c r="C1640" s="9">
        <v>45750</v>
      </c>
      <c r="D1640" s="4" t="s">
        <v>845</v>
      </c>
      <c r="E1640" s="8">
        <v>65195</v>
      </c>
      <c r="F1640" s="3"/>
      <c r="G1640" s="7">
        <f>IF(Tabla1[[#This Row],[Fecha]]="","",G1639+Tabla1[[#This Row],[ingreso]]-Tabla1[[#This Row],[egreso]])</f>
        <v>1101694.9626999982</v>
      </c>
      <c r="H1640" s="7"/>
      <c r="I1640" s="7"/>
      <c r="J1640" s="4"/>
    </row>
    <row r="1641" spans="1:10" x14ac:dyDescent="0.2">
      <c r="A1641">
        <f>COUNTIF($I$2:I1641,'[1]Detalle Pilotos'!$G$3)</f>
        <v>5</v>
      </c>
      <c r="B1641">
        <f t="shared" si="33"/>
        <v>1640</v>
      </c>
      <c r="C1641" s="9">
        <v>45750</v>
      </c>
      <c r="D1641" s="4" t="s">
        <v>789</v>
      </c>
      <c r="E1641" s="8"/>
      <c r="F1641" s="3">
        <v>288214</v>
      </c>
      <c r="G1641" s="7">
        <f>IF(Tabla1[[#This Row],[Fecha]]="","",G1640+Tabla1[[#This Row],[ingreso]]-Tabla1[[#This Row],[egreso]])</f>
        <v>1389908.9626999982</v>
      </c>
      <c r="H1641" s="7"/>
      <c r="I1641" s="7" t="s">
        <v>790</v>
      </c>
      <c r="J1641" s="4"/>
    </row>
    <row r="1642" spans="1:10" x14ac:dyDescent="0.2">
      <c r="A1642">
        <f>COUNTIF($I$2:I1642,'[1]Detalle Pilotos'!$G$3)</f>
        <v>5</v>
      </c>
      <c r="B1642">
        <f t="shared" si="33"/>
        <v>1641</v>
      </c>
      <c r="C1642" s="40">
        <v>45750</v>
      </c>
      <c r="D1642" s="41" t="s">
        <v>846</v>
      </c>
      <c r="E1642" s="8">
        <v>177072</v>
      </c>
      <c r="F1642" s="3"/>
      <c r="G1642" s="104">
        <f>IF(Tabla1[[#This Row],[Fecha]]="","",G1641+Tabla1[[#This Row],[ingreso]]-Tabla1[[#This Row],[egreso]])</f>
        <v>1212836.9626999982</v>
      </c>
      <c r="H1642" s="104"/>
      <c r="I1642" s="104"/>
      <c r="J1642" s="4"/>
    </row>
    <row r="1643" spans="1:10" x14ac:dyDescent="0.2">
      <c r="A1643">
        <f>COUNTIF($I$2:I1643,'[1]Detalle Pilotos'!$G$3)</f>
        <v>5</v>
      </c>
      <c r="B1643">
        <f t="shared" si="33"/>
        <v>1642</v>
      </c>
      <c r="C1643" s="9">
        <v>45754</v>
      </c>
      <c r="D1643" s="4" t="s">
        <v>762</v>
      </c>
      <c r="E1643" s="8"/>
      <c r="F1643" s="3">
        <v>74288</v>
      </c>
      <c r="G1643" s="7">
        <f>IF(Tabla1[[#This Row],[Fecha]]="","",G1642+Tabla1[[#This Row],[ingreso]]-Tabla1[[#This Row],[egreso]])</f>
        <v>1287124.9626999982</v>
      </c>
      <c r="H1643" s="7"/>
      <c r="I1643" s="7" t="s">
        <v>745</v>
      </c>
      <c r="J1643" s="4"/>
    </row>
    <row r="1644" spans="1:10" x14ac:dyDescent="0.2">
      <c r="A1644">
        <f>COUNTIF($I$2:I1644,'[1]Detalle Pilotos'!$G$3)</f>
        <v>5</v>
      </c>
      <c r="B1644">
        <f t="shared" si="33"/>
        <v>1643</v>
      </c>
      <c r="C1644" s="9">
        <v>45754</v>
      </c>
      <c r="D1644" s="4" t="s">
        <v>847</v>
      </c>
      <c r="E1644" s="8">
        <v>30000</v>
      </c>
      <c r="F1644" s="3"/>
      <c r="G1644" s="7">
        <f>IF(Tabla1[[#This Row],[Fecha]]="","",G1643+Tabla1[[#This Row],[ingreso]]-Tabla1[[#This Row],[egreso]])</f>
        <v>1257124.9626999982</v>
      </c>
      <c r="H1644" s="7"/>
      <c r="I1644" s="7"/>
      <c r="J1644" s="4"/>
    </row>
    <row r="1645" spans="1:10" x14ac:dyDescent="0.2">
      <c r="A1645">
        <f>COUNTIF($I$2:I1645,'[1]Detalle Pilotos'!$G$3)</f>
        <v>5</v>
      </c>
      <c r="B1645">
        <f t="shared" si="33"/>
        <v>1644</v>
      </c>
      <c r="C1645" s="9">
        <v>45754</v>
      </c>
      <c r="D1645" s="4" t="s">
        <v>848</v>
      </c>
      <c r="E1645" s="8">
        <v>85680</v>
      </c>
      <c r="F1645" s="3"/>
      <c r="G1645" s="7">
        <f>IF(Tabla1[[#This Row],[Fecha]]="","",G1644+Tabla1[[#This Row],[ingreso]]-Tabla1[[#This Row],[egreso]])</f>
        <v>1171444.9626999982</v>
      </c>
      <c r="H1645" s="7"/>
      <c r="I1645" s="7"/>
      <c r="J1645" s="4"/>
    </row>
    <row r="1646" spans="1:10" x14ac:dyDescent="0.2">
      <c r="A1646">
        <f>COUNTIF($I$2:I1646,'[1]Detalle Pilotos'!$G$3)</f>
        <v>5</v>
      </c>
      <c r="B1646">
        <f t="shared" si="33"/>
        <v>1645</v>
      </c>
      <c r="C1646" s="9">
        <v>45755</v>
      </c>
      <c r="D1646" s="4" t="s">
        <v>849</v>
      </c>
      <c r="E1646" s="8">
        <v>40000</v>
      </c>
      <c r="F1646" s="3"/>
      <c r="G1646" s="7">
        <f>IF(Tabla1[[#This Row],[Fecha]]="","",G1645+Tabla1[[#This Row],[ingreso]]-Tabla1[[#This Row],[egreso]])</f>
        <v>1131444.9626999982</v>
      </c>
      <c r="H1646" s="7"/>
      <c r="I1646" s="7"/>
      <c r="J1646" s="4"/>
    </row>
    <row r="1647" spans="1:10" x14ac:dyDescent="0.2">
      <c r="A1647">
        <f>COUNTIF($I$2:I1647,'[1]Detalle Pilotos'!$G$3)</f>
        <v>5</v>
      </c>
      <c r="B1647">
        <f t="shared" si="33"/>
        <v>1646</v>
      </c>
      <c r="C1647" s="9">
        <v>45758</v>
      </c>
      <c r="D1647" s="4" t="s">
        <v>850</v>
      </c>
      <c r="E1647" s="8">
        <v>25000</v>
      </c>
      <c r="F1647" s="3"/>
      <c r="G1647" s="7">
        <f>IF(Tabla1[[#This Row],[Fecha]]="","",G1646+Tabla1[[#This Row],[ingreso]]-Tabla1[[#This Row],[egreso]])</f>
        <v>1106444.9626999982</v>
      </c>
      <c r="H1647" s="7"/>
      <c r="I1647" s="7"/>
      <c r="J1647" s="4"/>
    </row>
    <row r="1648" spans="1:10" x14ac:dyDescent="0.2">
      <c r="A1648">
        <f>COUNTIF($I$2:I1648,'[1]Detalle Pilotos'!$G$3)</f>
        <v>5</v>
      </c>
      <c r="B1648">
        <f t="shared" si="33"/>
        <v>1647</v>
      </c>
      <c r="C1648" s="9">
        <v>45761</v>
      </c>
      <c r="D1648" s="4" t="s">
        <v>851</v>
      </c>
      <c r="E1648" s="8">
        <v>102441</v>
      </c>
      <c r="F1648" s="3"/>
      <c r="G1648" s="7">
        <f>IF(Tabla1[[#This Row],[Fecha]]="","",G1647+Tabla1[[#This Row],[ingreso]]-Tabla1[[#This Row],[egreso]])</f>
        <v>1004003.9626999982</v>
      </c>
      <c r="H1648" s="7"/>
      <c r="I1648" s="7"/>
      <c r="J1648" s="4"/>
    </row>
    <row r="1649" spans="1:10" x14ac:dyDescent="0.2">
      <c r="A1649">
        <f>COUNTIF($I$2:I1649,'[1]Detalle Pilotos'!$G$3)</f>
        <v>5</v>
      </c>
      <c r="B1649">
        <f t="shared" si="33"/>
        <v>1648</v>
      </c>
      <c r="C1649" s="9">
        <v>45761</v>
      </c>
      <c r="D1649" s="4" t="s">
        <v>186</v>
      </c>
      <c r="E1649" s="8"/>
      <c r="F1649" s="3">
        <v>200000</v>
      </c>
      <c r="G1649" s="7">
        <f>IF(Tabla1[[#This Row],[Fecha]]="","",G1648+Tabla1[[#This Row],[ingreso]]-Tabla1[[#This Row],[egreso]])</f>
        <v>1204003.9626999982</v>
      </c>
      <c r="H1649" s="7"/>
      <c r="I1649" s="7" t="s">
        <v>187</v>
      </c>
      <c r="J1649" s="4"/>
    </row>
    <row r="1650" spans="1:10" x14ac:dyDescent="0.2">
      <c r="A1650">
        <f>COUNTIF($I$2:I1650,'[1]Detalle Pilotos'!$G$3)</f>
        <v>5</v>
      </c>
      <c r="B1650">
        <f t="shared" si="33"/>
        <v>1649</v>
      </c>
      <c r="C1650" s="9">
        <v>45761</v>
      </c>
      <c r="D1650" s="4" t="s">
        <v>852</v>
      </c>
      <c r="E1650" s="8"/>
      <c r="F1650" s="3">
        <v>143500</v>
      </c>
      <c r="G1650" s="7">
        <f>IF(Tabla1[[#This Row],[Fecha]]="","",G1649+Tabla1[[#This Row],[ingreso]]-Tabla1[[#This Row],[egreso]])</f>
        <v>1347503.9626999982</v>
      </c>
      <c r="H1650" s="7"/>
      <c r="I1650" s="7" t="s">
        <v>853</v>
      </c>
      <c r="J1650" s="4"/>
    </row>
    <row r="1651" spans="1:10" x14ac:dyDescent="0.2">
      <c r="A1651">
        <f>COUNTIF($I$2:I1651,'[1]Detalle Pilotos'!$G$3)</f>
        <v>5</v>
      </c>
      <c r="B1651">
        <f t="shared" si="33"/>
        <v>1650</v>
      </c>
      <c r="C1651" s="9">
        <v>45762</v>
      </c>
      <c r="D1651" s="4" t="s">
        <v>15</v>
      </c>
      <c r="E1651" s="8"/>
      <c r="F1651" s="3">
        <v>250000</v>
      </c>
      <c r="G1651" s="7">
        <f>IF(Tabla1[[#This Row],[Fecha]]="","",G1650+Tabla1[[#This Row],[ingreso]]-Tabla1[[#This Row],[egreso]])</f>
        <v>1597503.9626999982</v>
      </c>
      <c r="H1651" s="7"/>
      <c r="I1651" s="7" t="s">
        <v>16</v>
      </c>
      <c r="J1651" s="4"/>
    </row>
    <row r="1652" spans="1:10" x14ac:dyDescent="0.2">
      <c r="A1652">
        <f>COUNTIF($I$2:I1652,'[1]Detalle Pilotos'!$G$3)</f>
        <v>5</v>
      </c>
      <c r="B1652">
        <f t="shared" si="33"/>
        <v>1651</v>
      </c>
      <c r="C1652" s="9">
        <v>45762</v>
      </c>
      <c r="D1652" s="4" t="s">
        <v>854</v>
      </c>
      <c r="E1652" s="8">
        <v>121732</v>
      </c>
      <c r="F1652" s="3"/>
      <c r="G1652" s="7">
        <f>IF(Tabla1[[#This Row],[Fecha]]="","",G1651+Tabla1[[#This Row],[ingreso]]-Tabla1[[#This Row],[egreso]])</f>
        <v>1475771.9626999982</v>
      </c>
      <c r="H1652" s="7"/>
      <c r="I1652" s="7"/>
      <c r="J1652" s="4"/>
    </row>
    <row r="1653" spans="1:10" x14ac:dyDescent="0.2">
      <c r="A1653">
        <f>COUNTIF($I$2:I1653,'[1]Detalle Pilotos'!$G$3)</f>
        <v>5</v>
      </c>
      <c r="B1653">
        <f t="shared" si="33"/>
        <v>1652</v>
      </c>
      <c r="C1653" s="9">
        <v>45762</v>
      </c>
      <c r="D1653" s="4" t="s">
        <v>855</v>
      </c>
      <c r="E1653" s="8">
        <v>400000</v>
      </c>
      <c r="F1653" s="3"/>
      <c r="G1653" s="7">
        <f>IF(Tabla1[[#This Row],[Fecha]]="","",G1652+Tabla1[[#This Row],[ingreso]]-Tabla1[[#This Row],[egreso]])</f>
        <v>1075771.9626999982</v>
      </c>
      <c r="H1653" s="7"/>
      <c r="I1653" s="7"/>
      <c r="J1653" s="4"/>
    </row>
    <row r="1654" spans="1:10" x14ac:dyDescent="0.2">
      <c r="A1654">
        <f>COUNTIF($I$2:I1654,'[1]Detalle Pilotos'!$G$3)</f>
        <v>5</v>
      </c>
      <c r="B1654">
        <f t="shared" si="33"/>
        <v>1653</v>
      </c>
      <c r="C1654" s="9">
        <v>45764</v>
      </c>
      <c r="D1654" s="4" t="s">
        <v>770</v>
      </c>
      <c r="E1654" s="8"/>
      <c r="F1654" s="3">
        <v>280000</v>
      </c>
      <c r="G1654" s="7">
        <f>IF(Tabla1[[#This Row],[Fecha]]="","",G1653+Tabla1[[#This Row],[ingreso]]-Tabla1[[#This Row],[egreso]])</f>
        <v>1355771.9626999982</v>
      </c>
      <c r="H1654" s="7"/>
      <c r="I1654" s="7" t="s">
        <v>771</v>
      </c>
      <c r="J1654" s="4"/>
    </row>
    <row r="1655" spans="1:10" x14ac:dyDescent="0.2">
      <c r="A1655">
        <f>COUNTIF($I$2:I1655,'[1]Detalle Pilotos'!$G$3)</f>
        <v>5</v>
      </c>
      <c r="B1655">
        <f t="shared" si="33"/>
        <v>1654</v>
      </c>
      <c r="C1655" s="9">
        <v>45764</v>
      </c>
      <c r="D1655" s="4" t="s">
        <v>839</v>
      </c>
      <c r="E1655" s="8">
        <v>300000</v>
      </c>
      <c r="F1655" s="3"/>
      <c r="G1655" s="7">
        <f>IF(Tabla1[[#This Row],[Fecha]]="","",G1654+Tabla1[[#This Row],[ingreso]]-Tabla1[[#This Row],[egreso]])</f>
        <v>1055771.9626999982</v>
      </c>
      <c r="H1655" s="7"/>
      <c r="I1655" s="7"/>
      <c r="J1655" s="4"/>
    </row>
    <row r="1656" spans="1:10" x14ac:dyDescent="0.2">
      <c r="A1656">
        <f>COUNTIF($I$2:I1656,'[1]Detalle Pilotos'!$G$3)</f>
        <v>5</v>
      </c>
      <c r="B1656">
        <f t="shared" si="33"/>
        <v>1655</v>
      </c>
      <c r="C1656" s="9">
        <v>45770</v>
      </c>
      <c r="D1656" s="4" t="s">
        <v>755</v>
      </c>
      <c r="E1656" s="8"/>
      <c r="F1656" s="3">
        <v>420000</v>
      </c>
      <c r="G1656" s="7">
        <f>IF(Tabla1[[#This Row],[Fecha]]="","",G1655+Tabla1[[#This Row],[ingreso]]-Tabla1[[#This Row],[egreso]])</f>
        <v>1475771.9626999982</v>
      </c>
      <c r="H1656" s="7"/>
      <c r="I1656" s="7" t="s">
        <v>756</v>
      </c>
      <c r="J1656" s="4"/>
    </row>
    <row r="1657" spans="1:10" x14ac:dyDescent="0.2">
      <c r="A1657">
        <f>COUNTIF($I$2:I1657,'[1]Detalle Pilotos'!$G$3)</f>
        <v>5</v>
      </c>
      <c r="B1657">
        <f t="shared" si="33"/>
        <v>1656</v>
      </c>
      <c r="C1657" s="9">
        <v>45771</v>
      </c>
      <c r="D1657" s="4" t="s">
        <v>856</v>
      </c>
      <c r="E1657" s="8">
        <v>200000</v>
      </c>
      <c r="F1657" s="3"/>
      <c r="G1657" s="7">
        <f>IF(Tabla1[[#This Row],[Fecha]]="","",G1656+Tabla1[[#This Row],[ingreso]]-Tabla1[[#This Row],[egreso]])</f>
        <v>1275771.9626999982</v>
      </c>
      <c r="H1657" s="7"/>
      <c r="I1657" s="7"/>
      <c r="J1657" s="4"/>
    </row>
    <row r="1658" spans="1:10" x14ac:dyDescent="0.2">
      <c r="A1658">
        <f>COUNTIF($I$2:I1658,'[1]Detalle Pilotos'!$G$3)</f>
        <v>5</v>
      </c>
      <c r="B1658">
        <f t="shared" si="33"/>
        <v>1657</v>
      </c>
      <c r="C1658" s="9">
        <v>45771</v>
      </c>
      <c r="D1658" s="4" t="s">
        <v>839</v>
      </c>
      <c r="E1658" s="8">
        <v>200000</v>
      </c>
      <c r="F1658" s="3"/>
      <c r="G1658" s="7">
        <f>IF(Tabla1[[#This Row],[Fecha]]="","",G1657+Tabla1[[#This Row],[ingreso]]-Tabla1[[#This Row],[egreso]])</f>
        <v>1075771.9626999982</v>
      </c>
      <c r="H1658" s="7"/>
      <c r="I1658" s="7"/>
      <c r="J1658" s="4"/>
    </row>
    <row r="1659" spans="1:10" x14ac:dyDescent="0.2">
      <c r="A1659">
        <f>COUNTIF($I$2:I1659,'[1]Detalle Pilotos'!$G$3)</f>
        <v>5</v>
      </c>
      <c r="B1659">
        <f t="shared" si="33"/>
        <v>1658</v>
      </c>
      <c r="C1659" s="9">
        <v>45772</v>
      </c>
      <c r="D1659" s="4" t="s">
        <v>857</v>
      </c>
      <c r="E1659" s="8">
        <v>149670</v>
      </c>
      <c r="F1659" s="3"/>
      <c r="G1659" s="7">
        <f>IF(Tabla1[[#This Row],[Fecha]]="","",G1658+Tabla1[[#This Row],[ingreso]]-Tabla1[[#This Row],[egreso]])</f>
        <v>926101.96269999817</v>
      </c>
      <c r="H1659" s="7"/>
      <c r="I1659" s="7"/>
      <c r="J1659" s="4"/>
    </row>
    <row r="1660" spans="1:10" x14ac:dyDescent="0.2">
      <c r="A1660">
        <f>COUNTIF($I$2:I1660,'[1]Detalle Pilotos'!$G$3)</f>
        <v>5</v>
      </c>
      <c r="B1660">
        <f t="shared" si="33"/>
        <v>1659</v>
      </c>
      <c r="C1660" s="9">
        <v>45772</v>
      </c>
      <c r="D1660" s="4" t="s">
        <v>858</v>
      </c>
      <c r="E1660" s="8">
        <v>133040</v>
      </c>
      <c r="F1660" s="3"/>
      <c r="G1660" s="7">
        <f>IF(Tabla1[[#This Row],[Fecha]]="","",G1659+Tabla1[[#This Row],[ingreso]]-Tabla1[[#This Row],[egreso]])</f>
        <v>793061.96269999817</v>
      </c>
      <c r="H1660" s="7"/>
      <c r="I1660" s="7"/>
      <c r="J1660" s="4"/>
    </row>
    <row r="1661" spans="1:10" x14ac:dyDescent="0.2">
      <c r="A1661">
        <f>COUNTIF($I$2:I1661,'[1]Detalle Pilotos'!$G$3)</f>
        <v>5</v>
      </c>
      <c r="B1661">
        <f t="shared" si="33"/>
        <v>1660</v>
      </c>
      <c r="C1661" s="9">
        <v>45779</v>
      </c>
      <c r="D1661" s="4" t="s">
        <v>859</v>
      </c>
      <c r="E1661" s="8">
        <v>108095</v>
      </c>
      <c r="F1661" s="3"/>
      <c r="G1661" s="7">
        <f>IF(Tabla1[[#This Row],[Fecha]]="","",G1660+Tabla1[[#This Row],[ingreso]]-Tabla1[[#This Row],[egreso]])</f>
        <v>684966.96269999817</v>
      </c>
      <c r="H1661" s="7"/>
      <c r="I1661" s="7"/>
      <c r="J1661" s="4"/>
    </row>
    <row r="1662" spans="1:10" x14ac:dyDescent="0.2">
      <c r="A1662">
        <f>COUNTIF($I$2:I1662,'[1]Detalle Pilotos'!$G$3)</f>
        <v>5</v>
      </c>
      <c r="B1662">
        <f t="shared" si="33"/>
        <v>1661</v>
      </c>
      <c r="C1662" s="9">
        <v>45782</v>
      </c>
      <c r="D1662" s="4" t="s">
        <v>755</v>
      </c>
      <c r="E1662" s="8"/>
      <c r="F1662" s="3">
        <v>348500</v>
      </c>
      <c r="G1662" s="7">
        <f>IF(Tabla1[[#This Row],[Fecha]]="","",G1661+Tabla1[[#This Row],[ingreso]]-Tabla1[[#This Row],[egreso]])</f>
        <v>1033466.9626999982</v>
      </c>
      <c r="H1662" s="7"/>
      <c r="I1662" s="7" t="s">
        <v>756</v>
      </c>
      <c r="J1662" s="4"/>
    </row>
    <row r="1663" spans="1:10" x14ac:dyDescent="0.2">
      <c r="A1663">
        <f>COUNTIF($I$2:I1663,'[1]Detalle Pilotos'!$G$3)</f>
        <v>5</v>
      </c>
      <c r="B1663">
        <f t="shared" si="33"/>
        <v>1662</v>
      </c>
      <c r="C1663" s="9">
        <v>45782</v>
      </c>
      <c r="D1663" s="4" t="s">
        <v>785</v>
      </c>
      <c r="E1663" s="8"/>
      <c r="F1663" s="3">
        <v>300000</v>
      </c>
      <c r="G1663" s="7">
        <f>IF(Tabla1[[#This Row],[Fecha]]="","",G1662+Tabla1[[#This Row],[ingreso]]-Tabla1[[#This Row],[egreso]])</f>
        <v>1333466.9626999982</v>
      </c>
      <c r="H1663" s="7"/>
      <c r="I1663" s="7" t="s">
        <v>786</v>
      </c>
      <c r="J1663" s="4"/>
    </row>
    <row r="1664" spans="1:10" x14ac:dyDescent="0.2">
      <c r="A1664">
        <f>COUNTIF($I$2:I1664,'[1]Detalle Pilotos'!$G$3)</f>
        <v>5</v>
      </c>
      <c r="B1664">
        <f t="shared" si="33"/>
        <v>1663</v>
      </c>
      <c r="C1664" s="9">
        <v>45782</v>
      </c>
      <c r="D1664" s="4" t="s">
        <v>860</v>
      </c>
      <c r="E1664" s="8">
        <v>51054</v>
      </c>
      <c r="F1664" s="3"/>
      <c r="G1664" s="7">
        <f>IF(Tabla1[[#This Row],[Fecha]]="","",G1663+Tabla1[[#This Row],[ingreso]]-Tabla1[[#This Row],[egreso]])</f>
        <v>1282412.9626999982</v>
      </c>
      <c r="H1664" s="7"/>
      <c r="I1664" s="7"/>
      <c r="J1664" s="4"/>
    </row>
    <row r="1665" spans="1:10" x14ac:dyDescent="0.2">
      <c r="A1665">
        <f>COUNTIF($I$2:I1665,'[1]Detalle Pilotos'!$G$3)</f>
        <v>5</v>
      </c>
      <c r="B1665">
        <f t="shared" si="33"/>
        <v>1664</v>
      </c>
      <c r="C1665" s="9">
        <v>45782</v>
      </c>
      <c r="D1665" s="4" t="s">
        <v>755</v>
      </c>
      <c r="E1665" s="8"/>
      <c r="F1665" s="3">
        <v>160000</v>
      </c>
      <c r="G1665" s="7">
        <f>IF(Tabla1[[#This Row],[Fecha]]="","",G1664+Tabla1[[#This Row],[ingreso]]-Tabla1[[#This Row],[egreso]])</f>
        <v>1442412.9626999982</v>
      </c>
      <c r="H1665" s="7"/>
      <c r="I1665" s="7" t="s">
        <v>756</v>
      </c>
      <c r="J1665" s="4"/>
    </row>
    <row r="1666" spans="1:10" x14ac:dyDescent="0.2">
      <c r="A1666">
        <f>COUNTIF($I$2:I1666,'[1]Detalle Pilotos'!$G$3)</f>
        <v>5</v>
      </c>
      <c r="B1666">
        <f t="shared" si="33"/>
        <v>1665</v>
      </c>
      <c r="C1666" s="9">
        <v>45782</v>
      </c>
      <c r="D1666" s="4" t="s">
        <v>802</v>
      </c>
      <c r="E1666" s="8"/>
      <c r="F1666" s="3">
        <v>500000</v>
      </c>
      <c r="G1666" s="7">
        <f>IF(Tabla1[[#This Row],[Fecha]]="","",G1665+Tabla1[[#This Row],[ingreso]]-Tabla1[[#This Row],[egreso]])</f>
        <v>1942412.9626999982</v>
      </c>
      <c r="H1666" s="7"/>
      <c r="I1666" s="7" t="s">
        <v>803</v>
      </c>
      <c r="J1666" s="4"/>
    </row>
    <row r="1667" spans="1:10" x14ac:dyDescent="0.2">
      <c r="A1667">
        <f>COUNTIF($I$2:I1667,'[1]Detalle Pilotos'!$G$3)</f>
        <v>5</v>
      </c>
      <c r="B1667">
        <f t="shared" si="33"/>
        <v>1666</v>
      </c>
      <c r="C1667" s="9">
        <v>45782</v>
      </c>
      <c r="D1667" s="4" t="s">
        <v>839</v>
      </c>
      <c r="E1667" s="8">
        <v>500000</v>
      </c>
      <c r="F1667" s="3"/>
      <c r="G1667" s="7">
        <f>IF(Tabla1[[#This Row],[Fecha]]="","",G1666+Tabla1[[#This Row],[ingreso]]-Tabla1[[#This Row],[egreso]])</f>
        <v>1442412.9626999982</v>
      </c>
      <c r="H1667" s="7"/>
      <c r="I1667" s="7"/>
      <c r="J1667" s="4"/>
    </row>
    <row r="1668" spans="1:10" x14ac:dyDescent="0.2">
      <c r="A1668">
        <f>COUNTIF($I$2:I1668,'[1]Detalle Pilotos'!$G$3)</f>
        <v>5</v>
      </c>
      <c r="B1668">
        <f t="shared" ref="B1668:B1731" si="34">IF(C1668="","",1+B1667)</f>
        <v>1667</v>
      </c>
      <c r="C1668" s="9">
        <v>45782</v>
      </c>
      <c r="D1668" s="4" t="s">
        <v>861</v>
      </c>
      <c r="E1668" s="8">
        <v>495284</v>
      </c>
      <c r="F1668" s="3"/>
      <c r="G1668" s="7">
        <f>IF(Tabla1[[#This Row],[Fecha]]="","",G1667+Tabla1[[#This Row],[ingreso]]-Tabla1[[#This Row],[egreso]])</f>
        <v>947128.96269999817</v>
      </c>
      <c r="H1668" s="7"/>
      <c r="I1668" s="7"/>
      <c r="J1668" s="4"/>
    </row>
    <row r="1669" spans="1:10" x14ac:dyDescent="0.2">
      <c r="A1669">
        <f>COUNTIF($I$2:I1669,'[1]Detalle Pilotos'!$G$3)</f>
        <v>5</v>
      </c>
      <c r="B1669">
        <f t="shared" si="34"/>
        <v>1668</v>
      </c>
      <c r="C1669" s="9">
        <v>45782</v>
      </c>
      <c r="D1669" s="4" t="s">
        <v>716</v>
      </c>
      <c r="E1669" s="8"/>
      <c r="F1669" s="3">
        <v>294000</v>
      </c>
      <c r="G1669" s="7">
        <f>IF(Tabla1[[#This Row],[Fecha]]="","",G1668+Tabla1[[#This Row],[ingreso]]-Tabla1[[#This Row],[egreso]])</f>
        <v>1241128.9626999982</v>
      </c>
      <c r="H1669" s="7"/>
      <c r="I1669" s="7" t="s">
        <v>862</v>
      </c>
      <c r="J1669" s="4"/>
    </row>
    <row r="1670" spans="1:10" x14ac:dyDescent="0.2">
      <c r="A1670">
        <f>COUNTIF($I$2:I1670,'[1]Detalle Pilotos'!$G$3)</f>
        <v>5</v>
      </c>
      <c r="B1670">
        <f t="shared" si="34"/>
        <v>1669</v>
      </c>
      <c r="C1670" s="9">
        <v>45782</v>
      </c>
      <c r="D1670" s="4" t="s">
        <v>839</v>
      </c>
      <c r="E1670" s="8">
        <v>200000</v>
      </c>
      <c r="F1670" s="3"/>
      <c r="G1670" s="7">
        <f>IF(Tabla1[[#This Row],[Fecha]]="","",G1669+Tabla1[[#This Row],[ingreso]]-Tabla1[[#This Row],[egreso]])</f>
        <v>1041128.9626999982</v>
      </c>
      <c r="H1670" s="7"/>
      <c r="I1670" s="7"/>
      <c r="J1670" s="4"/>
    </row>
    <row r="1671" spans="1:10" x14ac:dyDescent="0.2">
      <c r="A1671">
        <f>COUNTIF($I$2:I1671,'[1]Detalle Pilotos'!$G$3)</f>
        <v>5</v>
      </c>
      <c r="B1671">
        <f t="shared" si="34"/>
        <v>1670</v>
      </c>
      <c r="C1671" s="9">
        <v>45783</v>
      </c>
      <c r="D1671" s="4" t="s">
        <v>785</v>
      </c>
      <c r="E1671" s="8"/>
      <c r="F1671" s="3">
        <v>356388</v>
      </c>
      <c r="G1671" s="7">
        <f>IF(Tabla1[[#This Row],[Fecha]]="","",G1670+Tabla1[[#This Row],[ingreso]]-Tabla1[[#This Row],[egreso]])</f>
        <v>1397516.9626999982</v>
      </c>
      <c r="H1671" s="7"/>
      <c r="I1671" s="7" t="s">
        <v>786</v>
      </c>
      <c r="J1671" s="4"/>
    </row>
    <row r="1672" spans="1:10" x14ac:dyDescent="0.2">
      <c r="A1672">
        <f>COUNTIF($I$2:I1672,'[1]Detalle Pilotos'!$G$3)</f>
        <v>5</v>
      </c>
      <c r="B1672">
        <f t="shared" si="34"/>
        <v>1671</v>
      </c>
      <c r="C1672" s="9">
        <v>45783</v>
      </c>
      <c r="D1672" s="4" t="s">
        <v>839</v>
      </c>
      <c r="E1672" s="8">
        <v>350000</v>
      </c>
      <c r="F1672" s="3"/>
      <c r="G1672" s="7">
        <f>IF(Tabla1[[#This Row],[Fecha]]="","",G1671+Tabla1[[#This Row],[ingreso]]-Tabla1[[#This Row],[egreso]])</f>
        <v>1047516.9626999982</v>
      </c>
      <c r="H1672" s="7"/>
      <c r="I1672" s="7"/>
      <c r="J1672" s="4"/>
    </row>
    <row r="1673" spans="1:10" x14ac:dyDescent="0.2">
      <c r="A1673">
        <f>COUNTIF($I$2:I1673,'[1]Detalle Pilotos'!$G$3)</f>
        <v>5</v>
      </c>
      <c r="B1673">
        <f t="shared" si="34"/>
        <v>1672</v>
      </c>
      <c r="C1673" s="9">
        <v>45784</v>
      </c>
      <c r="D1673" s="4" t="s">
        <v>826</v>
      </c>
      <c r="E1673" s="8"/>
      <c r="F1673" s="3">
        <v>175500</v>
      </c>
      <c r="G1673" s="7">
        <f>IF(Tabla1[[#This Row],[Fecha]]="","",G1672+Tabla1[[#This Row],[ingreso]]-Tabla1[[#This Row],[egreso]])</f>
        <v>1223016.9626999982</v>
      </c>
      <c r="H1673" s="7"/>
      <c r="I1673" s="7" t="s">
        <v>827</v>
      </c>
      <c r="J1673" s="4"/>
    </row>
    <row r="1674" spans="1:10" x14ac:dyDescent="0.2">
      <c r="A1674">
        <f>COUNTIF($I$2:I1674,'[1]Detalle Pilotos'!$G$3)</f>
        <v>5</v>
      </c>
      <c r="B1674">
        <f t="shared" si="34"/>
        <v>1673</v>
      </c>
      <c r="C1674" s="9">
        <v>45785</v>
      </c>
      <c r="D1674" s="4" t="s">
        <v>797</v>
      </c>
      <c r="E1674" s="8">
        <v>77188</v>
      </c>
      <c r="F1674" s="3"/>
      <c r="G1674" s="7">
        <f>IF(Tabla1[[#This Row],[Fecha]]="","",G1673+Tabla1[[#This Row],[ingreso]]-Tabla1[[#This Row],[egreso]])</f>
        <v>1145828.9626999982</v>
      </c>
      <c r="H1674" s="7"/>
      <c r="I1674" s="7"/>
      <c r="J1674" s="4"/>
    </row>
    <row r="1675" spans="1:10" x14ac:dyDescent="0.2">
      <c r="A1675">
        <f>COUNTIF($I$2:I1675,'[1]Detalle Pilotos'!$G$3)</f>
        <v>5</v>
      </c>
      <c r="B1675">
        <f t="shared" si="34"/>
        <v>1674</v>
      </c>
      <c r="C1675" s="9">
        <v>45785</v>
      </c>
      <c r="D1675" s="4" t="s">
        <v>762</v>
      </c>
      <c r="E1675" s="8"/>
      <c r="F1675" s="3">
        <v>389500</v>
      </c>
      <c r="G1675" s="7">
        <f>IF(Tabla1[[#This Row],[Fecha]]="","",G1674+Tabla1[[#This Row],[ingreso]]-Tabla1[[#This Row],[egreso]])</f>
        <v>1535328.9626999982</v>
      </c>
      <c r="H1675" s="7"/>
      <c r="I1675" s="7" t="s">
        <v>745</v>
      </c>
      <c r="J1675" s="4"/>
    </row>
    <row r="1676" spans="1:10" x14ac:dyDescent="0.2">
      <c r="A1676">
        <f>COUNTIF($I$2:I1676,'[1]Detalle Pilotos'!$G$3)</f>
        <v>5</v>
      </c>
      <c r="B1676">
        <f t="shared" si="34"/>
        <v>1675</v>
      </c>
      <c r="C1676" s="9">
        <v>45785</v>
      </c>
      <c r="D1676" s="4" t="s">
        <v>839</v>
      </c>
      <c r="E1676" s="8">
        <v>500000</v>
      </c>
      <c r="F1676" s="3"/>
      <c r="G1676" s="7">
        <f>IF(Tabla1[[#This Row],[Fecha]]="","",G1675+Tabla1[[#This Row],[ingreso]]-Tabla1[[#This Row],[egreso]])</f>
        <v>1035328.9626999982</v>
      </c>
      <c r="H1676" s="7"/>
      <c r="I1676" s="7"/>
      <c r="J1676" s="4"/>
    </row>
    <row r="1677" spans="1:10" x14ac:dyDescent="0.2">
      <c r="A1677">
        <f>COUNTIF($I$2:I1677,'[1]Detalle Pilotos'!$G$3)</f>
        <v>5</v>
      </c>
      <c r="B1677">
        <f t="shared" si="34"/>
        <v>1676</v>
      </c>
      <c r="C1677" s="9">
        <v>45786</v>
      </c>
      <c r="D1677" s="4" t="s">
        <v>782</v>
      </c>
      <c r="E1677" s="8"/>
      <c r="F1677" s="3">
        <v>720323</v>
      </c>
      <c r="G1677" s="7">
        <f>IF(Tabla1[[#This Row],[Fecha]]="","",G1676+Tabla1[[#This Row],[ingreso]]-Tabla1[[#This Row],[egreso]])</f>
        <v>1755651.9626999982</v>
      </c>
      <c r="H1677" s="7"/>
      <c r="I1677" s="7" t="s">
        <v>783</v>
      </c>
      <c r="J1677" s="4"/>
    </row>
    <row r="1678" spans="1:10" x14ac:dyDescent="0.2">
      <c r="A1678">
        <f>COUNTIF($I$2:I1678,'[1]Detalle Pilotos'!$G$3)</f>
        <v>5</v>
      </c>
      <c r="B1678">
        <f t="shared" si="34"/>
        <v>1677</v>
      </c>
      <c r="C1678" s="9">
        <v>45786</v>
      </c>
      <c r="D1678" s="4" t="s">
        <v>839</v>
      </c>
      <c r="E1678" s="8">
        <v>750000</v>
      </c>
      <c r="F1678" s="3"/>
      <c r="G1678" s="7">
        <f>IF(Tabla1[[#This Row],[Fecha]]="","",G1677+Tabla1[[#This Row],[ingreso]]-Tabla1[[#This Row],[egreso]])</f>
        <v>1005651.9626999982</v>
      </c>
      <c r="H1678" s="7"/>
      <c r="I1678" s="7"/>
      <c r="J1678" s="4"/>
    </row>
    <row r="1679" spans="1:10" x14ac:dyDescent="0.2">
      <c r="A1679">
        <f>COUNTIF($I$2:I1679,'[1]Detalle Pilotos'!$G$3)</f>
        <v>5</v>
      </c>
      <c r="B1679">
        <f t="shared" si="34"/>
        <v>1678</v>
      </c>
      <c r="C1679" s="9">
        <v>45789</v>
      </c>
      <c r="D1679" s="4" t="s">
        <v>724</v>
      </c>
      <c r="E1679" s="8"/>
      <c r="F1679" s="3">
        <v>140000</v>
      </c>
      <c r="G1679" s="7">
        <f>IF(Tabla1[[#This Row],[Fecha]]="","",G1678+Tabla1[[#This Row],[ingreso]]-Tabla1[[#This Row],[egreso]])</f>
        <v>1145651.9626999982</v>
      </c>
      <c r="H1679" s="7"/>
      <c r="I1679" s="7"/>
      <c r="J1679" s="4"/>
    </row>
    <row r="1680" spans="1:10" x14ac:dyDescent="0.2">
      <c r="A1680">
        <f>COUNTIF($I$2:I1680,'[1]Detalle Pilotos'!$G$3)</f>
        <v>5</v>
      </c>
      <c r="B1680">
        <f t="shared" si="34"/>
        <v>1679</v>
      </c>
      <c r="C1680" s="9">
        <v>45790</v>
      </c>
      <c r="D1680" s="4" t="s">
        <v>839</v>
      </c>
      <c r="E1680" s="8">
        <v>100000</v>
      </c>
      <c r="F1680" s="3"/>
      <c r="G1680" s="7">
        <f>IF(Tabla1[[#This Row],[Fecha]]="","",G1679+Tabla1[[#This Row],[ingreso]]-Tabla1[[#This Row],[egreso]])</f>
        <v>1045651.9626999982</v>
      </c>
      <c r="H1680" s="7"/>
      <c r="I1680" s="7"/>
      <c r="J1680" s="4"/>
    </row>
    <row r="1681" spans="1:10" x14ac:dyDescent="0.2">
      <c r="A1681">
        <f>COUNTIF($I$2:I1681,'[1]Detalle Pilotos'!$G$3)</f>
        <v>5</v>
      </c>
      <c r="B1681">
        <f t="shared" si="34"/>
        <v>1680</v>
      </c>
      <c r="C1681" s="9">
        <v>45799</v>
      </c>
      <c r="D1681" s="4" t="s">
        <v>792</v>
      </c>
      <c r="E1681" s="8">
        <v>83900</v>
      </c>
      <c r="F1681" s="3"/>
      <c r="G1681" s="7">
        <f>IF(Tabla1[[#This Row],[Fecha]]="","",G1680+Tabla1[[#This Row],[ingreso]]-Tabla1[[#This Row],[egreso]])</f>
        <v>961751.96269999817</v>
      </c>
      <c r="H1681" s="7"/>
      <c r="I1681" s="7"/>
      <c r="J1681" s="4"/>
    </row>
    <row r="1682" spans="1:10" x14ac:dyDescent="0.2">
      <c r="A1682">
        <f>COUNTIF($I$2:I1682,'[1]Detalle Pilotos'!$G$3)</f>
        <v>5</v>
      </c>
      <c r="B1682">
        <f t="shared" si="34"/>
        <v>1681</v>
      </c>
      <c r="C1682" s="9">
        <v>45799</v>
      </c>
      <c r="D1682" s="4" t="s">
        <v>863</v>
      </c>
      <c r="E1682" s="8">
        <v>72657</v>
      </c>
      <c r="F1682" s="3"/>
      <c r="G1682" s="7">
        <f>IF(Tabla1[[#This Row],[Fecha]]="","",G1681+Tabla1[[#This Row],[ingreso]]-Tabla1[[#This Row],[egreso]])</f>
        <v>889094.96269999817</v>
      </c>
      <c r="H1682" s="7"/>
      <c r="I1682" s="7"/>
      <c r="J1682" s="4"/>
    </row>
    <row r="1683" spans="1:10" x14ac:dyDescent="0.2">
      <c r="A1683">
        <f>COUNTIF($I$2:I1683,'[1]Detalle Pilotos'!$G$3)</f>
        <v>5</v>
      </c>
      <c r="B1683">
        <f t="shared" si="34"/>
        <v>1682</v>
      </c>
      <c r="C1683" s="9">
        <v>45799</v>
      </c>
      <c r="D1683" s="4" t="s">
        <v>765</v>
      </c>
      <c r="E1683" s="8"/>
      <c r="F1683" s="3">
        <v>350000</v>
      </c>
      <c r="G1683" s="7">
        <f>IF(Tabla1[[#This Row],[Fecha]]="","",G1682+Tabla1[[#This Row],[ingreso]]-Tabla1[[#This Row],[egreso]])</f>
        <v>1239094.9626999982</v>
      </c>
      <c r="H1683" s="7"/>
      <c r="I1683" s="7" t="s">
        <v>864</v>
      </c>
      <c r="J1683" s="4"/>
    </row>
    <row r="1684" spans="1:10" x14ac:dyDescent="0.2">
      <c r="A1684">
        <f>COUNTIF($I$2:I1684,'[1]Detalle Pilotos'!$G$3)</f>
        <v>5</v>
      </c>
      <c r="B1684">
        <f t="shared" si="34"/>
        <v>1683</v>
      </c>
      <c r="C1684" s="9">
        <v>45799</v>
      </c>
      <c r="D1684" s="4" t="s">
        <v>765</v>
      </c>
      <c r="E1684" s="8"/>
      <c r="F1684" s="3">
        <v>101000</v>
      </c>
      <c r="G1684" s="7">
        <f>IF(Tabla1[[#This Row],[Fecha]]="","",G1683+Tabla1[[#This Row],[ingreso]]-Tabla1[[#This Row],[egreso]])</f>
        <v>1340094.9626999982</v>
      </c>
      <c r="H1684" s="7"/>
      <c r="I1684" s="7" t="s">
        <v>864</v>
      </c>
      <c r="J1684" s="4"/>
    </row>
    <row r="1685" spans="1:10" x14ac:dyDescent="0.2">
      <c r="A1685">
        <f>COUNTIF($I$2:I1685,'[1]Detalle Pilotos'!$G$3)</f>
        <v>5</v>
      </c>
      <c r="B1685">
        <f t="shared" si="34"/>
        <v>1684</v>
      </c>
      <c r="C1685" s="9">
        <v>45799</v>
      </c>
      <c r="D1685" s="4" t="s">
        <v>178</v>
      </c>
      <c r="E1685" s="8"/>
      <c r="F1685" s="3">
        <v>400000</v>
      </c>
      <c r="G1685" s="7">
        <f>IF(Tabla1[[#This Row],[Fecha]]="","",G1684+Tabla1[[#This Row],[ingreso]]-Tabla1[[#This Row],[egreso]])</f>
        <v>1740094.9626999982</v>
      </c>
      <c r="H1685" s="7"/>
      <c r="I1685" s="7" t="s">
        <v>179</v>
      </c>
      <c r="J1685" s="4"/>
    </row>
    <row r="1686" spans="1:10" x14ac:dyDescent="0.2">
      <c r="A1686">
        <f>COUNTIF($I$2:I1686,'[1]Detalle Pilotos'!$G$3)</f>
        <v>5</v>
      </c>
      <c r="B1686">
        <f t="shared" si="34"/>
        <v>1685</v>
      </c>
      <c r="C1686" s="9">
        <v>45799</v>
      </c>
      <c r="D1686" s="4" t="s">
        <v>839</v>
      </c>
      <c r="E1686" s="8">
        <v>700000</v>
      </c>
      <c r="F1686" s="3"/>
      <c r="G1686" s="7">
        <f>IF(Tabla1[[#This Row],[Fecha]]="","",G1685+Tabla1[[#This Row],[ingreso]]-Tabla1[[#This Row],[egreso]])</f>
        <v>1040094.9626999982</v>
      </c>
      <c r="H1686" s="7"/>
      <c r="I1686" s="7"/>
      <c r="J1686" s="4"/>
    </row>
    <row r="1687" spans="1:10" x14ac:dyDescent="0.2">
      <c r="A1687">
        <f>COUNTIF($I$2:I1687,'[1]Detalle Pilotos'!$G$3)</f>
        <v>5</v>
      </c>
      <c r="B1687">
        <f t="shared" si="34"/>
        <v>1686</v>
      </c>
      <c r="C1687" s="9">
        <v>45807</v>
      </c>
      <c r="D1687" s="4" t="s">
        <v>802</v>
      </c>
      <c r="E1687" s="8"/>
      <c r="F1687" s="3">
        <v>500000</v>
      </c>
      <c r="G1687" s="7">
        <f>IF(Tabla1[[#This Row],[Fecha]]="","",G1686+Tabla1[[#This Row],[ingreso]]-Tabla1[[#This Row],[egreso]])</f>
        <v>1540094.9626999982</v>
      </c>
      <c r="H1687" s="7"/>
      <c r="I1687" s="7" t="s">
        <v>803</v>
      </c>
      <c r="J1687" s="4"/>
    </row>
    <row r="1688" spans="1:10" x14ac:dyDescent="0.2">
      <c r="A1688">
        <f>COUNTIF($I$2:I1688,'[1]Detalle Pilotos'!$G$3)</f>
        <v>5</v>
      </c>
      <c r="B1688">
        <f t="shared" si="34"/>
        <v>1687</v>
      </c>
      <c r="C1688" s="9">
        <v>45807</v>
      </c>
      <c r="D1688" s="4" t="s">
        <v>765</v>
      </c>
      <c r="E1688" s="8"/>
      <c r="F1688" s="3">
        <v>266500</v>
      </c>
      <c r="G1688" s="7">
        <f>IF(Tabla1[[#This Row],[Fecha]]="","",G1687+Tabla1[[#This Row],[ingreso]]-Tabla1[[#This Row],[egreso]])</f>
        <v>1806594.9626999982</v>
      </c>
      <c r="H1688" s="7"/>
      <c r="I1688" s="7" t="s">
        <v>864</v>
      </c>
      <c r="J1688" s="4"/>
    </row>
    <row r="1689" spans="1:10" x14ac:dyDescent="0.2">
      <c r="A1689">
        <f>COUNTIF($I$2:I1689,'[1]Detalle Pilotos'!$G$3)</f>
        <v>5</v>
      </c>
      <c r="B1689">
        <f t="shared" si="34"/>
        <v>1688</v>
      </c>
      <c r="C1689" s="9">
        <v>45810</v>
      </c>
      <c r="D1689" s="4" t="s">
        <v>865</v>
      </c>
      <c r="E1689" s="8">
        <v>55374</v>
      </c>
      <c r="F1689" s="3"/>
      <c r="G1689" s="7">
        <f>IF(Tabla1[[#This Row],[Fecha]]="","",G1688+Tabla1[[#This Row],[ingreso]]-Tabla1[[#This Row],[egreso]])</f>
        <v>1751220.9626999982</v>
      </c>
      <c r="H1689" s="7"/>
      <c r="I1689" s="7"/>
      <c r="J1689" s="4"/>
    </row>
    <row r="1690" spans="1:10" x14ac:dyDescent="0.2">
      <c r="A1690">
        <f>COUNTIF($I$2:I1690,'[1]Detalle Pilotos'!$G$3)</f>
        <v>5</v>
      </c>
      <c r="B1690">
        <f t="shared" si="34"/>
        <v>1689</v>
      </c>
      <c r="C1690" s="9">
        <v>45810</v>
      </c>
      <c r="D1690" s="4" t="s">
        <v>866</v>
      </c>
      <c r="E1690" s="8">
        <v>110748</v>
      </c>
      <c r="F1690" s="3"/>
      <c r="G1690" s="7">
        <f>IF(Tabla1[[#This Row],[Fecha]]="","",G1689+Tabla1[[#This Row],[ingreso]]-Tabla1[[#This Row],[egreso]])</f>
        <v>1640472.9626999982</v>
      </c>
      <c r="H1690" s="7"/>
      <c r="I1690" s="7"/>
      <c r="J1690" s="4"/>
    </row>
    <row r="1691" spans="1:10" x14ac:dyDescent="0.2">
      <c r="A1691">
        <f>COUNTIF($I$2:I1691,'[1]Detalle Pilotos'!$G$3)</f>
        <v>5</v>
      </c>
      <c r="B1691">
        <f t="shared" si="34"/>
        <v>1690</v>
      </c>
      <c r="C1691" s="9">
        <v>45810</v>
      </c>
      <c r="D1691" s="4" t="s">
        <v>867</v>
      </c>
      <c r="E1691" s="8"/>
      <c r="F1691" s="3">
        <v>231000</v>
      </c>
      <c r="G1691" s="7">
        <f>IF(Tabla1[[#This Row],[Fecha]]="","",G1690+Tabla1[[#This Row],[ingreso]]-Tabla1[[#This Row],[egreso]])</f>
        <v>1871472.9626999982</v>
      </c>
      <c r="H1691" s="7"/>
      <c r="I1691" s="7" t="s">
        <v>868</v>
      </c>
      <c r="J1691" s="4"/>
    </row>
    <row r="1692" spans="1:10" x14ac:dyDescent="0.2">
      <c r="A1692">
        <f>COUNTIF($I$2:I1692,'[1]Detalle Pilotos'!$G$3)</f>
        <v>5</v>
      </c>
      <c r="B1692">
        <f t="shared" si="34"/>
        <v>1691</v>
      </c>
      <c r="C1692" s="9">
        <v>45810</v>
      </c>
      <c r="D1692" s="4" t="s">
        <v>869</v>
      </c>
      <c r="E1692" s="8">
        <v>70476</v>
      </c>
      <c r="F1692" s="3"/>
      <c r="G1692" s="7">
        <f>IF(Tabla1[[#This Row],[Fecha]]="","",G1691+Tabla1[[#This Row],[ingreso]]-Tabla1[[#This Row],[egreso]])</f>
        <v>1800996.9626999982</v>
      </c>
      <c r="H1692" s="7"/>
      <c r="I1692" s="7"/>
      <c r="J1692" s="4"/>
    </row>
    <row r="1693" spans="1:10" x14ac:dyDescent="0.2">
      <c r="A1693">
        <f>COUNTIF($I$2:I1693,'[1]Detalle Pilotos'!$G$3)</f>
        <v>5</v>
      </c>
      <c r="B1693">
        <f t="shared" si="34"/>
        <v>1692</v>
      </c>
      <c r="C1693" s="9">
        <v>45810</v>
      </c>
      <c r="D1693" s="4" t="s">
        <v>870</v>
      </c>
      <c r="E1693" s="8"/>
      <c r="F1693" s="3">
        <v>246000</v>
      </c>
      <c r="G1693" s="7">
        <f>IF(Tabla1[[#This Row],[Fecha]]="","",G1692+Tabla1[[#This Row],[ingreso]]-Tabla1[[#This Row],[egreso]])</f>
        <v>2046996.9626999982</v>
      </c>
      <c r="H1693" s="7"/>
      <c r="I1693" s="7" t="s">
        <v>871</v>
      </c>
      <c r="J1693" s="4"/>
    </row>
    <row r="1694" spans="1:10" x14ac:dyDescent="0.2">
      <c r="A1694">
        <f>COUNTIF($I$2:I1694,'[1]Detalle Pilotos'!$G$3)</f>
        <v>5</v>
      </c>
      <c r="B1694">
        <f t="shared" si="34"/>
        <v>1693</v>
      </c>
      <c r="C1694" s="9">
        <v>45810</v>
      </c>
      <c r="D1694" s="4" t="s">
        <v>872</v>
      </c>
      <c r="E1694" s="8"/>
      <c r="F1694" s="3">
        <v>250000</v>
      </c>
      <c r="G1694" s="7">
        <f>IF(Tabla1[[#This Row],[Fecha]]="","",G1693+Tabla1[[#This Row],[ingreso]]-Tabla1[[#This Row],[egreso]])</f>
        <v>2296996.9626999982</v>
      </c>
      <c r="H1694" s="7"/>
      <c r="I1694" s="7" t="s">
        <v>873</v>
      </c>
      <c r="J1694" s="4"/>
    </row>
    <row r="1695" spans="1:10" x14ac:dyDescent="0.2">
      <c r="A1695">
        <f>COUNTIF($I$2:I1695,'[1]Detalle Pilotos'!$G$3)</f>
        <v>5</v>
      </c>
      <c r="B1695">
        <f t="shared" si="34"/>
        <v>1694</v>
      </c>
      <c r="C1695" s="9">
        <v>45810</v>
      </c>
      <c r="D1695" s="4" t="s">
        <v>713</v>
      </c>
      <c r="E1695" s="8">
        <v>500000</v>
      </c>
      <c r="F1695" s="3"/>
      <c r="G1695" s="7">
        <f>IF(Tabla1[[#This Row],[Fecha]]="","",G1694+Tabla1[[#This Row],[ingreso]]-Tabla1[[#This Row],[egreso]])</f>
        <v>1796996.9626999982</v>
      </c>
      <c r="H1695" s="7"/>
      <c r="I1695" s="7"/>
      <c r="J1695" s="4"/>
    </row>
    <row r="1696" spans="1:10" x14ac:dyDescent="0.2">
      <c r="A1696">
        <f>COUNTIF($I$2:I1696,'[1]Detalle Pilotos'!$G$3)</f>
        <v>5</v>
      </c>
      <c r="B1696">
        <f t="shared" si="34"/>
        <v>1695</v>
      </c>
      <c r="C1696" s="9">
        <v>45810</v>
      </c>
      <c r="D1696" s="4" t="s">
        <v>872</v>
      </c>
      <c r="E1696" s="8"/>
      <c r="F1696" s="3">
        <v>205000</v>
      </c>
      <c r="G1696" s="7">
        <f>IF(Tabla1[[#This Row],[Fecha]]="","",G1695+Tabla1[[#This Row],[ingreso]]-Tabla1[[#This Row],[egreso]])</f>
        <v>2001996.9626999982</v>
      </c>
      <c r="H1696" s="7"/>
      <c r="I1696" s="7" t="s">
        <v>873</v>
      </c>
      <c r="J1696" s="4"/>
    </row>
    <row r="1697" spans="1:10" x14ac:dyDescent="0.2">
      <c r="A1697">
        <f>COUNTIF($I$2:I1697,'[1]Detalle Pilotos'!$G$3)</f>
        <v>5</v>
      </c>
      <c r="B1697">
        <f t="shared" si="34"/>
        <v>1696</v>
      </c>
      <c r="C1697" s="9">
        <v>45810</v>
      </c>
      <c r="D1697" s="4" t="s">
        <v>874</v>
      </c>
      <c r="E1697" s="8">
        <v>450000</v>
      </c>
      <c r="F1697" s="3"/>
      <c r="G1697" s="7">
        <f>IF(Tabla1[[#This Row],[Fecha]]="","",G1696+Tabla1[[#This Row],[ingreso]]-Tabla1[[#This Row],[egreso]])</f>
        <v>1551996.9626999982</v>
      </c>
      <c r="H1697" s="7"/>
      <c r="I1697" s="7"/>
      <c r="J1697" s="4"/>
    </row>
    <row r="1698" spans="1:10" x14ac:dyDescent="0.2">
      <c r="A1698">
        <f>COUNTIF($I$2:I1698,'[1]Detalle Pilotos'!$G$3)</f>
        <v>5</v>
      </c>
      <c r="B1698">
        <f t="shared" si="34"/>
        <v>1697</v>
      </c>
      <c r="C1698" s="9">
        <v>45810</v>
      </c>
      <c r="D1698" s="4" t="s">
        <v>875</v>
      </c>
      <c r="E1698" s="8">
        <v>120000</v>
      </c>
      <c r="F1698" s="3"/>
      <c r="G1698" s="7">
        <f>IF(Tabla1[[#This Row],[Fecha]]="","",G1697+Tabla1[[#This Row],[ingreso]]-Tabla1[[#This Row],[egreso]])</f>
        <v>1431996.9626999982</v>
      </c>
      <c r="H1698" s="7"/>
      <c r="I1698" s="7"/>
      <c r="J1698" s="4"/>
    </row>
    <row r="1699" spans="1:10" x14ac:dyDescent="0.2">
      <c r="A1699">
        <f>COUNTIF($I$2:I1699,'[1]Detalle Pilotos'!$G$3)</f>
        <v>5</v>
      </c>
      <c r="B1699">
        <f t="shared" si="34"/>
        <v>1698</v>
      </c>
      <c r="C1699" s="9">
        <v>45811</v>
      </c>
      <c r="D1699" s="4" t="s">
        <v>876</v>
      </c>
      <c r="E1699" s="8">
        <v>1000000</v>
      </c>
      <c r="F1699" s="3"/>
      <c r="G1699" s="7">
        <f>IF(Tabla1[[#This Row],[Fecha]]="","",G1698+Tabla1[[#This Row],[ingreso]]-Tabla1[[#This Row],[egreso]])</f>
        <v>431996.96269999817</v>
      </c>
      <c r="H1699" s="7"/>
      <c r="I1699" s="7"/>
      <c r="J1699" s="4"/>
    </row>
    <row r="1700" spans="1:10" x14ac:dyDescent="0.2">
      <c r="A1700">
        <f>COUNTIF($I$2:I1700,'[1]Detalle Pilotos'!$G$3)</f>
        <v>5</v>
      </c>
      <c r="B1700">
        <f t="shared" si="34"/>
        <v>1699</v>
      </c>
      <c r="C1700" s="9">
        <v>45812</v>
      </c>
      <c r="D1700" s="4" t="s">
        <v>877</v>
      </c>
      <c r="E1700" s="8"/>
      <c r="F1700" s="3">
        <v>1000000</v>
      </c>
      <c r="G1700" s="7">
        <f>IF(Tabla1[[#This Row],[Fecha]]="","",G1699+Tabla1[[#This Row],[ingreso]]-Tabla1[[#This Row],[egreso]])</f>
        <v>1431996.9626999982</v>
      </c>
      <c r="H1700" s="7"/>
      <c r="I1700" s="7"/>
      <c r="J1700" s="4"/>
    </row>
    <row r="1701" spans="1:10" x14ac:dyDescent="0.2">
      <c r="A1701">
        <f>COUNTIF($I$2:I1701,'[1]Detalle Pilotos'!$G$3)</f>
        <v>5</v>
      </c>
      <c r="B1701">
        <f t="shared" si="34"/>
        <v>1700</v>
      </c>
      <c r="C1701" s="9">
        <v>45814</v>
      </c>
      <c r="D1701" s="4" t="s">
        <v>878</v>
      </c>
      <c r="E1701" s="8">
        <v>20000</v>
      </c>
      <c r="F1701" s="3"/>
      <c r="G1701" s="7">
        <f>IF(Tabla1[[#This Row],[Fecha]]="","",G1700+Tabla1[[#This Row],[ingreso]]-Tabla1[[#This Row],[egreso]])</f>
        <v>1411996.9626999982</v>
      </c>
      <c r="H1701" s="7"/>
      <c r="I1701" s="7"/>
      <c r="J1701" s="4"/>
    </row>
    <row r="1702" spans="1:10" x14ac:dyDescent="0.2">
      <c r="A1702">
        <f>COUNTIF($I$2:I1702,'[1]Detalle Pilotos'!$G$3)</f>
        <v>5</v>
      </c>
      <c r="B1702">
        <f t="shared" si="34"/>
        <v>1701</v>
      </c>
      <c r="C1702" s="9">
        <v>45817</v>
      </c>
      <c r="D1702" s="4" t="s">
        <v>879</v>
      </c>
      <c r="E1702" s="8"/>
      <c r="F1702" s="3">
        <v>248541</v>
      </c>
      <c r="G1702" s="7">
        <f>IF(Tabla1[[#This Row],[Fecha]]="","",G1701+Tabla1[[#This Row],[ingreso]]-Tabla1[[#This Row],[egreso]])</f>
        <v>1660537.9626999982</v>
      </c>
      <c r="H1702" s="7"/>
      <c r="I1702" s="7" t="s">
        <v>880</v>
      </c>
      <c r="J1702" s="4"/>
    </row>
    <row r="1703" spans="1:10" x14ac:dyDescent="0.2">
      <c r="A1703">
        <f>COUNTIF($I$2:I1703,'[1]Detalle Pilotos'!$G$3)</f>
        <v>5</v>
      </c>
      <c r="B1703">
        <f t="shared" si="34"/>
        <v>1702</v>
      </c>
      <c r="C1703" s="9">
        <v>45817</v>
      </c>
      <c r="D1703" s="4" t="s">
        <v>826</v>
      </c>
      <c r="E1703" s="8"/>
      <c r="F1703" s="3">
        <v>253500</v>
      </c>
      <c r="G1703" s="7">
        <f>IF(Tabla1[[#This Row],[Fecha]]="","",G1702+Tabla1[[#This Row],[ingreso]]-Tabla1[[#This Row],[egreso]])</f>
        <v>1914037.9626999982</v>
      </c>
      <c r="H1703" s="7"/>
      <c r="I1703" s="7" t="s">
        <v>827</v>
      </c>
      <c r="J1703" s="4"/>
    </row>
    <row r="1704" spans="1:10" x14ac:dyDescent="0.2">
      <c r="A1704">
        <f>COUNTIF($I$2:I1704,'[1]Detalle Pilotos'!$G$3)</f>
        <v>5</v>
      </c>
      <c r="B1704">
        <f t="shared" si="34"/>
        <v>1703</v>
      </c>
      <c r="C1704" s="9">
        <v>45817</v>
      </c>
      <c r="D1704" s="4" t="s">
        <v>881</v>
      </c>
      <c r="E1704" s="8">
        <v>48662</v>
      </c>
      <c r="F1704" s="3"/>
      <c r="G1704" s="7">
        <f>IF(Tabla1[[#This Row],[Fecha]]="","",G1703+Tabla1[[#This Row],[ingreso]]-Tabla1[[#This Row],[egreso]])</f>
        <v>1865375.9626999982</v>
      </c>
      <c r="H1704" s="7"/>
      <c r="I1704" s="7"/>
      <c r="J1704" s="4"/>
    </row>
    <row r="1705" spans="1:10" x14ac:dyDescent="0.2">
      <c r="A1705">
        <f>COUNTIF($I$2:I1705,'[1]Detalle Pilotos'!$G$3)</f>
        <v>5</v>
      </c>
      <c r="B1705">
        <f t="shared" si="34"/>
        <v>1704</v>
      </c>
      <c r="C1705" s="9">
        <v>45818</v>
      </c>
      <c r="D1705" s="4" t="s">
        <v>882</v>
      </c>
      <c r="E1705" s="8"/>
      <c r="F1705" s="3">
        <v>166301</v>
      </c>
      <c r="G1705" s="7">
        <f>IF(Tabla1[[#This Row],[Fecha]]="","",G1704+Tabla1[[#This Row],[ingreso]]-Tabla1[[#This Row],[egreso]])</f>
        <v>2031676.9626999982</v>
      </c>
      <c r="H1705" s="7"/>
      <c r="I1705" s="7" t="s">
        <v>883</v>
      </c>
      <c r="J1705" s="4"/>
    </row>
    <row r="1706" spans="1:10" x14ac:dyDescent="0.2">
      <c r="A1706">
        <f>COUNTIF($I$2:I1706,'[1]Detalle Pilotos'!$G$3)</f>
        <v>5</v>
      </c>
      <c r="B1706">
        <f t="shared" si="34"/>
        <v>1705</v>
      </c>
      <c r="C1706" s="9">
        <v>45818</v>
      </c>
      <c r="D1706" s="4" t="s">
        <v>884</v>
      </c>
      <c r="E1706" s="8"/>
      <c r="F1706" s="3">
        <v>262500</v>
      </c>
      <c r="G1706" s="7">
        <f>IF(Tabla1[[#This Row],[Fecha]]="","",G1705+Tabla1[[#This Row],[ingreso]]-Tabla1[[#This Row],[egreso]])</f>
        <v>2294176.9626999982</v>
      </c>
      <c r="H1706" s="7"/>
      <c r="I1706" s="7" t="s">
        <v>885</v>
      </c>
      <c r="J1706" s="4"/>
    </row>
    <row r="1707" spans="1:10" x14ac:dyDescent="0.2">
      <c r="A1707">
        <f>COUNTIF($I$2:I1707,'[1]Detalle Pilotos'!$G$3)</f>
        <v>5</v>
      </c>
      <c r="B1707">
        <f t="shared" si="34"/>
        <v>1706</v>
      </c>
      <c r="C1707" s="9">
        <v>45819</v>
      </c>
      <c r="D1707" s="4" t="s">
        <v>770</v>
      </c>
      <c r="E1707" s="8"/>
      <c r="F1707" s="3">
        <v>227500</v>
      </c>
      <c r="G1707" s="7">
        <f>IF(Tabla1[[#This Row],[Fecha]]="","",G1706+Tabla1[[#This Row],[ingreso]]-Tabla1[[#This Row],[egreso]])</f>
        <v>2521676.9626999982</v>
      </c>
      <c r="H1707" s="7"/>
      <c r="I1707" s="7" t="s">
        <v>771</v>
      </c>
      <c r="J1707" s="4"/>
    </row>
    <row r="1708" spans="1:10" x14ac:dyDescent="0.2">
      <c r="A1708">
        <f>COUNTIF($I$2:I1708,'[1]Detalle Pilotos'!$G$3)</f>
        <v>5</v>
      </c>
      <c r="B1708">
        <f t="shared" si="34"/>
        <v>1707</v>
      </c>
      <c r="C1708" s="9">
        <v>45820</v>
      </c>
      <c r="D1708" s="4" t="s">
        <v>839</v>
      </c>
      <c r="E1708" s="8"/>
      <c r="F1708" s="3">
        <v>3500000</v>
      </c>
      <c r="G1708" s="7">
        <f>IF(Tabla1[[#This Row],[Fecha]]="","",G1707+Tabla1[[#This Row],[ingreso]]-Tabla1[[#This Row],[egreso]])</f>
        <v>6021676.9626999982</v>
      </c>
      <c r="H1708" s="7"/>
      <c r="I1708" s="7"/>
      <c r="J1708" s="4"/>
    </row>
    <row r="1709" spans="1:10" x14ac:dyDescent="0.2">
      <c r="A1709">
        <f>COUNTIF($I$2:I1709,'[1]Detalle Pilotos'!$G$3)</f>
        <v>5</v>
      </c>
      <c r="B1709">
        <f t="shared" si="34"/>
        <v>1708</v>
      </c>
      <c r="C1709" s="9">
        <v>45820</v>
      </c>
      <c r="D1709" s="4" t="s">
        <v>886</v>
      </c>
      <c r="E1709" s="8">
        <v>4466964</v>
      </c>
      <c r="F1709" s="3"/>
      <c r="G1709" s="7">
        <f>IF(Tabla1[[#This Row],[Fecha]]="","",G1708+Tabla1[[#This Row],[ingreso]]-Tabla1[[#This Row],[egreso]])</f>
        <v>1554712.9626999982</v>
      </c>
      <c r="H1709" s="7"/>
      <c r="I1709" s="7"/>
      <c r="J1709" s="4"/>
    </row>
    <row r="1710" spans="1:10" x14ac:dyDescent="0.2">
      <c r="A1710">
        <f>COUNTIF($I$2:I1710,'[1]Detalle Pilotos'!$G$3)</f>
        <v>5</v>
      </c>
      <c r="B1710">
        <f t="shared" si="34"/>
        <v>1709</v>
      </c>
      <c r="C1710" s="9">
        <v>45826</v>
      </c>
      <c r="D1710" s="4" t="s">
        <v>887</v>
      </c>
      <c r="E1710" s="8">
        <v>200000</v>
      </c>
      <c r="F1710" s="3"/>
      <c r="G1710" s="7">
        <f>IF(Tabla1[[#This Row],[Fecha]]="","",G1709+Tabla1[[#This Row],[ingreso]]-Tabla1[[#This Row],[egreso]])</f>
        <v>1354712.9626999982</v>
      </c>
      <c r="H1710" s="7"/>
      <c r="I1710" s="7"/>
      <c r="J1710" s="4"/>
    </row>
    <row r="1711" spans="1:10" x14ac:dyDescent="0.2">
      <c r="A1711">
        <f>COUNTIF($I$2:I1711,'[1]Detalle Pilotos'!$G$3)</f>
        <v>5</v>
      </c>
      <c r="B1711">
        <f t="shared" si="34"/>
        <v>1710</v>
      </c>
      <c r="C1711" s="9">
        <v>45826</v>
      </c>
      <c r="D1711" s="4" t="s">
        <v>872</v>
      </c>
      <c r="E1711" s="8"/>
      <c r="F1711" s="3">
        <v>260333</v>
      </c>
      <c r="G1711" s="7">
        <f>IF(Tabla1[[#This Row],[Fecha]]="","",G1710+Tabla1[[#This Row],[ingreso]]-Tabla1[[#This Row],[egreso]])</f>
        <v>1615045.9626999982</v>
      </c>
      <c r="H1711" s="7"/>
      <c r="I1711" s="7" t="s">
        <v>873</v>
      </c>
      <c r="J1711" s="4"/>
    </row>
    <row r="1712" spans="1:10" x14ac:dyDescent="0.2">
      <c r="A1712">
        <f>COUNTIF($I$2:I1712,'[1]Detalle Pilotos'!$G$3)</f>
        <v>5</v>
      </c>
      <c r="B1712">
        <f t="shared" si="34"/>
        <v>1711</v>
      </c>
      <c r="C1712" s="9">
        <v>45826</v>
      </c>
      <c r="D1712" s="4" t="s">
        <v>882</v>
      </c>
      <c r="E1712" s="8"/>
      <c r="F1712" s="3">
        <v>464861</v>
      </c>
      <c r="G1712" s="7">
        <f>IF(Tabla1[[#This Row],[Fecha]]="","",G1711+Tabla1[[#This Row],[ingreso]]-Tabla1[[#This Row],[egreso]])</f>
        <v>2079906.9626999982</v>
      </c>
      <c r="H1712" s="7"/>
      <c r="I1712" s="7" t="s">
        <v>883</v>
      </c>
      <c r="J1712" s="4"/>
    </row>
    <row r="1713" spans="1:10" x14ac:dyDescent="0.2">
      <c r="A1713">
        <f>COUNTIF($I$2:I1713,'[1]Detalle Pilotos'!$G$3)</f>
        <v>5</v>
      </c>
      <c r="B1713">
        <f t="shared" si="34"/>
        <v>1712</v>
      </c>
      <c r="C1713" s="9">
        <v>45826</v>
      </c>
      <c r="D1713" s="4" t="s">
        <v>839</v>
      </c>
      <c r="E1713" s="8">
        <v>1000000</v>
      </c>
      <c r="F1713" s="3"/>
      <c r="G1713" s="7">
        <f>IF(Tabla1[[#This Row],[Fecha]]="","",G1712+Tabla1[[#This Row],[ingreso]]-Tabla1[[#This Row],[egreso]])</f>
        <v>1079906.9626999982</v>
      </c>
      <c r="H1713" s="7"/>
      <c r="I1713" s="7"/>
      <c r="J1713" s="4"/>
    </row>
    <row r="1714" spans="1:10" x14ac:dyDescent="0.2">
      <c r="A1714">
        <f>COUNTIF($I$2:I1714,'[1]Detalle Pilotos'!$G$3)</f>
        <v>5</v>
      </c>
      <c r="B1714">
        <f t="shared" si="34"/>
        <v>1713</v>
      </c>
      <c r="C1714" s="9">
        <v>45826</v>
      </c>
      <c r="D1714" s="4" t="s">
        <v>888</v>
      </c>
      <c r="E1714" s="8">
        <v>98426</v>
      </c>
      <c r="F1714" s="3"/>
      <c r="G1714" s="7">
        <f>IF(Tabla1[[#This Row],[Fecha]]="","",G1713+Tabla1[[#This Row],[ingreso]]-Tabla1[[#This Row],[egreso]])</f>
        <v>981480.96269999817</v>
      </c>
      <c r="H1714" s="7"/>
      <c r="I1714" s="7"/>
      <c r="J1714" s="4"/>
    </row>
    <row r="1715" spans="1:10" x14ac:dyDescent="0.2">
      <c r="A1715">
        <f>COUNTIF($I$2:I1715,'[1]Detalle Pilotos'!$G$3)</f>
        <v>5</v>
      </c>
      <c r="B1715">
        <f t="shared" si="34"/>
        <v>1714</v>
      </c>
      <c r="C1715" s="9">
        <v>45831</v>
      </c>
      <c r="D1715" s="4" t="s">
        <v>872</v>
      </c>
      <c r="E1715" s="8"/>
      <c r="F1715" s="3">
        <v>360349</v>
      </c>
      <c r="G1715" s="7">
        <f>IF(Tabla1[[#This Row],[Fecha]]="","",G1714+Tabla1[[#This Row],[ingreso]]-Tabla1[[#This Row],[egreso]])</f>
        <v>1341829.9626999982</v>
      </c>
      <c r="H1715" s="7"/>
      <c r="I1715" s="7" t="s">
        <v>873</v>
      </c>
      <c r="J1715" s="4"/>
    </row>
    <row r="1716" spans="1:10" x14ac:dyDescent="0.2">
      <c r="A1716">
        <f>COUNTIF($I$2:I1716,'[1]Detalle Pilotos'!$G$3)</f>
        <v>5</v>
      </c>
      <c r="B1716">
        <f t="shared" si="34"/>
        <v>1715</v>
      </c>
      <c r="C1716" s="9">
        <v>45831</v>
      </c>
      <c r="D1716" s="4" t="s">
        <v>839</v>
      </c>
      <c r="E1716" s="8">
        <v>300000</v>
      </c>
      <c r="F1716" s="3"/>
      <c r="G1716" s="7">
        <f>IF(Tabla1[[#This Row],[Fecha]]="","",G1715+Tabla1[[#This Row],[ingreso]]-Tabla1[[#This Row],[egreso]])</f>
        <v>1041829.9626999982</v>
      </c>
      <c r="H1716" s="7"/>
      <c r="I1716" s="7"/>
      <c r="J1716" s="4"/>
    </row>
    <row r="1717" spans="1:10" x14ac:dyDescent="0.2">
      <c r="A1717">
        <f>COUNTIF($I$2:I1717,'[1]Detalle Pilotos'!$G$3)</f>
        <v>5</v>
      </c>
      <c r="B1717">
        <f t="shared" si="34"/>
        <v>1716</v>
      </c>
      <c r="C1717" s="9">
        <v>45832</v>
      </c>
      <c r="D1717" s="4" t="s">
        <v>889</v>
      </c>
      <c r="E1717" s="8">
        <v>54304</v>
      </c>
      <c r="F1717" s="3"/>
      <c r="G1717" s="7">
        <f>IF(Tabla1[[#This Row],[Fecha]]="","",G1716+Tabla1[[#This Row],[ingreso]]-Tabla1[[#This Row],[egreso]])</f>
        <v>987525.96269999817</v>
      </c>
      <c r="H1717" s="7"/>
      <c r="I1717" s="7"/>
      <c r="J1717" s="4"/>
    </row>
    <row r="1718" spans="1:10" x14ac:dyDescent="0.2">
      <c r="A1718">
        <f>COUNTIF($I$2:I1718,'[1]Detalle Pilotos'!$G$3)</f>
        <v>5</v>
      </c>
      <c r="B1718">
        <f t="shared" si="34"/>
        <v>1717</v>
      </c>
      <c r="C1718" s="9">
        <v>45832</v>
      </c>
      <c r="D1718" s="4" t="s">
        <v>890</v>
      </c>
      <c r="E1718" s="8">
        <v>31395</v>
      </c>
      <c r="F1718" s="3"/>
      <c r="G1718" s="7">
        <f>IF(Tabla1[[#This Row],[Fecha]]="","",G1717+Tabla1[[#This Row],[ingreso]]-Tabla1[[#This Row],[egreso]])</f>
        <v>956130.96269999817</v>
      </c>
      <c r="H1718" s="7"/>
      <c r="I1718" s="7"/>
      <c r="J1718" s="4"/>
    </row>
    <row r="1719" spans="1:10" x14ac:dyDescent="0.2">
      <c r="A1719">
        <f>COUNTIF($I$2:I1719,'[1]Detalle Pilotos'!$G$3)</f>
        <v>5</v>
      </c>
      <c r="B1719">
        <f t="shared" si="34"/>
        <v>1718</v>
      </c>
      <c r="C1719" s="9">
        <v>45833</v>
      </c>
      <c r="D1719" s="4" t="s">
        <v>891</v>
      </c>
      <c r="E1719" s="8"/>
      <c r="F1719" s="3">
        <v>203418</v>
      </c>
      <c r="G1719" s="7">
        <f>IF(Tabla1[[#This Row],[Fecha]]="","",G1718+Tabla1[[#This Row],[ingreso]]-Tabla1[[#This Row],[egreso]])</f>
        <v>1159548.9626999982</v>
      </c>
      <c r="H1719" s="7"/>
      <c r="I1719" s="7" t="s">
        <v>892</v>
      </c>
      <c r="J1719" s="4"/>
    </row>
    <row r="1720" spans="1:10" x14ac:dyDescent="0.2">
      <c r="A1720">
        <f>COUNTIF($I$2:I1720,'[1]Detalle Pilotos'!$G$3)</f>
        <v>5</v>
      </c>
      <c r="B1720">
        <f t="shared" si="34"/>
        <v>1719</v>
      </c>
      <c r="C1720" s="9">
        <v>45838</v>
      </c>
      <c r="D1720" s="4" t="s">
        <v>893</v>
      </c>
      <c r="E1720" s="8">
        <v>86547</v>
      </c>
      <c r="F1720" s="3"/>
      <c r="G1720" s="7">
        <f>IF(Tabla1[[#This Row],[Fecha]]="","",G1719+Tabla1[[#This Row],[ingreso]]-Tabla1[[#This Row],[egreso]])</f>
        <v>1073001.9626999982</v>
      </c>
      <c r="H1720" s="7"/>
      <c r="I1720" s="7"/>
      <c r="J1720" s="4"/>
    </row>
    <row r="1721" spans="1:10" x14ac:dyDescent="0.2">
      <c r="A1721">
        <f>COUNTIF($I$2:I1721,'[1]Detalle Pilotos'!$G$3)</f>
        <v>5</v>
      </c>
      <c r="B1721">
        <f t="shared" si="34"/>
        <v>1720</v>
      </c>
      <c r="C1721" s="9">
        <v>45838</v>
      </c>
      <c r="D1721" s="4" t="s">
        <v>894</v>
      </c>
      <c r="E1721" s="8"/>
      <c r="F1721" s="3">
        <v>277199</v>
      </c>
      <c r="G1721" s="7">
        <f>IF(Tabla1[[#This Row],[Fecha]]="","",G1720+Tabla1[[#This Row],[ingreso]]-Tabla1[[#This Row],[egreso]])</f>
        <v>1350200.9626999982</v>
      </c>
      <c r="H1721" s="7"/>
      <c r="I1721" s="7" t="s">
        <v>895</v>
      </c>
      <c r="J1721" s="4"/>
    </row>
    <row r="1722" spans="1:10" x14ac:dyDescent="0.2">
      <c r="A1722">
        <f>COUNTIF($I$2:I1722,'[1]Detalle Pilotos'!$G$3)</f>
        <v>5</v>
      </c>
      <c r="B1722">
        <f t="shared" si="34"/>
        <v>1721</v>
      </c>
      <c r="C1722" s="9">
        <v>45838</v>
      </c>
      <c r="D1722" s="4" t="s">
        <v>884</v>
      </c>
      <c r="E1722" s="8"/>
      <c r="F1722" s="3">
        <v>717500</v>
      </c>
      <c r="G1722" s="7">
        <f>IF(Tabla1[[#This Row],[Fecha]]="","",G1721+Tabla1[[#This Row],[ingreso]]-Tabla1[[#This Row],[egreso]])</f>
        <v>2067700.9626999982</v>
      </c>
      <c r="H1722" s="7"/>
      <c r="I1722" s="7" t="s">
        <v>885</v>
      </c>
      <c r="J1722" s="4"/>
    </row>
    <row r="1723" spans="1:10" x14ac:dyDescent="0.2">
      <c r="A1723">
        <f>COUNTIF($I$2:I1723,'[1]Detalle Pilotos'!$G$3)</f>
        <v>5</v>
      </c>
      <c r="B1723">
        <f t="shared" si="34"/>
        <v>1722</v>
      </c>
      <c r="C1723" s="9">
        <v>45838</v>
      </c>
      <c r="D1723" s="4" t="s">
        <v>896</v>
      </c>
      <c r="E1723" s="8">
        <v>856105</v>
      </c>
      <c r="F1723" s="3"/>
      <c r="G1723" s="7">
        <f>IF(Tabla1[[#This Row],[Fecha]]="","",G1722+Tabla1[[#This Row],[ingreso]]-Tabla1[[#This Row],[egreso]])</f>
        <v>1211595.9626999982</v>
      </c>
      <c r="H1723" s="7"/>
      <c r="I1723" s="7"/>
      <c r="J1723" s="4"/>
    </row>
    <row r="1724" spans="1:10" x14ac:dyDescent="0.2">
      <c r="A1724">
        <f>COUNTIF($I$2:I1724,'[1]Detalle Pilotos'!$G$3)</f>
        <v>5</v>
      </c>
      <c r="B1724">
        <f t="shared" si="34"/>
        <v>1723</v>
      </c>
      <c r="C1724" s="9">
        <v>45838</v>
      </c>
      <c r="D1724" s="4" t="s">
        <v>897</v>
      </c>
      <c r="E1724" s="8">
        <v>965607</v>
      </c>
      <c r="F1724" s="3"/>
      <c r="G1724" s="7">
        <f>IF(Tabla1[[#This Row],[Fecha]]="","",G1723+Tabla1[[#This Row],[ingreso]]-Tabla1[[#This Row],[egreso]])</f>
        <v>245988.96269999817</v>
      </c>
      <c r="H1724" s="7"/>
      <c r="I1724" s="7"/>
      <c r="J1724" s="4"/>
    </row>
    <row r="1725" spans="1:10" x14ac:dyDescent="0.2">
      <c r="A1725">
        <f>COUNTIF($I$2:I1725,'[1]Detalle Pilotos'!$G$3)</f>
        <v>5</v>
      </c>
      <c r="B1725">
        <f t="shared" si="34"/>
        <v>1724</v>
      </c>
      <c r="C1725" s="9">
        <v>45839</v>
      </c>
      <c r="D1725" s="4" t="s">
        <v>724</v>
      </c>
      <c r="E1725" s="8"/>
      <c r="F1725" s="3">
        <v>147000</v>
      </c>
      <c r="G1725" s="7">
        <f>IF(Tabla1[[#This Row],[Fecha]]="","",G1724+Tabla1[[#This Row],[ingreso]]-Tabla1[[#This Row],[egreso]])</f>
        <v>392988.96269999817</v>
      </c>
      <c r="H1725" s="7"/>
      <c r="I1725" s="7"/>
      <c r="J1725" s="4"/>
    </row>
    <row r="1726" spans="1:10" x14ac:dyDescent="0.2">
      <c r="A1726">
        <f>COUNTIF($I$2:I1726,'[1]Detalle Pilotos'!$G$3)</f>
        <v>5</v>
      </c>
      <c r="B1726">
        <f t="shared" si="34"/>
        <v>1725</v>
      </c>
      <c r="C1726" s="9">
        <v>45839</v>
      </c>
      <c r="D1726" s="4" t="s">
        <v>839</v>
      </c>
      <c r="E1726" s="8"/>
      <c r="F1726" s="3">
        <v>1500000</v>
      </c>
      <c r="G1726" s="7">
        <f>IF(Tabla1[[#This Row],[Fecha]]="","",G1725+Tabla1[[#This Row],[ingreso]]-Tabla1[[#This Row],[egreso]])</f>
        <v>1892988.9626999982</v>
      </c>
      <c r="H1726" s="7"/>
      <c r="I1726" s="7"/>
      <c r="J1726" s="4"/>
    </row>
    <row r="1727" spans="1:10" x14ac:dyDescent="0.2">
      <c r="A1727">
        <f>COUNTIF($I$2:I1727,'[1]Detalle Pilotos'!$G$3)</f>
        <v>5</v>
      </c>
      <c r="B1727">
        <f t="shared" si="34"/>
        <v>1726</v>
      </c>
      <c r="C1727" s="9">
        <v>45840</v>
      </c>
      <c r="D1727" s="4" t="s">
        <v>879</v>
      </c>
      <c r="E1727" s="8"/>
      <c r="F1727" s="3">
        <v>316423</v>
      </c>
      <c r="G1727" s="7">
        <f>IF(Tabla1[[#This Row],[Fecha]]="","",G1726+Tabla1[[#This Row],[ingreso]]-Tabla1[[#This Row],[egreso]])</f>
        <v>2209411.9626999982</v>
      </c>
      <c r="H1727" s="7"/>
      <c r="I1727" s="7" t="s">
        <v>880</v>
      </c>
      <c r="J1727" s="4"/>
    </row>
    <row r="1728" spans="1:10" x14ac:dyDescent="0.2">
      <c r="A1728">
        <f>COUNTIF($I$2:I1728,'[1]Detalle Pilotos'!$G$3)</f>
        <v>5</v>
      </c>
      <c r="B1728">
        <f t="shared" si="34"/>
        <v>1727</v>
      </c>
      <c r="C1728" s="9">
        <v>45840</v>
      </c>
      <c r="D1728" s="4" t="s">
        <v>802</v>
      </c>
      <c r="E1728" s="8"/>
      <c r="F1728" s="3">
        <v>500000</v>
      </c>
      <c r="G1728" s="7">
        <f>IF(Tabla1[[#This Row],[Fecha]]="","",G1727+Tabla1[[#This Row],[ingreso]]-Tabla1[[#This Row],[egreso]])</f>
        <v>2709411.9626999982</v>
      </c>
      <c r="H1728" s="7"/>
      <c r="I1728" s="7" t="s">
        <v>803</v>
      </c>
      <c r="J1728" s="4"/>
    </row>
    <row r="1729" spans="1:10" x14ac:dyDescent="0.2">
      <c r="A1729">
        <f>COUNTIF($I$2:I1729,'[1]Detalle Pilotos'!$G$3)</f>
        <v>5</v>
      </c>
      <c r="B1729">
        <f t="shared" si="34"/>
        <v>1728</v>
      </c>
      <c r="C1729" s="9">
        <v>45841</v>
      </c>
      <c r="D1729" s="4" t="s">
        <v>898</v>
      </c>
      <c r="E1729" s="8">
        <v>941897</v>
      </c>
      <c r="F1729" s="3"/>
      <c r="G1729" s="7">
        <f>IF(Tabla1[[#This Row],[Fecha]]="","",G1728+Tabla1[[#This Row],[ingreso]]-Tabla1[[#This Row],[egreso]])</f>
        <v>1767514.9626999982</v>
      </c>
      <c r="H1729" s="7"/>
      <c r="I1729" s="7"/>
      <c r="J1729" s="4"/>
    </row>
    <row r="1730" spans="1:10" x14ac:dyDescent="0.2">
      <c r="A1730">
        <f>COUNTIF($I$2:I1730,'[1]Detalle Pilotos'!$G$3)</f>
        <v>5</v>
      </c>
      <c r="B1730">
        <f t="shared" si="34"/>
        <v>1729</v>
      </c>
      <c r="C1730" s="9">
        <v>45845</v>
      </c>
      <c r="D1730" s="4" t="s">
        <v>770</v>
      </c>
      <c r="E1730" s="8"/>
      <c r="F1730" s="3">
        <v>279786</v>
      </c>
      <c r="G1730" s="7">
        <f>IF(Tabla1[[#This Row],[Fecha]]="","",G1729+Tabla1[[#This Row],[ingreso]]-Tabla1[[#This Row],[egreso]])</f>
        <v>2047300.9626999982</v>
      </c>
      <c r="H1730" s="7"/>
      <c r="I1730" s="7" t="s">
        <v>771</v>
      </c>
      <c r="J1730" s="4"/>
    </row>
    <row r="1731" spans="1:10" x14ac:dyDescent="0.2">
      <c r="A1731">
        <f>COUNTIF($I$2:I1731,'[1]Detalle Pilotos'!$G$3)</f>
        <v>5</v>
      </c>
      <c r="B1731">
        <f t="shared" si="34"/>
        <v>1730</v>
      </c>
      <c r="C1731" s="9">
        <v>45849</v>
      </c>
      <c r="D1731" s="4" t="s">
        <v>872</v>
      </c>
      <c r="E1731" s="8"/>
      <c r="F1731" s="3">
        <v>222725</v>
      </c>
      <c r="G1731" s="7">
        <f>IF(Tabla1[[#This Row],[Fecha]]="","",G1730+Tabla1[[#This Row],[ingreso]]-Tabla1[[#This Row],[egreso]])</f>
        <v>2270025.9626999982</v>
      </c>
      <c r="H1731" s="7"/>
      <c r="I1731" s="7" t="s">
        <v>873</v>
      </c>
      <c r="J1731" s="4"/>
    </row>
    <row r="1732" spans="1:10" x14ac:dyDescent="0.2">
      <c r="A1732">
        <f>COUNTIF($I$2:I1732,'[1]Detalle Pilotos'!$G$3)</f>
        <v>5</v>
      </c>
      <c r="B1732">
        <f t="shared" ref="B1732:B1795" si="35">IF(C1732="","",1+B1731)</f>
        <v>1731</v>
      </c>
      <c r="C1732" s="9">
        <v>45849</v>
      </c>
      <c r="D1732" s="4" t="s">
        <v>899</v>
      </c>
      <c r="E1732" s="8"/>
      <c r="F1732" s="3">
        <v>245000</v>
      </c>
      <c r="G1732" s="7">
        <f>IF(Tabla1[[#This Row],[Fecha]]="","",G1731+Tabla1[[#This Row],[ingreso]]-Tabla1[[#This Row],[egreso]])</f>
        <v>2515025.9626999982</v>
      </c>
      <c r="H1732" s="7"/>
      <c r="I1732" s="7" t="s">
        <v>900</v>
      </c>
      <c r="J1732" s="4"/>
    </row>
    <row r="1733" spans="1:10" x14ac:dyDescent="0.2">
      <c r="A1733">
        <f>COUNTIF($I$2:I1733,'[1]Detalle Pilotos'!$G$3)</f>
        <v>5</v>
      </c>
      <c r="B1733">
        <f t="shared" si="35"/>
        <v>1732</v>
      </c>
      <c r="C1733" s="9">
        <v>45852</v>
      </c>
      <c r="D1733" s="4" t="s">
        <v>899</v>
      </c>
      <c r="E1733" s="8"/>
      <c r="F1733" s="3">
        <v>192500</v>
      </c>
      <c r="G1733" s="7">
        <f>IF(Tabla1[[#This Row],[Fecha]]="","",G1732+Tabla1[[#This Row],[ingreso]]-Tabla1[[#This Row],[egreso]])</f>
        <v>2707525.9626999982</v>
      </c>
      <c r="H1733" s="7"/>
      <c r="I1733" s="7" t="s">
        <v>900</v>
      </c>
      <c r="J1733" s="4"/>
    </row>
    <row r="1734" spans="1:10" x14ac:dyDescent="0.2">
      <c r="A1734">
        <f>COUNTIF($I$2:I1734,'[1]Detalle Pilotos'!$G$3)</f>
        <v>5</v>
      </c>
      <c r="B1734">
        <f t="shared" si="35"/>
        <v>1733</v>
      </c>
      <c r="C1734" s="9">
        <v>45852</v>
      </c>
      <c r="D1734" s="4" t="s">
        <v>839</v>
      </c>
      <c r="E1734" s="8">
        <v>1500000</v>
      </c>
      <c r="F1734" s="3"/>
      <c r="G1734" s="7">
        <f>IF(Tabla1[[#This Row],[Fecha]]="","",G1733+Tabla1[[#This Row],[ingreso]]-Tabla1[[#This Row],[egreso]])</f>
        <v>1207525.9626999982</v>
      </c>
      <c r="H1734" s="7"/>
      <c r="I1734" s="7"/>
      <c r="J1734" s="4"/>
    </row>
    <row r="1735" spans="1:10" x14ac:dyDescent="0.2">
      <c r="A1735">
        <f>COUNTIF($I$2:I1735,'[1]Detalle Pilotos'!$G$3)</f>
        <v>5</v>
      </c>
      <c r="B1735">
        <f t="shared" si="35"/>
        <v>1734</v>
      </c>
      <c r="C1735" s="9">
        <v>45852</v>
      </c>
      <c r="D1735" s="4" t="s">
        <v>894</v>
      </c>
      <c r="E1735" s="8"/>
      <c r="F1735" s="3">
        <v>237998</v>
      </c>
      <c r="G1735" s="7">
        <f>IF(Tabla1[[#This Row],[Fecha]]="","",G1734+Tabla1[[#This Row],[ingreso]]-Tabla1[[#This Row],[egreso]])</f>
        <v>1445523.9626999982</v>
      </c>
      <c r="H1735" s="7"/>
      <c r="I1735" s="7" t="s">
        <v>895</v>
      </c>
      <c r="J1735" s="4"/>
    </row>
    <row r="1736" spans="1:10" x14ac:dyDescent="0.2">
      <c r="A1736">
        <f>COUNTIF($I$2:I1736,'[1]Detalle Pilotos'!$G$3)</f>
        <v>5</v>
      </c>
      <c r="B1736">
        <f t="shared" si="35"/>
        <v>1735</v>
      </c>
      <c r="C1736" s="9">
        <v>45854</v>
      </c>
      <c r="D1736" s="4" t="s">
        <v>724</v>
      </c>
      <c r="E1736" s="8"/>
      <c r="F1736" s="3">
        <v>292000</v>
      </c>
      <c r="G1736" s="7">
        <f>IF(Tabla1[[#This Row],[Fecha]]="","",G1735+Tabla1[[#This Row],[ingreso]]-Tabla1[[#This Row],[egreso]])</f>
        <v>1737523.9626999982</v>
      </c>
      <c r="H1736" s="7"/>
      <c r="I1736" s="7"/>
      <c r="J1736" s="4"/>
    </row>
    <row r="1737" spans="1:10" x14ac:dyDescent="0.2">
      <c r="A1737">
        <f>COUNTIF($I$2:I1737,'[1]Detalle Pilotos'!$G$3)</f>
        <v>5</v>
      </c>
      <c r="B1737">
        <f t="shared" si="35"/>
        <v>1736</v>
      </c>
      <c r="C1737" s="9">
        <v>45854</v>
      </c>
      <c r="D1737" s="4" t="s">
        <v>839</v>
      </c>
      <c r="E1737" s="8">
        <v>700000</v>
      </c>
      <c r="F1737" s="3"/>
      <c r="G1737" s="7">
        <f>IF(Tabla1[[#This Row],[Fecha]]="","",G1736+Tabla1[[#This Row],[ingreso]]-Tabla1[[#This Row],[egreso]])</f>
        <v>1037523.9626999982</v>
      </c>
      <c r="H1737" s="7"/>
      <c r="I1737" s="7"/>
      <c r="J1737" s="4"/>
    </row>
    <row r="1738" spans="1:10" x14ac:dyDescent="0.2">
      <c r="A1738">
        <f>COUNTIF($I$2:I1738,'[1]Detalle Pilotos'!$G$3)</f>
        <v>5</v>
      </c>
      <c r="B1738">
        <f t="shared" si="35"/>
        <v>1737</v>
      </c>
      <c r="C1738" s="9">
        <v>45855</v>
      </c>
      <c r="D1738" s="4" t="s">
        <v>882</v>
      </c>
      <c r="E1738" s="8"/>
      <c r="F1738" s="3">
        <v>210000</v>
      </c>
      <c r="G1738" s="7">
        <f>IF(Tabla1[[#This Row],[Fecha]]="","",G1737+Tabla1[[#This Row],[ingreso]]-Tabla1[[#This Row],[egreso]])</f>
        <v>1247523.9626999982</v>
      </c>
      <c r="H1738" s="7"/>
      <c r="I1738" s="7" t="s">
        <v>883</v>
      </c>
      <c r="J1738" s="4"/>
    </row>
    <row r="1739" spans="1:10" x14ac:dyDescent="0.2">
      <c r="A1739">
        <f>COUNTIF($I$2:I1739,'[1]Detalle Pilotos'!$G$3)</f>
        <v>5</v>
      </c>
      <c r="B1739">
        <f t="shared" si="35"/>
        <v>1738</v>
      </c>
      <c r="C1739" s="9">
        <v>45856</v>
      </c>
      <c r="D1739" s="4" t="s">
        <v>901</v>
      </c>
      <c r="E1739" s="8">
        <v>85680</v>
      </c>
      <c r="F1739" s="3"/>
      <c r="G1739" s="7">
        <f>IF(Tabla1[[#This Row],[Fecha]]="","",G1738+Tabla1[[#This Row],[ingreso]]-Tabla1[[#This Row],[egreso]])</f>
        <v>1161843.9626999982</v>
      </c>
      <c r="H1739" s="7"/>
      <c r="I1739" s="7"/>
      <c r="J1739" s="4"/>
    </row>
    <row r="1740" spans="1:10" x14ac:dyDescent="0.2">
      <c r="A1740">
        <f>COUNTIF($I$2:I1740,'[1]Detalle Pilotos'!$G$3)</f>
        <v>5</v>
      </c>
      <c r="B1740">
        <f t="shared" si="35"/>
        <v>1739</v>
      </c>
      <c r="C1740" s="9">
        <v>45856</v>
      </c>
      <c r="D1740" s="4" t="s">
        <v>902</v>
      </c>
      <c r="E1740" s="8">
        <v>61047</v>
      </c>
      <c r="F1740" s="3"/>
      <c r="G1740" s="7">
        <f>IF(Tabla1[[#This Row],[Fecha]]="","",G1739+Tabla1[[#This Row],[ingreso]]-Tabla1[[#This Row],[egreso]])</f>
        <v>1100796.9626999982</v>
      </c>
      <c r="H1740" s="7"/>
      <c r="I1740" s="7"/>
      <c r="J1740" s="4"/>
    </row>
    <row r="1741" spans="1:10" x14ac:dyDescent="0.2">
      <c r="A1741">
        <f>COUNTIF($I$2:I1741,'[1]Detalle Pilotos'!$G$3)</f>
        <v>5</v>
      </c>
      <c r="B1741">
        <f t="shared" si="35"/>
        <v>1740</v>
      </c>
      <c r="C1741" s="9">
        <v>45856</v>
      </c>
      <c r="D1741" s="4" t="s">
        <v>872</v>
      </c>
      <c r="E1741" s="8"/>
      <c r="F1741" s="3">
        <v>369194</v>
      </c>
      <c r="G1741" s="7">
        <f>IF(Tabla1[[#This Row],[Fecha]]="","",G1740+Tabla1[[#This Row],[ingreso]]-Tabla1[[#This Row],[egreso]])</f>
        <v>1469990.9626999982</v>
      </c>
      <c r="H1741" s="7"/>
      <c r="I1741" s="7" t="s">
        <v>873</v>
      </c>
      <c r="J1741" s="4"/>
    </row>
    <row r="1742" spans="1:10" x14ac:dyDescent="0.2">
      <c r="A1742">
        <f>COUNTIF($I$2:I1742,'[1]Detalle Pilotos'!$G$3)</f>
        <v>5</v>
      </c>
      <c r="B1742">
        <f t="shared" si="35"/>
        <v>1741</v>
      </c>
      <c r="C1742" s="9">
        <v>45856</v>
      </c>
      <c r="D1742" s="4" t="s">
        <v>839</v>
      </c>
      <c r="E1742" s="8">
        <v>400000</v>
      </c>
      <c r="F1742" s="3"/>
      <c r="G1742" s="7">
        <f>IF(Tabla1[[#This Row],[Fecha]]="","",G1741+Tabla1[[#This Row],[ingreso]]-Tabla1[[#This Row],[egreso]])</f>
        <v>1069990.9626999982</v>
      </c>
      <c r="H1742" s="7"/>
      <c r="I1742" s="7"/>
      <c r="J1742" s="4"/>
    </row>
    <row r="1743" spans="1:10" x14ac:dyDescent="0.2">
      <c r="A1743">
        <f>COUNTIF($I$2:I1743,'[1]Detalle Pilotos'!$G$3)</f>
        <v>5</v>
      </c>
      <c r="B1743">
        <f t="shared" si="35"/>
        <v>1742</v>
      </c>
      <c r="C1743" s="9">
        <v>45863</v>
      </c>
      <c r="D1743" s="4" t="s">
        <v>903</v>
      </c>
      <c r="E1743" s="8">
        <v>240000</v>
      </c>
      <c r="F1743" s="3"/>
      <c r="G1743" s="7">
        <f>IF(Tabla1[[#This Row],[Fecha]]="","",G1742+Tabla1[[#This Row],[ingreso]]-Tabla1[[#This Row],[egreso]])</f>
        <v>829990.96269999817</v>
      </c>
      <c r="H1743" s="7"/>
      <c r="I1743" s="7"/>
      <c r="J1743" s="4"/>
    </row>
    <row r="1744" spans="1:10" x14ac:dyDescent="0.2">
      <c r="A1744">
        <f>COUNTIF($I$2:I1744,'[1]Detalle Pilotos'!$G$3)</f>
        <v>5</v>
      </c>
      <c r="B1744">
        <f t="shared" si="35"/>
        <v>1743</v>
      </c>
      <c r="C1744" s="9">
        <v>45867</v>
      </c>
      <c r="D1744" s="4" t="s">
        <v>186</v>
      </c>
      <c r="E1744" s="8"/>
      <c r="F1744" s="3">
        <v>80000</v>
      </c>
      <c r="G1744" s="7">
        <f>IF(Tabla1[[#This Row],[Fecha]]="","",G1743+Tabla1[[#This Row],[ingreso]]-Tabla1[[#This Row],[egreso]])</f>
        <v>909990.96269999817</v>
      </c>
      <c r="H1744" s="7"/>
      <c r="I1744" s="7" t="s">
        <v>187</v>
      </c>
      <c r="J1744" s="4"/>
    </row>
    <row r="1745" spans="1:10" x14ac:dyDescent="0.2">
      <c r="A1745">
        <f>COUNTIF($I$2:I1745,'[1]Detalle Pilotos'!$G$3)</f>
        <v>5</v>
      </c>
      <c r="B1745">
        <f t="shared" si="35"/>
        <v>1744</v>
      </c>
      <c r="C1745" s="9">
        <v>45867</v>
      </c>
      <c r="D1745" s="4" t="s">
        <v>904</v>
      </c>
      <c r="E1745" s="8">
        <v>25000</v>
      </c>
      <c r="F1745" s="3"/>
      <c r="G1745" s="7">
        <f>IF(Tabla1[[#This Row],[Fecha]]="","",G1744+Tabla1[[#This Row],[ingreso]]-Tabla1[[#This Row],[egreso]])</f>
        <v>884990.96269999817</v>
      </c>
      <c r="H1745" s="7"/>
      <c r="I1745" s="7"/>
      <c r="J1745" s="4"/>
    </row>
    <row r="1746" spans="1:10" x14ac:dyDescent="0.2">
      <c r="A1746">
        <f>COUNTIF($I$2:I1746,'[1]Detalle Pilotos'!$G$3)</f>
        <v>5</v>
      </c>
      <c r="B1746">
        <f t="shared" si="35"/>
        <v>1745</v>
      </c>
      <c r="C1746" s="9">
        <v>45867</v>
      </c>
      <c r="D1746" s="4" t="s">
        <v>905</v>
      </c>
      <c r="E1746" s="8">
        <v>112322</v>
      </c>
      <c r="F1746" s="3"/>
      <c r="G1746" s="7">
        <f>IF(Tabla1[[#This Row],[Fecha]]="","",G1745+Tabla1[[#This Row],[ingreso]]-Tabla1[[#This Row],[egreso]])</f>
        <v>772668.96269999817</v>
      </c>
      <c r="H1746" s="7"/>
      <c r="I1746" s="7"/>
      <c r="J1746" s="4"/>
    </row>
    <row r="1747" spans="1:10" x14ac:dyDescent="0.2">
      <c r="A1747">
        <f>COUNTIF($I$2:I1747,'[1]Detalle Pilotos'!$G$3)</f>
        <v>5</v>
      </c>
      <c r="B1747">
        <f t="shared" si="35"/>
        <v>1746</v>
      </c>
      <c r="C1747" s="9">
        <v>45868</v>
      </c>
      <c r="D1747" s="4" t="s">
        <v>906</v>
      </c>
      <c r="E1747" s="8">
        <v>99784</v>
      </c>
      <c r="F1747" s="3"/>
      <c r="G1747" s="7">
        <f>IF(Tabla1[[#This Row],[Fecha]]="","",G1746+Tabla1[[#This Row],[ingreso]]-Tabla1[[#This Row],[egreso]])</f>
        <v>672884.96269999817</v>
      </c>
      <c r="H1747" s="7"/>
      <c r="I1747" s="7"/>
      <c r="J1747" s="4"/>
    </row>
    <row r="1748" spans="1:10" x14ac:dyDescent="0.2">
      <c r="A1748">
        <f>COUNTIF($I$2:I1748,'[1]Detalle Pilotos'!$G$3)</f>
        <v>5</v>
      </c>
      <c r="B1748">
        <f t="shared" si="35"/>
        <v>1747</v>
      </c>
      <c r="C1748" s="9">
        <v>45868</v>
      </c>
      <c r="D1748" s="4" t="s">
        <v>907</v>
      </c>
      <c r="E1748" s="8">
        <v>92908</v>
      </c>
      <c r="F1748" s="3"/>
      <c r="G1748" s="7">
        <f>IF(Tabla1[[#This Row],[Fecha]]="","",G1747+Tabla1[[#This Row],[ingreso]]-Tabla1[[#This Row],[egreso]])</f>
        <v>579976.96269999817</v>
      </c>
      <c r="H1748" s="7"/>
      <c r="I1748" s="7"/>
      <c r="J1748" s="4"/>
    </row>
    <row r="1749" spans="1:10" x14ac:dyDescent="0.2">
      <c r="A1749">
        <f>COUNTIF($I$2:I1749,'[1]Detalle Pilotos'!$G$3)</f>
        <v>5</v>
      </c>
      <c r="B1749">
        <f t="shared" si="35"/>
        <v>1748</v>
      </c>
      <c r="C1749" s="9">
        <v>45870</v>
      </c>
      <c r="D1749" s="4" t="s">
        <v>908</v>
      </c>
      <c r="E1749" s="8">
        <v>130000</v>
      </c>
      <c r="F1749" s="3"/>
      <c r="G1749" s="7">
        <f>IF(Tabla1[[#This Row],[Fecha]]="","",G1748+Tabla1[[#This Row],[ingreso]]-Tabla1[[#This Row],[egreso]])</f>
        <v>449976.96269999817</v>
      </c>
      <c r="H1749" s="7"/>
      <c r="I1749" s="7"/>
      <c r="J1749" s="4"/>
    </row>
    <row r="1750" spans="1:10" x14ac:dyDescent="0.2">
      <c r="A1750">
        <f>COUNTIF($I$2:I1750,'[1]Detalle Pilotos'!$G$3)</f>
        <v>5</v>
      </c>
      <c r="B1750">
        <f t="shared" si="35"/>
        <v>1749</v>
      </c>
      <c r="C1750" s="9">
        <v>45873</v>
      </c>
      <c r="D1750" s="4" t="s">
        <v>909</v>
      </c>
      <c r="E1750" s="8">
        <v>15000</v>
      </c>
      <c r="F1750" s="3"/>
      <c r="G1750" s="7">
        <f>IF(Tabla1[[#This Row],[Fecha]]="","",G1749+Tabla1[[#This Row],[ingreso]]-Tabla1[[#This Row],[egreso]])</f>
        <v>434976.96269999817</v>
      </c>
      <c r="H1750" s="7"/>
      <c r="I1750" s="7"/>
      <c r="J1750" s="4"/>
    </row>
    <row r="1751" spans="1:10" x14ac:dyDescent="0.2">
      <c r="A1751">
        <f>COUNTIF($I$2:I1751,'[1]Detalle Pilotos'!$G$3)</f>
        <v>5</v>
      </c>
      <c r="B1751">
        <f t="shared" si="35"/>
        <v>1750</v>
      </c>
      <c r="C1751" s="9">
        <v>45873</v>
      </c>
      <c r="D1751" s="4" t="s">
        <v>910</v>
      </c>
      <c r="E1751" s="8"/>
      <c r="F1751" s="3">
        <v>171335</v>
      </c>
      <c r="G1751" s="7">
        <f>IF(Tabla1[[#This Row],[Fecha]]="","",G1750+Tabla1[[#This Row],[ingreso]]-Tabla1[[#This Row],[egreso]])</f>
        <v>606311.96269999817</v>
      </c>
      <c r="H1751" s="7"/>
      <c r="I1751" s="7" t="s">
        <v>911</v>
      </c>
      <c r="J1751" s="4"/>
    </row>
    <row r="1752" spans="1:10" x14ac:dyDescent="0.2">
      <c r="A1752">
        <f>COUNTIF($I$2:I1752,'[1]Detalle Pilotos'!$G$3)</f>
        <v>5</v>
      </c>
      <c r="B1752">
        <f t="shared" si="35"/>
        <v>1751</v>
      </c>
      <c r="C1752" s="9">
        <v>45873</v>
      </c>
      <c r="D1752" s="4" t="s">
        <v>893</v>
      </c>
      <c r="E1752" s="8">
        <v>86547</v>
      </c>
      <c r="F1752" s="3"/>
      <c r="G1752" s="7">
        <f>IF(Tabla1[[#This Row],[Fecha]]="","",G1751+Tabla1[[#This Row],[ingreso]]-Tabla1[[#This Row],[egreso]])</f>
        <v>519764.96269999817</v>
      </c>
      <c r="H1752" s="7"/>
      <c r="I1752" s="7"/>
      <c r="J1752" s="4"/>
    </row>
    <row r="1753" spans="1:10" x14ac:dyDescent="0.2">
      <c r="A1753">
        <f>COUNTIF($I$2:I1753,'[1]Detalle Pilotos'!$G$3)</f>
        <v>5</v>
      </c>
      <c r="B1753">
        <f t="shared" si="35"/>
        <v>1752</v>
      </c>
      <c r="C1753" s="9">
        <v>45873</v>
      </c>
      <c r="D1753" s="4" t="s">
        <v>802</v>
      </c>
      <c r="E1753" s="8"/>
      <c r="F1753" s="3">
        <v>500000</v>
      </c>
      <c r="G1753" s="7">
        <f>IF(Tabla1[[#This Row],[Fecha]]="","",G1752+Tabla1[[#This Row],[ingreso]]-Tabla1[[#This Row],[egreso]])</f>
        <v>1019764.9626999982</v>
      </c>
      <c r="H1753" s="7"/>
      <c r="I1753" s="7" t="s">
        <v>803</v>
      </c>
      <c r="J1753" s="4"/>
    </row>
    <row r="1754" spans="1:10" x14ac:dyDescent="0.2">
      <c r="A1754">
        <f>COUNTIF($I$2:I1754,'[1]Detalle Pilotos'!$G$3)</f>
        <v>5</v>
      </c>
      <c r="B1754">
        <f t="shared" si="35"/>
        <v>1753</v>
      </c>
      <c r="C1754" s="9">
        <v>45873</v>
      </c>
      <c r="D1754" s="4" t="s">
        <v>186</v>
      </c>
      <c r="E1754" s="8"/>
      <c r="F1754" s="3">
        <v>200000</v>
      </c>
      <c r="G1754" s="7">
        <f>IF(Tabla1[[#This Row],[Fecha]]="","",G1753+Tabla1[[#This Row],[ingreso]]-Tabla1[[#This Row],[egreso]])</f>
        <v>1219764.9626999982</v>
      </c>
      <c r="H1754" s="7"/>
      <c r="I1754" s="7" t="s">
        <v>187</v>
      </c>
      <c r="J1754" s="4"/>
    </row>
    <row r="1755" spans="1:10" x14ac:dyDescent="0.2">
      <c r="A1755">
        <f>COUNTIF($I$2:I1755,'[1]Detalle Pilotos'!$G$3)</f>
        <v>5</v>
      </c>
      <c r="B1755">
        <f t="shared" si="35"/>
        <v>1754</v>
      </c>
      <c r="C1755" s="9">
        <v>45874</v>
      </c>
      <c r="D1755" s="4" t="s">
        <v>912</v>
      </c>
      <c r="E1755" s="8">
        <v>64486</v>
      </c>
      <c r="F1755" s="3"/>
      <c r="G1755" s="7">
        <f>IF(Tabla1[[#This Row],[Fecha]]="","",G1754+Tabla1[[#This Row],[ingreso]]-Tabla1[[#This Row],[egreso]])</f>
        <v>1155278.9626999982</v>
      </c>
      <c r="H1755" s="7"/>
      <c r="I1755" s="7"/>
      <c r="J1755" s="4"/>
    </row>
    <row r="1756" spans="1:10" x14ac:dyDescent="0.2">
      <c r="A1756">
        <f>COUNTIF($I$2:I1756,'[1]Detalle Pilotos'!$G$3)</f>
        <v>5</v>
      </c>
      <c r="B1756">
        <f t="shared" si="35"/>
        <v>1755</v>
      </c>
      <c r="C1756" s="9">
        <v>45875</v>
      </c>
      <c r="D1756" s="4" t="s">
        <v>872</v>
      </c>
      <c r="E1756" s="8"/>
      <c r="F1756" s="3">
        <v>988225</v>
      </c>
      <c r="G1756" s="7">
        <f>IF(Tabla1[[#This Row],[Fecha]]="","",G1755+Tabla1[[#This Row],[ingreso]]-Tabla1[[#This Row],[egreso]])</f>
        <v>2143503.9626999982</v>
      </c>
      <c r="H1756" s="7"/>
      <c r="I1756" s="7" t="s">
        <v>873</v>
      </c>
      <c r="J1756" s="4"/>
    </row>
    <row r="1757" spans="1:10" x14ac:dyDescent="0.2">
      <c r="A1757">
        <f>COUNTIF($I$2:I1757,'[1]Detalle Pilotos'!$G$3)</f>
        <v>5</v>
      </c>
      <c r="B1757">
        <f t="shared" si="35"/>
        <v>1756</v>
      </c>
      <c r="C1757" s="9">
        <v>45876</v>
      </c>
      <c r="D1757" s="4" t="s">
        <v>839</v>
      </c>
      <c r="E1757" s="8">
        <v>1000000</v>
      </c>
      <c r="F1757" s="3"/>
      <c r="G1757" s="7">
        <f>IF(Tabla1[[#This Row],[Fecha]]="","",G1756+Tabla1[[#This Row],[ingreso]]-Tabla1[[#This Row],[egreso]])</f>
        <v>1143503.9626999982</v>
      </c>
      <c r="H1757" s="7"/>
      <c r="I1757" s="7"/>
      <c r="J1757" s="4"/>
    </row>
    <row r="1758" spans="1:10" x14ac:dyDescent="0.2">
      <c r="A1758">
        <f>COUNTIF($I$2:I1758,'[1]Detalle Pilotos'!$G$3)</f>
        <v>5</v>
      </c>
      <c r="B1758">
        <f t="shared" si="35"/>
        <v>1757</v>
      </c>
      <c r="C1758" s="9">
        <v>45877</v>
      </c>
      <c r="D1758" s="4" t="s">
        <v>913</v>
      </c>
      <c r="E1758" s="8">
        <v>35000</v>
      </c>
      <c r="F1758" s="3"/>
      <c r="G1758" s="7">
        <f>IF(Tabla1[[#This Row],[Fecha]]="","",G1757+Tabla1[[#This Row],[ingreso]]-Tabla1[[#This Row],[egreso]])</f>
        <v>1108503.9626999982</v>
      </c>
      <c r="H1758" s="7"/>
      <c r="I1758" s="7"/>
      <c r="J1758" s="4"/>
    </row>
    <row r="1759" spans="1:10" x14ac:dyDescent="0.2">
      <c r="A1759">
        <f>COUNTIF($I$2:I1759,'[1]Detalle Pilotos'!$G$3)</f>
        <v>5</v>
      </c>
      <c r="B1759">
        <f t="shared" si="35"/>
        <v>1758</v>
      </c>
      <c r="C1759" s="9">
        <v>45880</v>
      </c>
      <c r="D1759" s="4" t="s">
        <v>178</v>
      </c>
      <c r="E1759" s="8"/>
      <c r="F1759" s="3">
        <v>320000</v>
      </c>
      <c r="G1759" s="7">
        <f>IF(Tabla1[[#This Row],[Fecha]]="","",G1758+Tabla1[[#This Row],[ingreso]]-Tabla1[[#This Row],[egreso]])</f>
        <v>1428503.9626999982</v>
      </c>
      <c r="H1759" s="7"/>
      <c r="I1759" s="7" t="s">
        <v>179</v>
      </c>
      <c r="J1759" s="4"/>
    </row>
    <row r="1760" spans="1:10" x14ac:dyDescent="0.2">
      <c r="A1760">
        <f>COUNTIF($I$2:I1760,'[1]Detalle Pilotos'!$G$3)</f>
        <v>5</v>
      </c>
      <c r="B1760">
        <f t="shared" si="35"/>
        <v>1759</v>
      </c>
      <c r="C1760" s="9">
        <v>45880</v>
      </c>
      <c r="D1760" s="4" t="s">
        <v>839</v>
      </c>
      <c r="E1760" s="8">
        <v>400000</v>
      </c>
      <c r="F1760" s="3"/>
      <c r="G1760" s="7">
        <f>IF(Tabla1[[#This Row],[Fecha]]="","",G1759+Tabla1[[#This Row],[ingreso]]-Tabla1[[#This Row],[egreso]])</f>
        <v>1028503.9626999982</v>
      </c>
      <c r="H1760" s="7"/>
      <c r="I1760" s="7"/>
      <c r="J1760" s="4"/>
    </row>
    <row r="1761" spans="1:10" x14ac:dyDescent="0.2">
      <c r="A1761">
        <f>COUNTIF($I$2:I1761,'[1]Detalle Pilotos'!$G$3)</f>
        <v>5</v>
      </c>
      <c r="B1761">
        <f t="shared" si="35"/>
        <v>1760</v>
      </c>
      <c r="C1761" s="9">
        <v>45881</v>
      </c>
      <c r="D1761" s="4" t="s">
        <v>826</v>
      </c>
      <c r="E1761" s="8"/>
      <c r="F1761" s="3">
        <v>175500</v>
      </c>
      <c r="G1761" s="7">
        <f>IF(Tabla1[[#This Row],[Fecha]]="","",G1760+Tabla1[[#This Row],[ingreso]]-Tabla1[[#This Row],[egreso]])</f>
        <v>1204003.9626999982</v>
      </c>
      <c r="H1761" s="7"/>
      <c r="I1761" s="7" t="s">
        <v>827</v>
      </c>
      <c r="J1761" s="4"/>
    </row>
    <row r="1762" spans="1:10" x14ac:dyDescent="0.2">
      <c r="A1762">
        <f>COUNTIF($I$2:I1762,'[1]Detalle Pilotos'!$G$3)</f>
        <v>5</v>
      </c>
      <c r="B1762">
        <f t="shared" si="35"/>
        <v>1761</v>
      </c>
      <c r="C1762" s="9">
        <v>45881</v>
      </c>
      <c r="D1762" s="4" t="s">
        <v>879</v>
      </c>
      <c r="E1762" s="8"/>
      <c r="F1762" s="3">
        <v>514054</v>
      </c>
      <c r="G1762" s="7">
        <f>IF(Tabla1[[#This Row],[Fecha]]="","",G1761+Tabla1[[#This Row],[ingreso]]-Tabla1[[#This Row],[egreso]])</f>
        <v>1718057.9626999982</v>
      </c>
      <c r="H1762" s="7"/>
      <c r="I1762" s="7" t="s">
        <v>880</v>
      </c>
      <c r="J1762" s="4"/>
    </row>
    <row r="1763" spans="1:10" x14ac:dyDescent="0.2">
      <c r="A1763">
        <f>COUNTIF($I$2:I1763,'[1]Detalle Pilotos'!$G$3)</f>
        <v>5</v>
      </c>
      <c r="B1763">
        <f t="shared" si="35"/>
        <v>1762</v>
      </c>
      <c r="C1763" s="9">
        <v>45881</v>
      </c>
      <c r="D1763" s="4" t="s">
        <v>910</v>
      </c>
      <c r="E1763" s="8"/>
      <c r="F1763" s="3">
        <v>210000</v>
      </c>
      <c r="G1763" s="7">
        <f>IF(Tabla1[[#This Row],[Fecha]]="","",G1762+Tabla1[[#This Row],[ingreso]]-Tabla1[[#This Row],[egreso]])</f>
        <v>1928057.9626999982</v>
      </c>
      <c r="H1763" s="7"/>
      <c r="I1763" s="7" t="s">
        <v>911</v>
      </c>
      <c r="J1763" s="4"/>
    </row>
    <row r="1764" spans="1:10" x14ac:dyDescent="0.2">
      <c r="A1764">
        <f>COUNTIF($I$2:I1764,'[1]Detalle Pilotos'!$G$3)</f>
        <v>5</v>
      </c>
      <c r="B1764">
        <f t="shared" si="35"/>
        <v>1763</v>
      </c>
      <c r="C1764" s="9">
        <v>45882</v>
      </c>
      <c r="D1764" s="4" t="s">
        <v>872</v>
      </c>
      <c r="E1764" s="8"/>
      <c r="F1764" s="3">
        <v>576330</v>
      </c>
      <c r="G1764" s="7">
        <f>IF(Tabla1[[#This Row],[Fecha]]="","",G1763+Tabla1[[#This Row],[ingreso]]-Tabla1[[#This Row],[egreso]])</f>
        <v>2504387.9626999982</v>
      </c>
      <c r="H1764" s="7"/>
      <c r="I1764" s="7" t="s">
        <v>873</v>
      </c>
      <c r="J1764" s="4"/>
    </row>
    <row r="1765" spans="1:10" x14ac:dyDescent="0.2">
      <c r="A1765">
        <f>COUNTIF($I$2:I1765,'[1]Detalle Pilotos'!$G$3)</f>
        <v>5</v>
      </c>
      <c r="B1765">
        <f t="shared" si="35"/>
        <v>1764</v>
      </c>
      <c r="C1765" s="9">
        <v>45882</v>
      </c>
      <c r="D1765" s="4" t="s">
        <v>755</v>
      </c>
      <c r="E1765" s="8"/>
      <c r="F1765" s="3">
        <v>105000</v>
      </c>
      <c r="G1765" s="7">
        <f>IF(Tabla1[[#This Row],[Fecha]]="","",G1764+Tabla1[[#This Row],[ingreso]]-Tabla1[[#This Row],[egreso]])</f>
        <v>2609387.9626999982</v>
      </c>
      <c r="H1765" s="7"/>
      <c r="I1765" s="7" t="s">
        <v>756</v>
      </c>
      <c r="J1765" s="4"/>
    </row>
    <row r="1766" spans="1:10" x14ac:dyDescent="0.2">
      <c r="A1766">
        <f>COUNTIF($I$2:I1766,'[1]Detalle Pilotos'!$G$3)</f>
        <v>5</v>
      </c>
      <c r="B1766">
        <f t="shared" si="35"/>
        <v>1765</v>
      </c>
      <c r="C1766" s="9">
        <v>45882</v>
      </c>
      <c r="D1766" s="4" t="s">
        <v>839</v>
      </c>
      <c r="E1766" s="8"/>
      <c r="F1766" s="3">
        <v>2870000</v>
      </c>
      <c r="G1766" s="7">
        <f>IF(Tabla1[[#This Row],[Fecha]]="","",G1765+Tabla1[[#This Row],[ingreso]]-Tabla1[[#This Row],[egreso]])</f>
        <v>5479387.9626999982</v>
      </c>
      <c r="H1766" s="7"/>
      <c r="I1766" s="7"/>
      <c r="J1766" s="4"/>
    </row>
    <row r="1767" spans="1:10" x14ac:dyDescent="0.2">
      <c r="A1767">
        <f>COUNTIF($I$2:I1767,'[1]Detalle Pilotos'!$G$3)</f>
        <v>5</v>
      </c>
      <c r="B1767">
        <f t="shared" si="35"/>
        <v>1766</v>
      </c>
      <c r="C1767" s="9">
        <v>45882</v>
      </c>
      <c r="D1767" s="4" t="s">
        <v>685</v>
      </c>
      <c r="E1767" s="8">
        <v>3577930</v>
      </c>
      <c r="F1767" s="3"/>
      <c r="G1767" s="7">
        <f>IF(Tabla1[[#This Row],[Fecha]]="","",G1766+Tabla1[[#This Row],[ingreso]]-Tabla1[[#This Row],[egreso]])</f>
        <v>1901457.9626999982</v>
      </c>
      <c r="H1767" s="7"/>
      <c r="I1767" s="7"/>
      <c r="J1767" s="4"/>
    </row>
    <row r="1768" spans="1:10" x14ac:dyDescent="0.2">
      <c r="A1768">
        <f>COUNTIF($I$2:I1768,'[1]Detalle Pilotos'!$G$3)</f>
        <v>5</v>
      </c>
      <c r="B1768">
        <f t="shared" si="35"/>
        <v>1767</v>
      </c>
      <c r="C1768" s="9">
        <v>45882</v>
      </c>
      <c r="D1768" s="4" t="s">
        <v>839</v>
      </c>
      <c r="E1768" s="8">
        <v>900000</v>
      </c>
      <c r="F1768" s="3"/>
      <c r="G1768" s="7">
        <f>IF(Tabla1[[#This Row],[Fecha]]="","",G1767+Tabla1[[#This Row],[ingreso]]-Tabla1[[#This Row],[egreso]])</f>
        <v>1001457.9626999982</v>
      </c>
      <c r="H1768" s="7"/>
      <c r="I1768" s="7"/>
      <c r="J1768" s="4"/>
    </row>
    <row r="1769" spans="1:10" x14ac:dyDescent="0.2">
      <c r="A1769">
        <f>COUNTIF($I$2:I1769,'[1]Detalle Pilotos'!$G$3)</f>
        <v>5</v>
      </c>
      <c r="B1769">
        <f t="shared" si="35"/>
        <v>1768</v>
      </c>
      <c r="C1769" s="9">
        <v>45883</v>
      </c>
      <c r="D1769" s="4" t="s">
        <v>782</v>
      </c>
      <c r="E1769" s="8"/>
      <c r="F1769" s="3">
        <v>266508</v>
      </c>
      <c r="G1769" s="7">
        <f>IF(Tabla1[[#This Row],[Fecha]]="","",G1768+Tabla1[[#This Row],[ingreso]]-Tabla1[[#This Row],[egreso]])</f>
        <v>1267965.9626999982</v>
      </c>
      <c r="H1769" s="7"/>
      <c r="I1769" s="7" t="s">
        <v>783</v>
      </c>
      <c r="J1769" s="4"/>
    </row>
    <row r="1770" spans="1:10" x14ac:dyDescent="0.2">
      <c r="A1770">
        <f>COUNTIF($I$2:I1770,'[1]Detalle Pilotos'!$G$3)</f>
        <v>5</v>
      </c>
      <c r="B1770">
        <f t="shared" si="35"/>
        <v>1769</v>
      </c>
      <c r="C1770" s="9">
        <v>45883</v>
      </c>
      <c r="D1770" s="4" t="s">
        <v>836</v>
      </c>
      <c r="E1770" s="8">
        <v>68389</v>
      </c>
      <c r="F1770" s="3"/>
      <c r="G1770" s="7">
        <f>IF(Tabla1[[#This Row],[Fecha]]="","",G1769+Tabla1[[#This Row],[ingreso]]-Tabla1[[#This Row],[egreso]])</f>
        <v>1199576.9626999982</v>
      </c>
      <c r="H1770" s="7"/>
      <c r="I1770" s="7"/>
      <c r="J1770" s="4"/>
    </row>
    <row r="1771" spans="1:10" x14ac:dyDescent="0.2">
      <c r="A1771">
        <f>COUNTIF($I$2:I1771,'[1]Detalle Pilotos'!$G$3)</f>
        <v>5</v>
      </c>
      <c r="B1771">
        <f t="shared" si="35"/>
        <v>1770</v>
      </c>
      <c r="C1771" s="9">
        <v>45887</v>
      </c>
      <c r="D1771" s="4" t="s">
        <v>770</v>
      </c>
      <c r="E1771" s="8"/>
      <c r="F1771" s="3">
        <v>713362</v>
      </c>
      <c r="G1771" s="7">
        <f>IF(Tabla1[[#This Row],[Fecha]]="","",G1770+Tabla1[[#This Row],[ingreso]]-Tabla1[[#This Row],[egreso]])</f>
        <v>1912938.9626999982</v>
      </c>
      <c r="H1771" s="7"/>
      <c r="I1771" s="7" t="s">
        <v>771</v>
      </c>
      <c r="J1771" s="4"/>
    </row>
    <row r="1772" spans="1:10" x14ac:dyDescent="0.2">
      <c r="A1772">
        <f>COUNTIF($I$2:I1772,'[1]Detalle Pilotos'!$G$3)</f>
        <v>5</v>
      </c>
      <c r="B1772">
        <f t="shared" si="35"/>
        <v>1771</v>
      </c>
      <c r="C1772" s="9">
        <v>45887</v>
      </c>
      <c r="D1772" s="4" t="s">
        <v>839</v>
      </c>
      <c r="E1772" s="8">
        <v>900000</v>
      </c>
      <c r="F1772" s="3"/>
      <c r="G1772" s="7">
        <f>IF(Tabla1[[#This Row],[Fecha]]="","",G1771+Tabla1[[#This Row],[ingreso]]-Tabla1[[#This Row],[egreso]])</f>
        <v>1012938.9626999982</v>
      </c>
      <c r="H1772" s="7"/>
      <c r="I1772" s="7"/>
      <c r="J1772" s="4"/>
    </row>
    <row r="1773" spans="1:10" x14ac:dyDescent="0.2">
      <c r="A1773">
        <f>COUNTIF($I$2:I1773,'[1]Detalle Pilotos'!$G$3)</f>
        <v>5</v>
      </c>
      <c r="B1773">
        <f t="shared" si="35"/>
        <v>1772</v>
      </c>
      <c r="C1773" s="9">
        <v>45890</v>
      </c>
      <c r="D1773" s="4" t="s">
        <v>914</v>
      </c>
      <c r="E1773" s="8">
        <v>125748</v>
      </c>
      <c r="F1773" s="3"/>
      <c r="G1773" s="7">
        <f>IF(Tabla1[[#This Row],[Fecha]]="","",G1772+Tabla1[[#This Row],[ingreso]]-Tabla1[[#This Row],[egreso]])</f>
        <v>887190.96269999817</v>
      </c>
      <c r="H1773" s="7"/>
      <c r="I1773" s="7"/>
      <c r="J1773" s="4"/>
    </row>
    <row r="1774" spans="1:10" x14ac:dyDescent="0.2">
      <c r="A1774">
        <f>COUNTIF($I$2:I1774,'[1]Detalle Pilotos'!$G$3)</f>
        <v>5</v>
      </c>
      <c r="B1774">
        <f t="shared" si="35"/>
        <v>1773</v>
      </c>
      <c r="C1774" s="9">
        <v>45894</v>
      </c>
      <c r="D1774" s="4" t="s">
        <v>818</v>
      </c>
      <c r="E1774" s="8">
        <v>88244</v>
      </c>
      <c r="F1774" s="3"/>
      <c r="G1774" s="7">
        <f>IF(Tabla1[[#This Row],[Fecha]]="","",G1773+Tabla1[[#This Row],[ingreso]]-Tabla1[[#This Row],[egreso]])</f>
        <v>798946.96269999817</v>
      </c>
      <c r="H1774" s="7"/>
      <c r="I1774" s="7"/>
      <c r="J1774" s="4"/>
    </row>
    <row r="1775" spans="1:10" x14ac:dyDescent="0.2">
      <c r="A1775">
        <f>COUNTIF($I$2:I1775,'[1]Detalle Pilotos'!$G$3)</f>
        <v>5</v>
      </c>
      <c r="B1775">
        <f t="shared" si="35"/>
        <v>1774</v>
      </c>
      <c r="C1775" s="9">
        <v>45895</v>
      </c>
      <c r="D1775" s="4" t="s">
        <v>915</v>
      </c>
      <c r="E1775" s="8"/>
      <c r="F1775" s="3">
        <v>231000</v>
      </c>
      <c r="G1775" s="7">
        <f>IF(Tabla1[[#This Row],[Fecha]]="","",G1774+Tabla1[[#This Row],[ingreso]]-Tabla1[[#This Row],[egreso]])</f>
        <v>1029946.9626999982</v>
      </c>
      <c r="H1775" s="7"/>
      <c r="I1775" s="7" t="s">
        <v>916</v>
      </c>
      <c r="J1775" s="4"/>
    </row>
    <row r="1776" spans="1:10" x14ac:dyDescent="0.2">
      <c r="A1776">
        <f>COUNTIF($I$2:I1776,'[1]Detalle Pilotos'!$G$3)</f>
        <v>5</v>
      </c>
      <c r="B1776">
        <f t="shared" si="35"/>
        <v>1775</v>
      </c>
      <c r="C1776" s="9">
        <v>45896</v>
      </c>
      <c r="D1776" s="4" t="s">
        <v>178</v>
      </c>
      <c r="E1776" s="8"/>
      <c r="F1776" s="3">
        <v>300000</v>
      </c>
      <c r="G1776" s="7">
        <f>IF(Tabla1[[#This Row],[Fecha]]="","",G1775+Tabla1[[#This Row],[ingreso]]-Tabla1[[#This Row],[egreso]])</f>
        <v>1329946.9626999982</v>
      </c>
      <c r="H1776" s="7"/>
      <c r="I1776" s="7" t="s">
        <v>179</v>
      </c>
      <c r="J1776" s="4"/>
    </row>
    <row r="1777" spans="1:10" x14ac:dyDescent="0.2">
      <c r="A1777">
        <f>COUNTIF($I$2:I1777,'[1]Detalle Pilotos'!$G$3)</f>
        <v>5</v>
      </c>
      <c r="B1777">
        <f t="shared" si="35"/>
        <v>1776</v>
      </c>
      <c r="C1777" s="9">
        <v>45896</v>
      </c>
      <c r="D1777" s="4" t="s">
        <v>839</v>
      </c>
      <c r="E1777" s="8">
        <v>300000</v>
      </c>
      <c r="F1777" s="3"/>
      <c r="G1777" s="7">
        <f>IF(Tabla1[[#This Row],[Fecha]]="","",G1776+Tabla1[[#This Row],[ingreso]]-Tabla1[[#This Row],[egreso]])</f>
        <v>1029946.9626999982</v>
      </c>
      <c r="H1777" s="7"/>
      <c r="I1777" s="7"/>
      <c r="J1777" s="4"/>
    </row>
    <row r="1778" spans="1:10" x14ac:dyDescent="0.2">
      <c r="A1778">
        <f>COUNTIF($I$2:I1778,'[1]Detalle Pilotos'!$G$3)</f>
        <v>5</v>
      </c>
      <c r="B1778">
        <f t="shared" si="35"/>
        <v>1777</v>
      </c>
      <c r="C1778" s="9">
        <v>45896</v>
      </c>
      <c r="D1778" s="4" t="s">
        <v>839</v>
      </c>
      <c r="E1778" s="8">
        <v>20000</v>
      </c>
      <c r="F1778" s="3"/>
      <c r="G1778" s="7">
        <f>IF(Tabla1[[#This Row],[Fecha]]="","",G1777+Tabla1[[#This Row],[ingreso]]-Tabla1[[#This Row],[egreso]])</f>
        <v>1009946.9626999982</v>
      </c>
      <c r="H1778" s="7"/>
      <c r="I1778" s="7"/>
      <c r="J1778" s="4"/>
    </row>
    <row r="1779" spans="1:10" x14ac:dyDescent="0.2">
      <c r="A1779">
        <f>COUNTIF($I$2:I1779,'[1]Detalle Pilotos'!$G$3)</f>
        <v>5</v>
      </c>
      <c r="B1779">
        <f t="shared" si="35"/>
        <v>1778</v>
      </c>
      <c r="C1779" s="9">
        <v>45897</v>
      </c>
      <c r="D1779" s="4" t="s">
        <v>917</v>
      </c>
      <c r="E1779" s="8"/>
      <c r="F1779" s="3">
        <v>350000</v>
      </c>
      <c r="G1779" s="7">
        <f>IF(Tabla1[[#This Row],[Fecha]]="","",G1778+Tabla1[[#This Row],[ingreso]]-Tabla1[[#This Row],[egreso]])</f>
        <v>1359946.9626999982</v>
      </c>
      <c r="H1779" s="7"/>
      <c r="I1779" s="7" t="s">
        <v>918</v>
      </c>
      <c r="J1779" s="4"/>
    </row>
    <row r="1780" spans="1:10" x14ac:dyDescent="0.2">
      <c r="A1780">
        <f>COUNTIF($I$2:I1780,'[1]Detalle Pilotos'!$G$3)</f>
        <v>5</v>
      </c>
      <c r="B1780">
        <f t="shared" si="35"/>
        <v>1779</v>
      </c>
      <c r="C1780" s="9">
        <v>45898</v>
      </c>
      <c r="D1780" s="4" t="s">
        <v>839</v>
      </c>
      <c r="E1780" s="8">
        <v>350000</v>
      </c>
      <c r="F1780" s="3"/>
      <c r="G1780" s="7">
        <f>IF(Tabla1[[#This Row],[Fecha]]="","",G1779+Tabla1[[#This Row],[ingreso]]-Tabla1[[#This Row],[egreso]])</f>
        <v>1009946.9626999982</v>
      </c>
      <c r="H1780" s="7"/>
      <c r="I1780" s="7"/>
      <c r="J1780" s="4"/>
    </row>
    <row r="1781" spans="1:10" x14ac:dyDescent="0.2">
      <c r="A1781">
        <f>COUNTIF($I$2:I1781,'[1]Detalle Pilotos'!$G$3)</f>
        <v>5</v>
      </c>
      <c r="B1781">
        <f t="shared" si="35"/>
        <v>1780</v>
      </c>
      <c r="C1781" s="9">
        <v>45898</v>
      </c>
      <c r="D1781" s="4" t="s">
        <v>917</v>
      </c>
      <c r="E1781" s="8"/>
      <c r="F1781" s="3">
        <v>175000</v>
      </c>
      <c r="G1781" s="7">
        <f>IF(Tabla1[[#This Row],[Fecha]]="","",G1780+Tabla1[[#This Row],[ingreso]]-Tabla1[[#This Row],[egreso]])</f>
        <v>1184946.9626999982</v>
      </c>
      <c r="H1781" s="7"/>
      <c r="I1781" s="7" t="s">
        <v>918</v>
      </c>
      <c r="J1781" s="4"/>
    </row>
    <row r="1782" spans="1:10" x14ac:dyDescent="0.2">
      <c r="A1782">
        <f>COUNTIF($I$2:I1782,'[1]Detalle Pilotos'!$G$3)</f>
        <v>5</v>
      </c>
      <c r="B1782">
        <f t="shared" si="35"/>
        <v>1781</v>
      </c>
      <c r="C1782" s="9">
        <v>45901</v>
      </c>
      <c r="D1782" s="4" t="s">
        <v>919</v>
      </c>
      <c r="E1782" s="8">
        <v>379950</v>
      </c>
      <c r="F1782" s="3"/>
      <c r="G1782" s="7">
        <f>IF(Tabla1[[#This Row],[Fecha]]="","",G1781+Tabla1[[#This Row],[ingreso]]-Tabla1[[#This Row],[egreso]])</f>
        <v>804996.96269999817</v>
      </c>
      <c r="H1782" s="7"/>
      <c r="I1782" s="7"/>
      <c r="J1782" s="4"/>
    </row>
    <row r="1783" spans="1:10" x14ac:dyDescent="0.2">
      <c r="A1783">
        <f>COUNTIF($I$2:I1783,'[1]Detalle Pilotos'!$G$3)</f>
        <v>5</v>
      </c>
      <c r="B1783">
        <f t="shared" si="35"/>
        <v>1782</v>
      </c>
      <c r="C1783" s="9">
        <v>45900</v>
      </c>
      <c r="D1783" s="4" t="s">
        <v>802</v>
      </c>
      <c r="E1783" s="8"/>
      <c r="F1783" s="3">
        <v>450000</v>
      </c>
      <c r="G1783" s="7">
        <f>IF(Tabla1[[#This Row],[Fecha]]="","",G1782+Tabla1[[#This Row],[ingreso]]-Tabla1[[#This Row],[egreso]])</f>
        <v>1254996.9626999982</v>
      </c>
      <c r="H1783" s="7"/>
      <c r="I1783" s="7" t="s">
        <v>803</v>
      </c>
      <c r="J1783" s="4"/>
    </row>
    <row r="1784" spans="1:10" x14ac:dyDescent="0.2">
      <c r="A1784">
        <f>COUNTIF($I$2:I1784,'[1]Detalle Pilotos'!$G$3)</f>
        <v>5</v>
      </c>
      <c r="B1784">
        <f t="shared" si="35"/>
        <v>1783</v>
      </c>
      <c r="C1784" s="9">
        <v>45901</v>
      </c>
      <c r="D1784" s="4" t="s">
        <v>920</v>
      </c>
      <c r="E1784" s="8">
        <v>154427</v>
      </c>
      <c r="F1784" s="3"/>
      <c r="G1784" s="7">
        <f>IF(Tabla1[[#This Row],[Fecha]]="","",G1783+Tabla1[[#This Row],[ingreso]]-Tabla1[[#This Row],[egreso]])</f>
        <v>1100569.9626999982</v>
      </c>
      <c r="H1784" s="7"/>
      <c r="I1784" s="7"/>
      <c r="J1784" s="4"/>
    </row>
    <row r="1785" spans="1:10" x14ac:dyDescent="0.2">
      <c r="A1785">
        <f>COUNTIF($I$2:I1785,'[1]Detalle Pilotos'!$G$3)</f>
        <v>5</v>
      </c>
      <c r="B1785">
        <f t="shared" si="35"/>
        <v>1784</v>
      </c>
      <c r="C1785" s="9">
        <v>45903</v>
      </c>
      <c r="D1785" s="4" t="s">
        <v>921</v>
      </c>
      <c r="E1785" s="8">
        <v>70000</v>
      </c>
      <c r="F1785" s="3"/>
      <c r="G1785" s="7">
        <f>IF(Tabla1[[#This Row],[Fecha]]="","",G1784+Tabla1[[#This Row],[ingreso]]-Tabla1[[#This Row],[egreso]])</f>
        <v>1030569.9626999982</v>
      </c>
      <c r="H1785" s="7"/>
      <c r="I1785" s="7"/>
      <c r="J1785" s="4"/>
    </row>
    <row r="1786" spans="1:10" x14ac:dyDescent="0.2">
      <c r="A1786">
        <f>COUNTIF($I$2:I1786,'[1]Detalle Pilotos'!$G$3)</f>
        <v>5</v>
      </c>
      <c r="B1786">
        <f t="shared" si="35"/>
        <v>1785</v>
      </c>
      <c r="C1786" s="9">
        <v>45904</v>
      </c>
      <c r="D1786" s="4" t="s">
        <v>884</v>
      </c>
      <c r="E1786" s="8"/>
      <c r="F1786" s="3">
        <v>710500</v>
      </c>
      <c r="G1786" s="7">
        <f>IF(Tabla1[[#This Row],[Fecha]]="","",G1785+Tabla1[[#This Row],[ingreso]]-Tabla1[[#This Row],[egreso]])</f>
        <v>1741069.9626999982</v>
      </c>
      <c r="H1786" s="7"/>
      <c r="I1786" s="7" t="s">
        <v>885</v>
      </c>
      <c r="J1786" s="4"/>
    </row>
    <row r="1787" spans="1:10" x14ac:dyDescent="0.2">
      <c r="A1787">
        <f>COUNTIF($I$2:I1787,'[1]Detalle Pilotos'!$G$3)</f>
        <v>5</v>
      </c>
      <c r="B1787">
        <f t="shared" si="35"/>
        <v>1786</v>
      </c>
      <c r="C1787" s="9">
        <v>45904</v>
      </c>
      <c r="D1787" s="4" t="s">
        <v>839</v>
      </c>
      <c r="E1787" s="8">
        <v>700000</v>
      </c>
      <c r="F1787" s="3"/>
      <c r="G1787" s="7">
        <f>IF(Tabla1[[#This Row],[Fecha]]="","",G1786+Tabla1[[#This Row],[ingreso]]-Tabla1[[#This Row],[egreso]])</f>
        <v>1041069.9626999982</v>
      </c>
      <c r="H1787" s="7"/>
      <c r="I1787" s="7"/>
      <c r="J1787" s="4"/>
    </row>
    <row r="1788" spans="1:10" x14ac:dyDescent="0.2">
      <c r="A1788">
        <f>COUNTIF($I$2:I1788,'[1]Detalle Pilotos'!$G$3)</f>
        <v>5</v>
      </c>
      <c r="B1788">
        <f t="shared" si="35"/>
        <v>1787</v>
      </c>
      <c r="C1788" s="9">
        <v>45905</v>
      </c>
      <c r="D1788" s="4" t="s">
        <v>915</v>
      </c>
      <c r="E1788" s="8"/>
      <c r="F1788" s="3">
        <v>504000</v>
      </c>
      <c r="G1788" s="7">
        <f>IF(Tabla1[[#This Row],[Fecha]]="","",G1787+Tabla1[[#This Row],[ingreso]]-Tabla1[[#This Row],[egreso]])</f>
        <v>1545069.9626999982</v>
      </c>
      <c r="H1788" s="7"/>
      <c r="I1788" s="7" t="s">
        <v>916</v>
      </c>
      <c r="J1788" s="4"/>
    </row>
    <row r="1789" spans="1:10" x14ac:dyDescent="0.2">
      <c r="A1789">
        <f>COUNTIF($I$2:I1789,'[1]Detalle Pilotos'!$G$3)</f>
        <v>5</v>
      </c>
      <c r="B1789">
        <f t="shared" si="35"/>
        <v>1788</v>
      </c>
      <c r="C1789" s="9">
        <v>45905</v>
      </c>
      <c r="D1789" s="4" t="s">
        <v>839</v>
      </c>
      <c r="E1789" s="8">
        <v>500000</v>
      </c>
      <c r="F1789" s="3"/>
      <c r="G1789" s="7">
        <f>IF(Tabla1[[#This Row],[Fecha]]="","",G1788+Tabla1[[#This Row],[ingreso]]-Tabla1[[#This Row],[egreso]])</f>
        <v>1045069.9626999982</v>
      </c>
      <c r="H1789" s="7"/>
      <c r="I1789" s="7"/>
      <c r="J1789" s="4"/>
    </row>
    <row r="1790" spans="1:10" x14ac:dyDescent="0.2">
      <c r="A1790">
        <f>COUNTIF($I$2:I1790,'[1]Detalle Pilotos'!$G$3)</f>
        <v>5</v>
      </c>
      <c r="B1790">
        <f t="shared" si="35"/>
        <v>1789</v>
      </c>
      <c r="C1790" s="9">
        <v>45905</v>
      </c>
      <c r="D1790" s="4" t="s">
        <v>922</v>
      </c>
      <c r="E1790" s="8">
        <v>128463</v>
      </c>
      <c r="F1790" s="3"/>
      <c r="G1790" s="7">
        <f>IF(Tabla1[[#This Row],[Fecha]]="","",G1789+Tabla1[[#This Row],[ingreso]]-Tabla1[[#This Row],[egreso]])</f>
        <v>916606.96269999817</v>
      </c>
      <c r="H1790" s="7"/>
      <c r="I1790" s="7"/>
      <c r="J1790" s="4"/>
    </row>
    <row r="1791" spans="1:10" x14ac:dyDescent="0.2">
      <c r="A1791">
        <f>COUNTIF($I$2:I1791,'[1]Detalle Pilotos'!$G$3)</f>
        <v>5</v>
      </c>
      <c r="B1791">
        <f t="shared" si="35"/>
        <v>1790</v>
      </c>
      <c r="C1791" s="9">
        <v>45912</v>
      </c>
      <c r="D1791" s="4" t="s">
        <v>63</v>
      </c>
      <c r="E1791" s="8"/>
      <c r="F1791" s="3">
        <v>140000</v>
      </c>
      <c r="G1791" s="7">
        <f>IF(Tabla1[[#This Row],[Fecha]]="","",G1790+Tabla1[[#This Row],[ingreso]]-Tabla1[[#This Row],[egreso]])</f>
        <v>1056606.9626999982</v>
      </c>
      <c r="H1791" s="7"/>
      <c r="I1791" s="7" t="s">
        <v>64</v>
      </c>
      <c r="J1791" s="4"/>
    </row>
    <row r="1792" spans="1:10" x14ac:dyDescent="0.2">
      <c r="A1792">
        <f>COUNTIF($I$2:I1792,'[1]Detalle Pilotos'!$G$3)</f>
        <v>5</v>
      </c>
      <c r="B1792">
        <f t="shared" si="35"/>
        <v>1791</v>
      </c>
      <c r="C1792" s="9">
        <v>45912</v>
      </c>
      <c r="D1792" s="4" t="s">
        <v>910</v>
      </c>
      <c r="E1792" s="8"/>
      <c r="F1792" s="3">
        <v>262500</v>
      </c>
      <c r="G1792" s="7">
        <f>IF(Tabla1[[#This Row],[Fecha]]="","",G1791+Tabla1[[#This Row],[ingreso]]-Tabla1[[#This Row],[egreso]])</f>
        <v>1319106.9626999982</v>
      </c>
      <c r="H1792" s="7"/>
      <c r="I1792" s="7" t="s">
        <v>911</v>
      </c>
      <c r="J1792" s="4"/>
    </row>
    <row r="1793" spans="1:10" x14ac:dyDescent="0.2">
      <c r="A1793">
        <f>COUNTIF($I$2:I1793,'[1]Detalle Pilotos'!$G$3)</f>
        <v>5</v>
      </c>
      <c r="B1793">
        <f t="shared" si="35"/>
        <v>1792</v>
      </c>
      <c r="C1793" s="9">
        <v>45912</v>
      </c>
      <c r="D1793" s="4" t="s">
        <v>839</v>
      </c>
      <c r="E1793" s="8">
        <v>300000</v>
      </c>
      <c r="F1793" s="3"/>
      <c r="G1793" s="7">
        <f>IF(Tabla1[[#This Row],[Fecha]]="","",G1792+Tabla1[[#This Row],[ingreso]]-Tabla1[[#This Row],[egreso]])</f>
        <v>1019106.9626999982</v>
      </c>
      <c r="H1793" s="7"/>
      <c r="I1793" s="7"/>
      <c r="J1793" s="4"/>
    </row>
    <row r="1794" spans="1:10" x14ac:dyDescent="0.2">
      <c r="A1794">
        <f>COUNTIF($I$2:I1794,'[1]Detalle Pilotos'!$G$3)</f>
        <v>5</v>
      </c>
      <c r="B1794">
        <f t="shared" si="35"/>
        <v>1793</v>
      </c>
      <c r="C1794" s="9">
        <v>45912</v>
      </c>
      <c r="D1794" s="4" t="s">
        <v>724</v>
      </c>
      <c r="E1794" s="8"/>
      <c r="F1794" s="3">
        <v>84000</v>
      </c>
      <c r="G1794" s="7">
        <f>IF(Tabla1[[#This Row],[Fecha]]="","",G1793+Tabla1[[#This Row],[ingreso]]-Tabla1[[#This Row],[egreso]])</f>
        <v>1103106.9626999982</v>
      </c>
      <c r="H1794" s="7"/>
      <c r="I1794" s="7"/>
      <c r="J1794" s="4"/>
    </row>
    <row r="1795" spans="1:10" x14ac:dyDescent="0.2">
      <c r="A1795">
        <f>COUNTIF($I$2:I1795,'[1]Detalle Pilotos'!$G$3)</f>
        <v>5</v>
      </c>
      <c r="B1795">
        <f t="shared" si="35"/>
        <v>1794</v>
      </c>
      <c r="C1795" s="9">
        <v>45912</v>
      </c>
      <c r="D1795" s="4" t="s">
        <v>923</v>
      </c>
      <c r="E1795" s="8">
        <v>165788</v>
      </c>
      <c r="F1795" s="3"/>
      <c r="G1795" s="7">
        <f>IF(Tabla1[[#This Row],[Fecha]]="","",G1794+Tabla1[[#This Row],[ingreso]]-Tabla1[[#This Row],[egreso]])</f>
        <v>937318.96269999817</v>
      </c>
      <c r="H1795" s="7"/>
      <c r="I1795" s="7"/>
      <c r="J1795" s="4"/>
    </row>
    <row r="1796" spans="1:10" x14ac:dyDescent="0.2">
      <c r="A1796">
        <f>COUNTIF($I$2:I1796,'[1]Detalle Pilotos'!$G$3)</f>
        <v>5</v>
      </c>
      <c r="B1796">
        <f t="shared" ref="B1796:B1859" si="36">IF(C1796="","",1+B1795)</f>
        <v>1795</v>
      </c>
      <c r="C1796" s="9">
        <v>45915</v>
      </c>
      <c r="D1796" s="22" t="s">
        <v>924</v>
      </c>
      <c r="E1796" s="8">
        <v>56510</v>
      </c>
      <c r="F1796" s="3"/>
      <c r="G1796" s="7">
        <f>IF(Tabla1[[#This Row],[Fecha]]="","",G1795+Tabla1[[#This Row],[ingreso]]-Tabla1[[#This Row],[egreso]])</f>
        <v>880808.96269999817</v>
      </c>
      <c r="H1796" s="7"/>
      <c r="I1796" s="7"/>
      <c r="J1796" s="4"/>
    </row>
    <row r="1797" spans="1:10" x14ac:dyDescent="0.2">
      <c r="A1797">
        <f>COUNTIF($I$2:I1797,'[1]Detalle Pilotos'!$G$3)</f>
        <v>5</v>
      </c>
      <c r="B1797">
        <f t="shared" si="36"/>
        <v>1796</v>
      </c>
      <c r="C1797" s="9">
        <v>45915</v>
      </c>
      <c r="D1797" s="4" t="s">
        <v>882</v>
      </c>
      <c r="E1797" s="8"/>
      <c r="F1797" s="3">
        <v>583139</v>
      </c>
      <c r="G1797" s="7">
        <f>IF(Tabla1[[#This Row],[Fecha]]="","",G1796+Tabla1[[#This Row],[ingreso]]-Tabla1[[#This Row],[egreso]])</f>
        <v>1463947.9626999982</v>
      </c>
      <c r="H1797" s="7"/>
      <c r="I1797" s="7" t="s">
        <v>883</v>
      </c>
      <c r="J1797" s="4"/>
    </row>
    <row r="1798" spans="1:10" x14ac:dyDescent="0.2">
      <c r="A1798">
        <f>COUNTIF($I$2:I1798,'[1]Detalle Pilotos'!$G$3)</f>
        <v>5</v>
      </c>
      <c r="B1798">
        <f t="shared" si="36"/>
        <v>1797</v>
      </c>
      <c r="C1798" s="9">
        <v>45915</v>
      </c>
      <c r="D1798" s="4" t="s">
        <v>839</v>
      </c>
      <c r="E1798" s="8">
        <v>400000</v>
      </c>
      <c r="F1798" s="3"/>
      <c r="G1798" s="7">
        <f>IF(Tabla1[[#This Row],[Fecha]]="","",G1797+Tabla1[[#This Row],[ingreso]]-Tabla1[[#This Row],[egreso]])</f>
        <v>1063947.9626999982</v>
      </c>
      <c r="H1798" s="7"/>
      <c r="I1798" s="7"/>
      <c r="J1798" s="4"/>
    </row>
    <row r="1799" spans="1:10" x14ac:dyDescent="0.2">
      <c r="A1799">
        <f>COUNTIF($I$2:I1799,'[1]Detalle Pilotos'!$G$3)</f>
        <v>5</v>
      </c>
      <c r="B1799">
        <f t="shared" si="36"/>
        <v>1798</v>
      </c>
      <c r="C1799" s="9">
        <v>45915</v>
      </c>
      <c r="D1799" s="4" t="s">
        <v>186</v>
      </c>
      <c r="E1799" s="8"/>
      <c r="F1799" s="3">
        <v>89800</v>
      </c>
      <c r="G1799" s="7">
        <f>IF(Tabla1[[#This Row],[Fecha]]="","",G1798+Tabla1[[#This Row],[ingreso]]-Tabla1[[#This Row],[egreso]])</f>
        <v>1153747.9626999982</v>
      </c>
      <c r="H1799" s="7"/>
      <c r="I1799" s="7" t="s">
        <v>187</v>
      </c>
      <c r="J1799" s="4"/>
    </row>
    <row r="1800" spans="1:10" x14ac:dyDescent="0.2">
      <c r="A1800">
        <f>COUNTIF($I$2:I1800,'[1]Detalle Pilotos'!$G$3)</f>
        <v>5</v>
      </c>
      <c r="B1800">
        <f t="shared" si="36"/>
        <v>1799</v>
      </c>
      <c r="C1800" s="9">
        <v>45915</v>
      </c>
      <c r="D1800" s="4" t="s">
        <v>925</v>
      </c>
      <c r="E1800" s="8">
        <v>15000</v>
      </c>
      <c r="F1800" s="3"/>
      <c r="G1800" s="7">
        <f>IF(Tabla1[[#This Row],[Fecha]]="","",G1799+Tabla1[[#This Row],[ingreso]]-Tabla1[[#This Row],[egreso]])</f>
        <v>1138747.9626999982</v>
      </c>
      <c r="H1800" s="7"/>
      <c r="I1800" s="7"/>
      <c r="J1800" s="4"/>
    </row>
    <row r="1801" spans="1:10" x14ac:dyDescent="0.2">
      <c r="A1801">
        <f>COUNTIF($I$2:I1801,'[1]Detalle Pilotos'!$G$3)</f>
        <v>5</v>
      </c>
      <c r="B1801">
        <f t="shared" si="36"/>
        <v>1800</v>
      </c>
      <c r="C1801" s="9">
        <v>45917</v>
      </c>
      <c r="D1801" s="4" t="s">
        <v>926</v>
      </c>
      <c r="E1801" s="8">
        <v>65719</v>
      </c>
      <c r="F1801" s="3"/>
      <c r="G1801" s="7">
        <f>IF(Tabla1[[#This Row],[Fecha]]="","",G1800+Tabla1[[#This Row],[ingreso]]-Tabla1[[#This Row],[egreso]])</f>
        <v>1073028.9626999982</v>
      </c>
      <c r="H1801" s="7"/>
      <c r="I1801" s="7"/>
      <c r="J1801" s="4"/>
    </row>
    <row r="1802" spans="1:10" x14ac:dyDescent="0.2">
      <c r="A1802">
        <f>COUNTIF($I$2:I1802,'[1]Detalle Pilotos'!$G$3)</f>
        <v>5</v>
      </c>
      <c r="B1802">
        <f t="shared" si="36"/>
        <v>1801</v>
      </c>
      <c r="C1802" s="9">
        <v>45924</v>
      </c>
      <c r="D1802" s="4" t="s">
        <v>917</v>
      </c>
      <c r="E1802" s="8"/>
      <c r="F1802" s="3">
        <v>315000</v>
      </c>
      <c r="G1802" s="7">
        <f>IF(Tabla1[[#This Row],[Fecha]]="","",G1801+Tabla1[[#This Row],[ingreso]]-Tabla1[[#This Row],[egreso]])</f>
        <v>1388028.9626999982</v>
      </c>
      <c r="H1802" s="7"/>
      <c r="I1802" s="7" t="s">
        <v>918</v>
      </c>
      <c r="J1802" s="4"/>
    </row>
    <row r="1803" spans="1:10" x14ac:dyDescent="0.2">
      <c r="A1803">
        <f>COUNTIF($I$2:I1803,'[1]Detalle Pilotos'!$G$3)</f>
        <v>5</v>
      </c>
      <c r="B1803">
        <f t="shared" si="36"/>
        <v>1802</v>
      </c>
      <c r="C1803" s="9">
        <v>45926</v>
      </c>
      <c r="D1803" s="4" t="s">
        <v>910</v>
      </c>
      <c r="E1803" s="8"/>
      <c r="F1803" s="3">
        <v>192500</v>
      </c>
      <c r="G1803" s="7">
        <f>IF(Tabla1[[#This Row],[Fecha]]="","",G1802+Tabla1[[#This Row],[ingreso]]-Tabla1[[#This Row],[egreso]])</f>
        <v>1580528.9626999982</v>
      </c>
      <c r="H1803" s="7"/>
      <c r="I1803" s="7" t="s">
        <v>911</v>
      </c>
      <c r="J1803" s="4"/>
    </row>
    <row r="1804" spans="1:10" x14ac:dyDescent="0.2">
      <c r="A1804">
        <f>COUNTIF($I$2:I1804,'[1]Detalle Pilotos'!$G$3)</f>
        <v>5</v>
      </c>
      <c r="B1804">
        <f t="shared" si="36"/>
        <v>1803</v>
      </c>
      <c r="C1804" s="9">
        <v>45926</v>
      </c>
      <c r="D1804" s="4" t="s">
        <v>826</v>
      </c>
      <c r="E1804" s="8"/>
      <c r="F1804" s="3">
        <v>140000</v>
      </c>
      <c r="G1804" s="7">
        <f>IF(Tabla1[[#This Row],[Fecha]]="","",G1803+Tabla1[[#This Row],[ingreso]]-Tabla1[[#This Row],[egreso]])</f>
        <v>1720528.9626999982</v>
      </c>
      <c r="H1804" s="7"/>
      <c r="I1804" s="7" t="s">
        <v>827</v>
      </c>
      <c r="J1804" s="4"/>
    </row>
    <row r="1805" spans="1:10" x14ac:dyDescent="0.2">
      <c r="A1805">
        <f>COUNTIF($I$2:I1805,'[1]Detalle Pilotos'!$G$3)</f>
        <v>5</v>
      </c>
      <c r="B1805">
        <f t="shared" si="36"/>
        <v>1804</v>
      </c>
      <c r="C1805" s="9">
        <v>45926</v>
      </c>
      <c r="D1805" s="4" t="s">
        <v>12</v>
      </c>
      <c r="E1805" s="8"/>
      <c r="F1805" s="3">
        <v>280000</v>
      </c>
      <c r="G1805" s="7">
        <f>IF(Tabla1[[#This Row],[Fecha]]="","",G1804+Tabla1[[#This Row],[ingreso]]-Tabla1[[#This Row],[egreso]])</f>
        <v>2000528.9626999982</v>
      </c>
      <c r="H1805" s="7"/>
      <c r="I1805" s="7" t="s">
        <v>13</v>
      </c>
      <c r="J1805" s="4"/>
    </row>
    <row r="1806" spans="1:10" x14ac:dyDescent="0.2">
      <c r="A1806">
        <f>COUNTIF($I$2:I1806,'[1]Detalle Pilotos'!$G$3)</f>
        <v>5</v>
      </c>
      <c r="B1806">
        <f t="shared" si="36"/>
        <v>1805</v>
      </c>
      <c r="C1806" s="9">
        <v>45926</v>
      </c>
      <c r="D1806" s="4" t="s">
        <v>839</v>
      </c>
      <c r="E1806" s="8">
        <v>1000000</v>
      </c>
      <c r="F1806" s="3"/>
      <c r="G1806" s="7">
        <f>IF(Tabla1[[#This Row],[Fecha]]="","",G1805+Tabla1[[#This Row],[ingreso]]-Tabla1[[#This Row],[egreso]])</f>
        <v>1000528.9626999982</v>
      </c>
      <c r="H1806" s="7"/>
      <c r="I1806" s="7"/>
      <c r="J1806" s="4"/>
    </row>
    <row r="1807" spans="1:10" x14ac:dyDescent="0.2">
      <c r="A1807">
        <f>COUNTIF($I$2:I1807,'[1]Detalle Pilotos'!$G$3)</f>
        <v>5</v>
      </c>
      <c r="B1807">
        <f t="shared" si="36"/>
        <v>1806</v>
      </c>
      <c r="C1807" s="9">
        <v>45929</v>
      </c>
      <c r="D1807" s="4" t="s">
        <v>927</v>
      </c>
      <c r="E1807" s="8">
        <v>148509</v>
      </c>
      <c r="F1807" s="3"/>
      <c r="G1807" s="7">
        <f>IF(Tabla1[[#This Row],[Fecha]]="","",G1806+Tabla1[[#This Row],[ingreso]]-Tabla1[[#This Row],[egreso]])</f>
        <v>852019.96269999817</v>
      </c>
      <c r="H1807" s="7"/>
      <c r="I1807" s="7"/>
      <c r="J1807" s="4"/>
    </row>
    <row r="1808" spans="1:10" x14ac:dyDescent="0.2">
      <c r="A1808">
        <f>COUNTIF($I$2:I1808,'[1]Detalle Pilotos'!$G$3)</f>
        <v>5</v>
      </c>
      <c r="B1808">
        <f t="shared" si="36"/>
        <v>1807</v>
      </c>
      <c r="C1808" s="9">
        <v>45929</v>
      </c>
      <c r="D1808" s="4" t="s">
        <v>915</v>
      </c>
      <c r="E1808" s="8"/>
      <c r="F1808" s="3">
        <v>248500</v>
      </c>
      <c r="G1808" s="7">
        <f>IF(Tabla1[[#This Row],[Fecha]]="","",G1807+Tabla1[[#This Row],[ingreso]]-Tabla1[[#This Row],[egreso]])</f>
        <v>1100519.9626999982</v>
      </c>
      <c r="H1808" s="7"/>
      <c r="I1808" s="7" t="s">
        <v>916</v>
      </c>
      <c r="J1808" s="4"/>
    </row>
    <row r="1809" spans="1:10" x14ac:dyDescent="0.2">
      <c r="A1809">
        <f>COUNTIF($I$2:I1809,'[1]Detalle Pilotos'!$G$3)</f>
        <v>5</v>
      </c>
      <c r="B1809">
        <f t="shared" si="36"/>
        <v>1808</v>
      </c>
      <c r="C1809" s="9">
        <v>45930</v>
      </c>
      <c r="D1809" s="4" t="s">
        <v>910</v>
      </c>
      <c r="E1809" s="8"/>
      <c r="F1809" s="3">
        <v>297500</v>
      </c>
      <c r="G1809" s="7">
        <f>IF(Tabla1[[#This Row],[Fecha]]="","",G1808+Tabla1[[#This Row],[ingreso]]-Tabla1[[#This Row],[egreso]])</f>
        <v>1398019.9626999982</v>
      </c>
      <c r="H1809" s="7"/>
      <c r="I1809" s="7" t="s">
        <v>911</v>
      </c>
      <c r="J1809" s="4"/>
    </row>
    <row r="1810" spans="1:10" x14ac:dyDescent="0.2">
      <c r="A1810">
        <f>COUNTIF($I$2:I1810,'[1]Detalle Pilotos'!$G$3)</f>
        <v>5</v>
      </c>
      <c r="B1810">
        <f t="shared" si="36"/>
        <v>1809</v>
      </c>
      <c r="C1810" s="9">
        <v>45930</v>
      </c>
      <c r="D1810" s="4" t="s">
        <v>928</v>
      </c>
      <c r="E1810" s="8">
        <v>609990</v>
      </c>
      <c r="F1810" s="3"/>
      <c r="G1810" s="7">
        <f>IF(Tabla1[[#This Row],[Fecha]]="","",G1809+Tabla1[[#This Row],[ingreso]]-Tabla1[[#This Row],[egreso]])</f>
        <v>788029.96269999817</v>
      </c>
      <c r="H1810" s="4"/>
      <c r="I1810" s="7"/>
      <c r="J1810" s="4"/>
    </row>
    <row r="1811" spans="1:10" x14ac:dyDescent="0.2">
      <c r="A1811">
        <f>COUNTIF($I$2:I1811,'[1]Detalle Pilotos'!$G$3)</f>
        <v>5</v>
      </c>
      <c r="B1811">
        <f t="shared" si="36"/>
        <v>1810</v>
      </c>
      <c r="C1811" s="9">
        <v>45930</v>
      </c>
      <c r="D1811" s="4" t="s">
        <v>770</v>
      </c>
      <c r="E1811" s="8"/>
      <c r="F1811" s="3">
        <v>237755</v>
      </c>
      <c r="G1811" s="7">
        <f>IF(Tabla1[[#This Row],[Fecha]]="","",G1810+Tabla1[[#This Row],[ingreso]]-Tabla1[[#This Row],[egreso]])</f>
        <v>1025784.9626999982</v>
      </c>
      <c r="H1811" s="4"/>
      <c r="I1811" s="7" t="s">
        <v>771</v>
      </c>
      <c r="J1811" s="4"/>
    </row>
    <row r="1812" spans="1:10" x14ac:dyDescent="0.2">
      <c r="A1812">
        <f>COUNTIF($I$2:I1812,'[1]Detalle Pilotos'!$G$3)</f>
        <v>5</v>
      </c>
      <c r="B1812">
        <f t="shared" si="36"/>
        <v>1811</v>
      </c>
      <c r="C1812" s="9">
        <v>45930</v>
      </c>
      <c r="D1812" s="4" t="s">
        <v>891</v>
      </c>
      <c r="E1812" s="8"/>
      <c r="F1812" s="3">
        <v>316864</v>
      </c>
      <c r="G1812" s="7">
        <f>IF(Tabla1[[#This Row],[Fecha]]="","",G1811+Tabla1[[#This Row],[ingreso]]-Tabla1[[#This Row],[egreso]])</f>
        <v>1342648.9626999982</v>
      </c>
      <c r="H1812" s="4"/>
      <c r="I1812" s="7" t="s">
        <v>892</v>
      </c>
      <c r="J1812" s="4"/>
    </row>
    <row r="1813" spans="1:10" x14ac:dyDescent="0.2">
      <c r="A1813">
        <f>COUNTIF($I$2:I1813,'[1]Detalle Pilotos'!$G$3)</f>
        <v>5</v>
      </c>
      <c r="B1813">
        <f t="shared" si="36"/>
        <v>1812</v>
      </c>
      <c r="C1813" s="9">
        <v>45930</v>
      </c>
      <c r="D1813" s="4" t="s">
        <v>839</v>
      </c>
      <c r="E1813" s="8">
        <v>350000</v>
      </c>
      <c r="F1813" s="3"/>
      <c r="G1813" s="7">
        <f>IF(Tabla1[[#This Row],[Fecha]]="","",G1812+Tabla1[[#This Row],[ingreso]]-Tabla1[[#This Row],[egreso]])</f>
        <v>992648.96269999817</v>
      </c>
      <c r="H1813" s="4"/>
      <c r="I1813" s="7"/>
      <c r="J1813" s="4"/>
    </row>
    <row r="1814" spans="1:10" x14ac:dyDescent="0.2">
      <c r="A1814">
        <f>COUNTIF($I$2:I1814,'[1]Detalle Pilotos'!$G$3)</f>
        <v>5</v>
      </c>
      <c r="B1814">
        <f t="shared" si="36"/>
        <v>1813</v>
      </c>
      <c r="C1814" s="9">
        <v>45930</v>
      </c>
      <c r="D1814" s="4" t="s">
        <v>917</v>
      </c>
      <c r="E1814" s="8"/>
      <c r="F1814" s="3">
        <v>315000</v>
      </c>
      <c r="G1814" s="7">
        <f>IF(Tabla1[[#This Row],[Fecha]]="","",G1813+Tabla1[[#This Row],[ingreso]]-Tabla1[[#This Row],[egreso]])</f>
        <v>1307648.9626999982</v>
      </c>
      <c r="H1814" s="4"/>
      <c r="I1814" s="7" t="s">
        <v>918</v>
      </c>
      <c r="J1814" s="4"/>
    </row>
    <row r="1815" spans="1:10" x14ac:dyDescent="0.2">
      <c r="A1815">
        <f>COUNTIF($I$2:I1815,'[1]Detalle Pilotos'!$G$3)</f>
        <v>5</v>
      </c>
      <c r="B1815">
        <f t="shared" si="36"/>
        <v>1814</v>
      </c>
      <c r="C1815" s="9">
        <v>45931</v>
      </c>
      <c r="D1815" s="4" t="s">
        <v>839</v>
      </c>
      <c r="E1815" s="8">
        <v>300000</v>
      </c>
      <c r="F1815" s="3"/>
      <c r="G1815" s="7">
        <f>IF(Tabla1[[#This Row],[Fecha]]="","",G1814+Tabla1[[#This Row],[ingreso]]-Tabla1[[#This Row],[egreso]])</f>
        <v>1007648.9626999982</v>
      </c>
      <c r="H1815" s="4"/>
      <c r="I1815" s="7"/>
      <c r="J1815" s="4"/>
    </row>
    <row r="1816" spans="1:10" x14ac:dyDescent="0.2">
      <c r="A1816">
        <f>COUNTIF($I$2:I1816,'[1]Detalle Pilotos'!$G$3)</f>
        <v>5</v>
      </c>
      <c r="B1816">
        <f t="shared" si="36"/>
        <v>1815</v>
      </c>
      <c r="C1816" s="9">
        <v>45937</v>
      </c>
      <c r="D1816" s="4" t="s">
        <v>929</v>
      </c>
      <c r="E1816" s="8">
        <v>168980</v>
      </c>
      <c r="F1816" s="3"/>
      <c r="G1816" s="7">
        <f>IF(Tabla1[[#This Row],[Fecha]]="","",G1815+Tabla1[[#This Row],[ingreso]]-Tabla1[[#This Row],[egreso]])</f>
        <v>838668.96269999817</v>
      </c>
      <c r="H1816" s="4"/>
      <c r="I1816" s="7"/>
      <c r="J1816" s="4"/>
    </row>
    <row r="1817" spans="1:10" x14ac:dyDescent="0.2">
      <c r="A1817">
        <f>COUNTIF($I$2:I1817,'[1]Detalle Pilotos'!$G$3)</f>
        <v>5</v>
      </c>
      <c r="B1817">
        <f t="shared" si="36"/>
        <v>1816</v>
      </c>
      <c r="C1817" s="9">
        <v>45937</v>
      </c>
      <c r="D1817" s="4" t="s">
        <v>894</v>
      </c>
      <c r="E1817" s="8"/>
      <c r="F1817" s="3">
        <v>188100</v>
      </c>
      <c r="G1817" s="7">
        <f>IF(Tabla1[[#This Row],[Fecha]]="","",G1816+Tabla1[[#This Row],[ingreso]]-Tabla1[[#This Row],[egreso]])</f>
        <v>1026768.9626999982</v>
      </c>
      <c r="H1817" s="4"/>
      <c r="I1817" s="7" t="s">
        <v>895</v>
      </c>
      <c r="J1817" s="4"/>
    </row>
    <row r="1818" spans="1:10" x14ac:dyDescent="0.2">
      <c r="A1818">
        <f>COUNTIF($I$2:I1818,'[1]Detalle Pilotos'!$G$3)</f>
        <v>5</v>
      </c>
      <c r="B1818">
        <f t="shared" si="36"/>
        <v>1817</v>
      </c>
      <c r="C1818" s="9">
        <v>45938</v>
      </c>
      <c r="D1818" s="4" t="s">
        <v>904</v>
      </c>
      <c r="E1818" s="8">
        <v>25000</v>
      </c>
      <c r="F1818" s="3"/>
      <c r="G1818" s="7">
        <f>IF(Tabla1[[#This Row],[Fecha]]="","",G1817+Tabla1[[#This Row],[ingreso]]-Tabla1[[#This Row],[egreso]])</f>
        <v>1001768.9626999982</v>
      </c>
      <c r="H1818" s="4"/>
      <c r="I1818" s="7"/>
      <c r="J1818" s="4"/>
    </row>
    <row r="1819" spans="1:10" x14ac:dyDescent="0.2">
      <c r="A1819">
        <f>COUNTIF($I$2:I1819,'[1]Detalle Pilotos'!$G$3)</f>
        <v>5</v>
      </c>
      <c r="B1819">
        <f t="shared" si="36"/>
        <v>1818</v>
      </c>
      <c r="C1819" s="9">
        <v>45938</v>
      </c>
      <c r="D1819" s="4" t="s">
        <v>879</v>
      </c>
      <c r="E1819" s="8"/>
      <c r="F1819" s="3">
        <v>500000</v>
      </c>
      <c r="G1819" s="7">
        <f>IF(Tabla1[[#This Row],[Fecha]]="","",G1818+Tabla1[[#This Row],[ingreso]]-Tabla1[[#This Row],[egreso]])</f>
        <v>1501768.9626999982</v>
      </c>
      <c r="H1819" s="4"/>
      <c r="I1819" s="7" t="s">
        <v>880</v>
      </c>
      <c r="J1819" s="4"/>
    </row>
    <row r="1820" spans="1:10" x14ac:dyDescent="0.2">
      <c r="A1820">
        <f>COUNTIF($I$2:I1820,'[1]Detalle Pilotos'!$G$3)</f>
        <v>5</v>
      </c>
      <c r="B1820">
        <f t="shared" si="36"/>
        <v>1819</v>
      </c>
      <c r="C1820" s="9">
        <v>45939</v>
      </c>
      <c r="D1820" s="4" t="s">
        <v>930</v>
      </c>
      <c r="E1820" s="8">
        <v>116076</v>
      </c>
      <c r="F1820" s="3"/>
      <c r="G1820" s="7">
        <f>IF(Tabla1[[#This Row],[Fecha]]="","",G1819+Tabla1[[#This Row],[ingreso]]-Tabla1[[#This Row],[egreso]])</f>
        <v>1385692.9626999982</v>
      </c>
      <c r="H1820" s="4"/>
      <c r="I1820" s="7"/>
      <c r="J1820" s="4"/>
    </row>
    <row r="1821" spans="1:10" x14ac:dyDescent="0.2">
      <c r="A1821">
        <f>COUNTIF($I$2:I1821,'[1]Detalle Pilotos'!$G$3)</f>
        <v>5</v>
      </c>
      <c r="B1821">
        <f t="shared" si="36"/>
        <v>1820</v>
      </c>
      <c r="C1821" s="9">
        <v>45939</v>
      </c>
      <c r="D1821" s="4" t="s">
        <v>839</v>
      </c>
      <c r="E1821" s="8">
        <v>380000</v>
      </c>
      <c r="F1821" s="3"/>
      <c r="G1821" s="7">
        <f>IF(Tabla1[[#This Row],[Fecha]]="","",G1820+Tabla1[[#This Row],[ingreso]]-Tabla1[[#This Row],[egreso]])</f>
        <v>1005692.9626999982</v>
      </c>
      <c r="H1821" s="4"/>
      <c r="I1821" s="7"/>
      <c r="J1821" s="4"/>
    </row>
    <row r="1822" spans="1:10" x14ac:dyDescent="0.2">
      <c r="A1822">
        <f>COUNTIF($I$2:I1822,'[1]Detalle Pilotos'!$G$3)</f>
        <v>5</v>
      </c>
      <c r="B1822">
        <f t="shared" si="36"/>
        <v>1821</v>
      </c>
      <c r="C1822" s="9">
        <v>45943</v>
      </c>
      <c r="D1822" s="4" t="s">
        <v>931</v>
      </c>
      <c r="E1822" s="8"/>
      <c r="F1822" s="3">
        <v>164000</v>
      </c>
      <c r="G1822" s="7">
        <f>IF(Tabla1[[#This Row],[Fecha]]="","",G1821+Tabla1[[#This Row],[ingreso]]-Tabla1[[#This Row],[egreso]])</f>
        <v>1169692.9626999982</v>
      </c>
      <c r="H1822" s="4"/>
      <c r="I1822" s="7" t="s">
        <v>932</v>
      </c>
      <c r="J1822" s="4"/>
    </row>
    <row r="1823" spans="1:10" x14ac:dyDescent="0.2">
      <c r="A1823">
        <f>COUNTIF($I$2:I1823,'[1]Detalle Pilotos'!$G$3)</f>
        <v>5</v>
      </c>
      <c r="B1823">
        <f t="shared" si="36"/>
        <v>1822</v>
      </c>
      <c r="C1823" s="9">
        <v>45950</v>
      </c>
      <c r="D1823" s="4" t="s">
        <v>872</v>
      </c>
      <c r="E1823" s="8"/>
      <c r="F1823" s="3">
        <v>822408</v>
      </c>
      <c r="G1823" s="7">
        <f>IF(Tabla1[[#This Row],[Fecha]]="","",G1822+Tabla1[[#This Row],[ingreso]]-Tabla1[[#This Row],[egreso]])</f>
        <v>1992100.9626999982</v>
      </c>
      <c r="H1823" s="4"/>
      <c r="I1823" s="7" t="s">
        <v>873</v>
      </c>
      <c r="J1823" s="4"/>
    </row>
    <row r="1824" spans="1:10" x14ac:dyDescent="0.2">
      <c r="A1824">
        <f>COUNTIF($I$2:I1824,'[1]Detalle Pilotos'!$G$3)</f>
        <v>5</v>
      </c>
      <c r="B1824">
        <f t="shared" si="36"/>
        <v>1823</v>
      </c>
      <c r="C1824" s="9">
        <v>45950</v>
      </c>
      <c r="D1824" s="4" t="s">
        <v>839</v>
      </c>
      <c r="E1824" s="8">
        <v>1000000</v>
      </c>
      <c r="F1824" s="3"/>
      <c r="G1824" s="7">
        <f>IF(Tabla1[[#This Row],[Fecha]]="","",G1823+Tabla1[[#This Row],[ingreso]]-Tabla1[[#This Row],[egreso]])</f>
        <v>992100.96269999817</v>
      </c>
      <c r="H1824" s="4"/>
      <c r="I1824" s="7"/>
      <c r="J1824" s="4"/>
    </row>
    <row r="1825" spans="1:10" x14ac:dyDescent="0.2">
      <c r="A1825">
        <f>COUNTIF($I$2:I1825,'[1]Detalle Pilotos'!$G$3)</f>
        <v>5</v>
      </c>
      <c r="B1825">
        <f t="shared" si="36"/>
        <v>1824</v>
      </c>
      <c r="C1825" s="9">
        <v>45954</v>
      </c>
      <c r="D1825" s="4" t="s">
        <v>782</v>
      </c>
      <c r="E1825" s="8"/>
      <c r="F1825" s="3">
        <v>1120060</v>
      </c>
      <c r="G1825" s="7">
        <f>IF(Tabla1[[#This Row],[Fecha]]="","",G1824+Tabla1[[#This Row],[ingreso]]-Tabla1[[#This Row],[egreso]])</f>
        <v>2112160.9626999982</v>
      </c>
      <c r="H1825" s="4"/>
      <c r="I1825" s="7" t="s">
        <v>783</v>
      </c>
      <c r="J1825" s="4"/>
    </row>
    <row r="1826" spans="1:10" x14ac:dyDescent="0.2">
      <c r="A1826">
        <f>COUNTIF($I$2:I1826,'[1]Detalle Pilotos'!$G$3)</f>
        <v>5</v>
      </c>
      <c r="B1826">
        <f t="shared" si="36"/>
        <v>1825</v>
      </c>
      <c r="C1826" s="9">
        <v>45954</v>
      </c>
      <c r="D1826" s="4" t="s">
        <v>933</v>
      </c>
      <c r="E1826" s="8">
        <v>109005</v>
      </c>
      <c r="F1826" s="3"/>
      <c r="G1826" s="7">
        <f>IF(Tabla1[[#This Row],[Fecha]]="","",G1825+Tabla1[[#This Row],[ingreso]]-Tabla1[[#This Row],[egreso]])</f>
        <v>2003155.9626999982</v>
      </c>
      <c r="H1826" s="4"/>
      <c r="I1826" s="7"/>
      <c r="J1826" s="4"/>
    </row>
    <row r="1827" spans="1:10" x14ac:dyDescent="0.2">
      <c r="A1827">
        <f>COUNTIF($I$2:I1827,'[1]Detalle Pilotos'!$G$3)</f>
        <v>5</v>
      </c>
      <c r="B1827">
        <f t="shared" si="36"/>
        <v>1826</v>
      </c>
      <c r="C1827" s="9">
        <v>45954</v>
      </c>
      <c r="D1827" s="4" t="s">
        <v>839</v>
      </c>
      <c r="E1827" s="8">
        <v>1000000</v>
      </c>
      <c r="F1827" s="3"/>
      <c r="G1827" s="7">
        <f>IF(Tabla1[[#This Row],[Fecha]]="","",G1826+Tabla1[[#This Row],[ingreso]]-Tabla1[[#This Row],[egreso]])</f>
        <v>1003155.9626999982</v>
      </c>
      <c r="H1827" s="4"/>
      <c r="I1827" s="7"/>
      <c r="J1827" s="4"/>
    </row>
    <row r="1828" spans="1:10" x14ac:dyDescent="0.2">
      <c r="A1828">
        <f>COUNTIF($I$2:I1828,'[1]Detalle Pilotos'!$G$3)</f>
        <v>5</v>
      </c>
      <c r="B1828">
        <f t="shared" si="36"/>
        <v>1827</v>
      </c>
      <c r="C1828" s="9">
        <v>45957</v>
      </c>
      <c r="D1828" s="4" t="s">
        <v>934</v>
      </c>
      <c r="E1828" s="8">
        <v>73346</v>
      </c>
      <c r="F1828" s="3"/>
      <c r="G1828" s="7">
        <f>IF(Tabla1[[#This Row],[Fecha]]="","",G1827+Tabla1[[#This Row],[ingreso]]-Tabla1[[#This Row],[egreso]])</f>
        <v>929809.96269999817</v>
      </c>
      <c r="H1828" s="4"/>
      <c r="I1828" s="7"/>
      <c r="J1828" s="4"/>
    </row>
    <row r="1829" spans="1:10" x14ac:dyDescent="0.2">
      <c r="A1829">
        <f>COUNTIF($I$2:I1829,'[1]Detalle Pilotos'!$G$3)</f>
        <v>5</v>
      </c>
      <c r="B1829">
        <f t="shared" si="36"/>
        <v>1828</v>
      </c>
      <c r="C1829" s="9">
        <v>45957</v>
      </c>
      <c r="D1829" s="4" t="s">
        <v>935</v>
      </c>
      <c r="E1829" s="8">
        <v>17576</v>
      </c>
      <c r="F1829" s="3"/>
      <c r="G1829" s="7">
        <f>IF(Tabla1[[#This Row],[Fecha]]="","",G1828+Tabla1[[#This Row],[ingreso]]-Tabla1[[#This Row],[egreso]])</f>
        <v>912233.96269999817</v>
      </c>
      <c r="H1829" s="4"/>
      <c r="I1829" s="7"/>
      <c r="J1829" s="4"/>
    </row>
    <row r="1830" spans="1:10" x14ac:dyDescent="0.2">
      <c r="A1830">
        <f>COUNTIF($I$2:I1830,'[1]Detalle Pilotos'!$G$3)</f>
        <v>5</v>
      </c>
      <c r="B1830">
        <f t="shared" si="36"/>
        <v>1829</v>
      </c>
      <c r="C1830" s="9">
        <v>45960</v>
      </c>
      <c r="D1830" s="4" t="s">
        <v>936</v>
      </c>
      <c r="E1830" s="8"/>
      <c r="F1830" s="3">
        <v>389500</v>
      </c>
      <c r="G1830" s="7">
        <f>IF(Tabla1[[#This Row],[Fecha]]="","",G1829+Tabla1[[#This Row],[ingreso]]-Tabla1[[#This Row],[egreso]])</f>
        <v>1301733.9626999982</v>
      </c>
      <c r="H1830" s="4"/>
      <c r="I1830" s="7" t="s">
        <v>864</v>
      </c>
      <c r="J1830" s="4"/>
    </row>
    <row r="1831" spans="1:10" x14ac:dyDescent="0.2">
      <c r="A1831">
        <f>COUNTIF($I$2:I1831,'[1]Detalle Pilotos'!$G$3)</f>
        <v>5</v>
      </c>
      <c r="B1831">
        <f t="shared" si="36"/>
        <v>1830</v>
      </c>
      <c r="C1831" s="9">
        <v>45960</v>
      </c>
      <c r="D1831" s="4" t="s">
        <v>839</v>
      </c>
      <c r="E1831" s="8">
        <v>400000</v>
      </c>
      <c r="F1831" s="3"/>
      <c r="G1831" s="7">
        <f>IF(Tabla1[[#This Row],[Fecha]]="","",G1830+Tabla1[[#This Row],[ingreso]]-Tabla1[[#This Row],[egreso]])</f>
        <v>901733.96269999817</v>
      </c>
      <c r="H1831" s="4"/>
      <c r="I1831" s="7"/>
      <c r="J1831" s="4"/>
    </row>
    <row r="1832" spans="1:10" x14ac:dyDescent="0.2">
      <c r="A1832">
        <f>COUNTIF($I$2:I1832,'[1]Detalle Pilotos'!$G$3)</f>
        <v>5</v>
      </c>
      <c r="B1832">
        <f t="shared" si="36"/>
        <v>1831</v>
      </c>
      <c r="C1832" s="9">
        <v>45960</v>
      </c>
      <c r="D1832" s="4" t="s">
        <v>765</v>
      </c>
      <c r="E1832" s="8"/>
      <c r="F1832" s="3">
        <v>136500</v>
      </c>
      <c r="G1832" s="7">
        <f>IF(Tabla1[[#This Row],[Fecha]]="","",G1831+Tabla1[[#This Row],[ingreso]]-Tabla1[[#This Row],[egreso]])</f>
        <v>1038233.9626999982</v>
      </c>
      <c r="H1832" s="4"/>
      <c r="I1832" s="7" t="s">
        <v>766</v>
      </c>
      <c r="J1832" s="4"/>
    </row>
    <row r="1833" spans="1:10" x14ac:dyDescent="0.2">
      <c r="A1833">
        <f>COUNTIF($I$2:I1833,'[1]Detalle Pilotos'!$G$3)</f>
        <v>5</v>
      </c>
      <c r="B1833">
        <f t="shared" si="36"/>
        <v>1832</v>
      </c>
      <c r="C1833" s="9">
        <v>45960</v>
      </c>
      <c r="D1833" s="4" t="s">
        <v>839</v>
      </c>
      <c r="E1833" s="8">
        <v>300000</v>
      </c>
      <c r="F1833" s="3"/>
      <c r="G1833" s="7">
        <f>IF(Tabla1[[#This Row],[Fecha]]="","",G1832+Tabla1[[#This Row],[ingreso]]-Tabla1[[#This Row],[egreso]])</f>
        <v>738233.96269999817</v>
      </c>
      <c r="H1833" s="4"/>
      <c r="I1833" s="7"/>
      <c r="J1833" s="4"/>
    </row>
    <row r="1834" spans="1:10" x14ac:dyDescent="0.2">
      <c r="A1834">
        <f>COUNTIF($I$2:I1834,'[1]Detalle Pilotos'!$G$3)</f>
        <v>5</v>
      </c>
      <c r="B1834">
        <f t="shared" si="36"/>
        <v>1833</v>
      </c>
      <c r="C1834" s="9">
        <v>45960</v>
      </c>
      <c r="D1834" s="4" t="s">
        <v>937</v>
      </c>
      <c r="E1834" s="8">
        <v>275070</v>
      </c>
      <c r="F1834" s="3"/>
      <c r="G1834" s="7">
        <f>IF(Tabla1[[#This Row],[Fecha]]="","",G1833+Tabla1[[#This Row],[ingreso]]-Tabla1[[#This Row],[egreso]])</f>
        <v>463163.96269999817</v>
      </c>
      <c r="H1834" s="4"/>
      <c r="I1834" s="7"/>
      <c r="J1834" s="4"/>
    </row>
    <row r="1835" spans="1:10" x14ac:dyDescent="0.2">
      <c r="A1835">
        <f>COUNTIF($I$2:I1835,'[1]Detalle Pilotos'!$G$3)</f>
        <v>5</v>
      </c>
      <c r="B1835">
        <f t="shared" si="36"/>
        <v>1834</v>
      </c>
      <c r="C1835" s="9">
        <v>45964</v>
      </c>
      <c r="D1835" s="4" t="s">
        <v>826</v>
      </c>
      <c r="E1835" s="8"/>
      <c r="F1835" s="3">
        <v>122500</v>
      </c>
      <c r="G1835" s="7">
        <f>IF(Tabla1[[#This Row],[Fecha]]="","",G1834+Tabla1[[#This Row],[ingreso]]-Tabla1[[#This Row],[egreso]])</f>
        <v>585663.96269999817</v>
      </c>
      <c r="H1835" s="4"/>
      <c r="I1835" s="7" t="s">
        <v>827</v>
      </c>
      <c r="J1835" s="4"/>
    </row>
    <row r="1836" spans="1:10" x14ac:dyDescent="0.2">
      <c r="A1836">
        <f>COUNTIF($I$2:I1836,'[1]Detalle Pilotos'!$G$3)</f>
        <v>5</v>
      </c>
      <c r="B1836">
        <f t="shared" si="36"/>
        <v>1835</v>
      </c>
      <c r="C1836" s="9">
        <v>45966</v>
      </c>
      <c r="D1836" s="4" t="s">
        <v>770</v>
      </c>
      <c r="E1836" s="8"/>
      <c r="F1836" s="3">
        <v>475000</v>
      </c>
      <c r="G1836" s="7">
        <f>IF(Tabla1[[#This Row],[Fecha]]="","",G1835+Tabla1[[#This Row],[ingreso]]-Tabla1[[#This Row],[egreso]])</f>
        <v>1060663.9626999982</v>
      </c>
      <c r="H1836" s="4"/>
      <c r="I1836" s="7" t="s">
        <v>771</v>
      </c>
      <c r="J1836" s="4"/>
    </row>
    <row r="1837" spans="1:10" x14ac:dyDescent="0.2">
      <c r="A1837">
        <f>COUNTIF($I$2:I1837,'[1]Detalle Pilotos'!$G$3)</f>
        <v>5</v>
      </c>
      <c r="B1837">
        <f t="shared" si="36"/>
        <v>1836</v>
      </c>
      <c r="C1837" s="9">
        <v>45966</v>
      </c>
      <c r="D1837" s="4" t="s">
        <v>839</v>
      </c>
      <c r="E1837" s="8">
        <v>500000</v>
      </c>
      <c r="F1837" s="3"/>
      <c r="G1837" s="7">
        <f>IF(Tabla1[[#This Row],[Fecha]]="","",G1836+Tabla1[[#This Row],[ingreso]]-Tabla1[[#This Row],[egreso]])</f>
        <v>560663.96269999817</v>
      </c>
      <c r="H1837" s="4"/>
      <c r="I1837" s="7"/>
      <c r="J1837" s="4"/>
    </row>
    <row r="1838" spans="1:10" x14ac:dyDescent="0.2">
      <c r="A1838">
        <f>COUNTIF($I$2:I1838,'[1]Detalle Pilotos'!$G$3)</f>
        <v>5</v>
      </c>
      <c r="B1838">
        <f t="shared" si="36"/>
        <v>1837</v>
      </c>
      <c r="C1838" s="9">
        <v>45968</v>
      </c>
      <c r="D1838" s="4" t="s">
        <v>938</v>
      </c>
      <c r="E1838" s="8">
        <v>78000</v>
      </c>
      <c r="F1838" s="3"/>
      <c r="G1838" s="7">
        <f>IF(Tabla1[[#This Row],[Fecha]]="","",G1837+Tabla1[[#This Row],[ingreso]]-Tabla1[[#This Row],[egreso]])</f>
        <v>482663.96269999817</v>
      </c>
      <c r="H1838" s="4"/>
      <c r="I1838" s="7"/>
      <c r="J1838" s="4"/>
    </row>
    <row r="1839" spans="1:10" x14ac:dyDescent="0.2">
      <c r="A1839">
        <f>COUNTIF($I$2:I1839,'[1]Detalle Pilotos'!$G$3)</f>
        <v>5</v>
      </c>
      <c r="B1839">
        <f t="shared" si="36"/>
        <v>1838</v>
      </c>
      <c r="C1839" s="9">
        <v>45971</v>
      </c>
      <c r="D1839" s="4" t="s">
        <v>724</v>
      </c>
      <c r="E1839" s="8"/>
      <c r="F1839" s="3">
        <v>148000</v>
      </c>
      <c r="G1839" s="7">
        <f>IF(Tabla1[[#This Row],[Fecha]]="","",G1838+Tabla1[[#This Row],[ingreso]]-Tabla1[[#This Row],[egreso]])</f>
        <v>630663.96269999817</v>
      </c>
      <c r="H1839" s="4"/>
      <c r="I1839" s="7"/>
      <c r="J1839" s="4"/>
    </row>
    <row r="1840" spans="1:10" x14ac:dyDescent="0.2">
      <c r="A1840">
        <f>COUNTIF($I$2:I1840,'[1]Detalle Pilotos'!$G$3)</f>
        <v>5</v>
      </c>
      <c r="B1840">
        <f t="shared" si="36"/>
        <v>1839</v>
      </c>
      <c r="C1840" s="9">
        <v>45973</v>
      </c>
      <c r="D1840" s="4" t="s">
        <v>879</v>
      </c>
      <c r="E1840" s="8"/>
      <c r="F1840" s="3">
        <v>146000</v>
      </c>
      <c r="G1840" s="7">
        <f>IF(Tabla1[[#This Row],[Fecha]]="","",G1839+Tabla1[[#This Row],[ingreso]]-Tabla1[[#This Row],[egreso]])</f>
        <v>776663.96269999817</v>
      </c>
      <c r="H1840" s="4"/>
      <c r="I1840" s="7" t="s">
        <v>880</v>
      </c>
      <c r="J1840" s="4"/>
    </row>
    <row r="1841" spans="1:10" x14ac:dyDescent="0.2">
      <c r="A1841">
        <f>COUNTIF($I$2:I1841,'[1]Detalle Pilotos'!$G$3)</f>
        <v>5</v>
      </c>
      <c r="B1841">
        <f t="shared" si="36"/>
        <v>1840</v>
      </c>
      <c r="C1841" s="9">
        <v>45978</v>
      </c>
      <c r="D1841" s="4" t="s">
        <v>939</v>
      </c>
      <c r="E1841" s="8">
        <v>163930</v>
      </c>
      <c r="F1841" s="3"/>
      <c r="G1841" s="7">
        <f>IF(Tabla1[[#This Row],[Fecha]]="","",G1840+Tabla1[[#This Row],[ingreso]]-Tabla1[[#This Row],[egreso]])</f>
        <v>612733.96269999817</v>
      </c>
      <c r="H1841" s="4"/>
      <c r="I1841" s="7"/>
      <c r="J1841" s="4"/>
    </row>
    <row r="1842" spans="1:10" x14ac:dyDescent="0.2">
      <c r="A1842">
        <f>COUNTIF($I$2:I1842,'[1]Detalle Pilotos'!$G$3)</f>
        <v>5</v>
      </c>
      <c r="B1842">
        <f t="shared" si="36"/>
        <v>1841</v>
      </c>
      <c r="C1842" s="9">
        <v>45982</v>
      </c>
      <c r="D1842" s="4" t="s">
        <v>882</v>
      </c>
      <c r="E1842" s="8"/>
      <c r="F1842" s="3">
        <v>650103</v>
      </c>
      <c r="G1842" s="7">
        <f>IF(Tabla1[[#This Row],[Fecha]]="","",G1841+Tabla1[[#This Row],[ingreso]]-Tabla1[[#This Row],[egreso]])</f>
        <v>1262836.9626999982</v>
      </c>
      <c r="H1842" s="4"/>
      <c r="I1842" s="7" t="s">
        <v>883</v>
      </c>
      <c r="J1842" s="4"/>
    </row>
    <row r="1843" spans="1:10" x14ac:dyDescent="0.2">
      <c r="A1843">
        <f>COUNTIF($I$2:I1843,'[1]Detalle Pilotos'!$G$3)</f>
        <v>5</v>
      </c>
      <c r="B1843">
        <f t="shared" si="36"/>
        <v>1842</v>
      </c>
      <c r="C1843" s="9">
        <v>45982</v>
      </c>
      <c r="D1843" s="4" t="s">
        <v>839</v>
      </c>
      <c r="E1843" s="8">
        <v>700000</v>
      </c>
      <c r="F1843" s="3"/>
      <c r="G1843" s="7">
        <f>IF(Tabla1[[#This Row],[Fecha]]="","",G1842+Tabla1[[#This Row],[ingreso]]-Tabla1[[#This Row],[egreso]])</f>
        <v>562836.96269999817</v>
      </c>
      <c r="H1843" s="4"/>
      <c r="I1843" s="7"/>
      <c r="J1843" s="4"/>
    </row>
    <row r="1844" spans="1:10" x14ac:dyDescent="0.2">
      <c r="A1844">
        <f>COUNTIF($I$2:I1844,'[1]Detalle Pilotos'!$G$3)</f>
        <v>5</v>
      </c>
      <c r="B1844">
        <f t="shared" si="36"/>
        <v>1843</v>
      </c>
      <c r="C1844" s="9">
        <v>45982</v>
      </c>
      <c r="D1844" s="4" t="s">
        <v>178</v>
      </c>
      <c r="E1844" s="8"/>
      <c r="F1844" s="3">
        <v>320000</v>
      </c>
      <c r="G1844" s="7">
        <f>IF(Tabla1[[#This Row],[Fecha]]="","",G1843+Tabla1[[#This Row],[ingreso]]-Tabla1[[#This Row],[egreso]])</f>
        <v>882836.96269999817</v>
      </c>
      <c r="H1844" s="4"/>
      <c r="I1844" s="7" t="s">
        <v>179</v>
      </c>
      <c r="J1844" s="4"/>
    </row>
    <row r="1845" spans="1:10" x14ac:dyDescent="0.2">
      <c r="A1845">
        <f>COUNTIF($I$2:I1845,'[1]Detalle Pilotos'!$G$3)</f>
        <v>5</v>
      </c>
      <c r="B1845">
        <f t="shared" si="36"/>
        <v>1844</v>
      </c>
      <c r="C1845" s="9">
        <v>45985</v>
      </c>
      <c r="D1845" s="4" t="s">
        <v>940</v>
      </c>
      <c r="E1845" s="8">
        <v>131820</v>
      </c>
      <c r="F1845" s="3"/>
      <c r="G1845" s="7">
        <f>IF(Tabla1[[#This Row],[Fecha]]="","",G1844+Tabla1[[#This Row],[ingreso]]-Tabla1[[#This Row],[egreso]])</f>
        <v>751016.96269999817</v>
      </c>
      <c r="H1845" s="4"/>
      <c r="I1845" s="7"/>
      <c r="J1845" s="4"/>
    </row>
    <row r="1846" spans="1:10" x14ac:dyDescent="0.2">
      <c r="A1846">
        <f>COUNTIF($I$2:I1846,'[1]Detalle Pilotos'!$G$3)</f>
        <v>5</v>
      </c>
      <c r="B1846">
        <f t="shared" si="36"/>
        <v>1845</v>
      </c>
      <c r="C1846" s="9">
        <v>45985</v>
      </c>
      <c r="D1846" s="4" t="s">
        <v>258</v>
      </c>
      <c r="E1846" s="8"/>
      <c r="F1846" s="3">
        <v>332500</v>
      </c>
      <c r="G1846" s="7">
        <f>IF(Tabla1[[#This Row],[Fecha]]="","",G1845+Tabla1[[#This Row],[ingreso]]-Tabla1[[#This Row],[egreso]])</f>
        <v>1083516.9626999982</v>
      </c>
      <c r="H1846" s="4"/>
      <c r="I1846" s="7" t="s">
        <v>259</v>
      </c>
      <c r="J1846" s="4"/>
    </row>
    <row r="1847" spans="1:10" x14ac:dyDescent="0.2">
      <c r="A1847">
        <f>COUNTIF($I$2:I1847,'[1]Detalle Pilotos'!$G$3)</f>
        <v>5</v>
      </c>
      <c r="B1847">
        <f t="shared" si="36"/>
        <v>1846</v>
      </c>
      <c r="C1847" s="9">
        <v>45985</v>
      </c>
      <c r="D1847" s="4" t="s">
        <v>782</v>
      </c>
      <c r="E1847" s="8"/>
      <c r="F1847" s="3">
        <v>406210</v>
      </c>
      <c r="G1847" s="7">
        <f>IF(Tabla1[[#This Row],[Fecha]]="","",G1846+Tabla1[[#This Row],[ingreso]]-Tabla1[[#This Row],[egreso]])</f>
        <v>1489726.9626999982</v>
      </c>
      <c r="H1847" s="4"/>
      <c r="I1847" s="7" t="s">
        <v>783</v>
      </c>
      <c r="J1847" s="4"/>
    </row>
    <row r="1848" spans="1:10" x14ac:dyDescent="0.2">
      <c r="A1848">
        <f>COUNTIF($I$2:I1848,'[1]Detalle Pilotos'!$G$3)</f>
        <v>5</v>
      </c>
      <c r="B1848">
        <f t="shared" si="36"/>
        <v>1847</v>
      </c>
      <c r="C1848" s="9">
        <v>45985</v>
      </c>
      <c r="D1848" s="4" t="s">
        <v>839</v>
      </c>
      <c r="E1848" s="8">
        <v>900000</v>
      </c>
      <c r="F1848" s="3"/>
      <c r="G1848" s="7">
        <f>IF(Tabla1[[#This Row],[Fecha]]="","",G1847+Tabla1[[#This Row],[ingreso]]-Tabla1[[#This Row],[egreso]])</f>
        <v>589726.96269999817</v>
      </c>
      <c r="H1848" s="4"/>
      <c r="I1848" s="7"/>
      <c r="J1848" s="4"/>
    </row>
    <row r="1849" spans="1:10" x14ac:dyDescent="0.2">
      <c r="A1849">
        <f>COUNTIF($I$2:I1849,'[1]Detalle Pilotos'!$G$3)</f>
        <v>5</v>
      </c>
      <c r="B1849">
        <f t="shared" si="36"/>
        <v>1848</v>
      </c>
      <c r="C1849" s="9">
        <v>45989</v>
      </c>
      <c r="D1849" s="4" t="s">
        <v>941</v>
      </c>
      <c r="E1849" s="8"/>
      <c r="F1849" s="3">
        <v>129000</v>
      </c>
      <c r="G1849" s="7">
        <f>IF(Tabla1[[#This Row],[Fecha]]="","",G1848+Tabla1[[#This Row],[ingreso]]-Tabla1[[#This Row],[egreso]])</f>
        <v>718726.96269999817</v>
      </c>
      <c r="H1849" s="4"/>
      <c r="I1849" s="7" t="s">
        <v>942</v>
      </c>
      <c r="J1849" s="4"/>
    </row>
    <row r="1850" spans="1:10" x14ac:dyDescent="0.2">
      <c r="A1850">
        <f>COUNTIF($I$2:I1850,'[1]Detalle Pilotos'!$G$3)</f>
        <v>5</v>
      </c>
      <c r="B1850">
        <f t="shared" si="36"/>
        <v>1849</v>
      </c>
      <c r="C1850" s="9">
        <v>45992</v>
      </c>
      <c r="D1850" s="4" t="s">
        <v>943</v>
      </c>
      <c r="E1850" s="8">
        <v>118638</v>
      </c>
      <c r="F1850" s="3"/>
      <c r="G1850" s="7">
        <f>IF(Tabla1[[#This Row],[Fecha]]="","",G1849+Tabla1[[#This Row],[ingreso]]-Tabla1[[#This Row],[egreso]])</f>
        <v>600088.96269999817</v>
      </c>
      <c r="H1850" s="4"/>
      <c r="I1850" s="7"/>
      <c r="J1850" s="4"/>
    </row>
    <row r="1851" spans="1:10" x14ac:dyDescent="0.2">
      <c r="A1851">
        <f>COUNTIF($I$2:I1851,'[1]Detalle Pilotos'!$G$3)</f>
        <v>5</v>
      </c>
      <c r="B1851">
        <f t="shared" si="36"/>
        <v>1850</v>
      </c>
      <c r="C1851" s="9">
        <v>45992</v>
      </c>
      <c r="D1851" s="4" t="s">
        <v>944</v>
      </c>
      <c r="E1851" s="8">
        <v>58474</v>
      </c>
      <c r="F1851" s="3"/>
      <c r="G1851" s="7">
        <f>IF(Tabla1[[#This Row],[Fecha]]="","",G1850+Tabla1[[#This Row],[ingreso]]-Tabla1[[#This Row],[egreso]])</f>
        <v>541614.96269999817</v>
      </c>
      <c r="H1851" s="4"/>
      <c r="I1851" s="7"/>
      <c r="J1851" s="4"/>
    </row>
    <row r="1852" spans="1:10" x14ac:dyDescent="0.2">
      <c r="A1852">
        <f>COUNTIF($I$2:I1852,'[1]Detalle Pilotos'!$G$3)</f>
        <v>5</v>
      </c>
      <c r="B1852">
        <f t="shared" si="36"/>
        <v>1851</v>
      </c>
      <c r="C1852" s="9">
        <v>45992</v>
      </c>
      <c r="D1852" s="4" t="s">
        <v>826</v>
      </c>
      <c r="E1852" s="8"/>
      <c r="F1852" s="3">
        <v>34527</v>
      </c>
      <c r="G1852" s="7">
        <f>IF(Tabla1[[#This Row],[Fecha]]="","",G1851+Tabla1[[#This Row],[ingreso]]-Tabla1[[#This Row],[egreso]])</f>
        <v>576141.96269999817</v>
      </c>
      <c r="H1852" s="4"/>
      <c r="I1852" s="7" t="s">
        <v>827</v>
      </c>
      <c r="J1852" s="4"/>
    </row>
    <row r="1853" spans="1:10" x14ac:dyDescent="0.2">
      <c r="A1853">
        <f>COUNTIF($I$2:I1867,'[1]Detalle Pilotos'!$G$3)</f>
        <v>5</v>
      </c>
      <c r="B1853">
        <f t="shared" si="36"/>
        <v>1852</v>
      </c>
      <c r="C1853" s="9">
        <v>45992</v>
      </c>
      <c r="D1853" s="4" t="s">
        <v>765</v>
      </c>
      <c r="E1853" s="8"/>
      <c r="F1853" s="3">
        <v>97500</v>
      </c>
      <c r="G1853" s="7">
        <f>IF(Tabla1[[#This Row],[Fecha]]="","",G1852+Tabla1[[#This Row],[ingreso]]-Tabla1[[#This Row],[egreso]])</f>
        <v>673641.96269999817</v>
      </c>
      <c r="H1853" s="4"/>
      <c r="I1853" s="7" t="s">
        <v>766</v>
      </c>
      <c r="J1853" s="4"/>
    </row>
    <row r="1854" spans="1:10" x14ac:dyDescent="0.2">
      <c r="A1854">
        <f>COUNTIF($I$2:I1854,'[1]Detalle Pilotos'!$G$3)</f>
        <v>5</v>
      </c>
      <c r="B1854">
        <f t="shared" si="36"/>
        <v>1853</v>
      </c>
      <c r="C1854" s="9">
        <v>45992</v>
      </c>
      <c r="D1854" s="4" t="s">
        <v>945</v>
      </c>
      <c r="E1854" s="8"/>
      <c r="F1854" s="3">
        <v>300000</v>
      </c>
      <c r="G1854" s="7">
        <f>IF(Tabla1[[#This Row],[Fecha]]="","",G1853+Tabla1[[#This Row],[ingreso]]-Tabla1[[#This Row],[egreso]])</f>
        <v>973641.96269999817</v>
      </c>
      <c r="H1854" s="4"/>
      <c r="I1854" s="7" t="s">
        <v>946</v>
      </c>
      <c r="J1854" s="4"/>
    </row>
    <row r="1855" spans="1:10" x14ac:dyDescent="0.2">
      <c r="A1855">
        <f>COUNTIF($I$2:I1855,'[1]Detalle Pilotos'!$G$3)</f>
        <v>5</v>
      </c>
      <c r="B1855">
        <f t="shared" si="36"/>
        <v>1854</v>
      </c>
      <c r="C1855" s="9">
        <v>45992</v>
      </c>
      <c r="D1855" s="4" t="s">
        <v>839</v>
      </c>
      <c r="E1855" s="8">
        <v>500000</v>
      </c>
      <c r="F1855" s="3"/>
      <c r="G1855" s="7">
        <f>IF(Tabla1[[#This Row],[Fecha]]="","",G1854+Tabla1[[#This Row],[ingreso]]-Tabla1[[#This Row],[egreso]])</f>
        <v>473641.96269999817</v>
      </c>
      <c r="H1855" s="4"/>
      <c r="I1855" s="7"/>
      <c r="J1855" s="4"/>
    </row>
    <row r="1856" spans="1:10" x14ac:dyDescent="0.2">
      <c r="A1856">
        <f>COUNTIF($I$2:I1856,'[1]Detalle Pilotos'!$G$3)</f>
        <v>5</v>
      </c>
      <c r="B1856">
        <f t="shared" si="36"/>
        <v>1855</v>
      </c>
      <c r="C1856" s="9">
        <v>45995</v>
      </c>
      <c r="D1856" s="4" t="s">
        <v>884</v>
      </c>
      <c r="E1856" s="8"/>
      <c r="F1856" s="3">
        <v>717500</v>
      </c>
      <c r="G1856" s="7">
        <f>IF(Tabla1[[#This Row],[Fecha]]="","",G1855+Tabla1[[#This Row],[ingreso]]-Tabla1[[#This Row],[egreso]])</f>
        <v>1191141.9626999982</v>
      </c>
      <c r="H1856" s="4"/>
      <c r="I1856" s="7" t="s">
        <v>885</v>
      </c>
      <c r="J1856" s="4"/>
    </row>
    <row r="1857" spans="1:10" x14ac:dyDescent="0.2">
      <c r="A1857">
        <f>COUNTIF($I$2:I1857,'[1]Detalle Pilotos'!$G$3)</f>
        <v>5</v>
      </c>
      <c r="B1857">
        <f t="shared" si="36"/>
        <v>1856</v>
      </c>
      <c r="C1857" s="9">
        <v>45995</v>
      </c>
      <c r="D1857" s="4" t="s">
        <v>872</v>
      </c>
      <c r="E1857" s="8"/>
      <c r="F1857" s="3">
        <v>332500</v>
      </c>
      <c r="G1857" s="7">
        <f>IF(Tabla1[[#This Row],[Fecha]]="","",G1856+Tabla1[[#This Row],[ingreso]]-Tabla1[[#This Row],[egreso]])</f>
        <v>1523641.9626999982</v>
      </c>
      <c r="H1857" s="4"/>
      <c r="I1857" s="7" t="s">
        <v>873</v>
      </c>
      <c r="J1857" s="4"/>
    </row>
    <row r="1858" spans="1:10" x14ac:dyDescent="0.2">
      <c r="A1858">
        <f>COUNTIF($I$2:I1858,'[1]Detalle Pilotos'!$G$3)</f>
        <v>5</v>
      </c>
      <c r="B1858" t="str">
        <f t="shared" si="36"/>
        <v/>
      </c>
      <c r="C1858" s="9"/>
      <c r="D1858" s="4"/>
      <c r="E1858" s="8"/>
      <c r="F1858" s="3"/>
      <c r="G1858" s="7"/>
      <c r="H1858" s="4"/>
      <c r="I1858" s="7"/>
      <c r="J1858" s="4"/>
    </row>
    <row r="1859" spans="1:10" x14ac:dyDescent="0.2">
      <c r="A1859">
        <f>COUNTIF($I$2:I1859,'[1]Detalle Pilotos'!$G$3)</f>
        <v>5</v>
      </c>
      <c r="B1859" t="str">
        <f t="shared" si="36"/>
        <v/>
      </c>
      <c r="C1859" s="9"/>
      <c r="D1859" s="4"/>
      <c r="E1859" s="8"/>
      <c r="F1859" s="3"/>
      <c r="G1859" s="7"/>
      <c r="H1859" s="4"/>
      <c r="I1859" s="7"/>
      <c r="J1859" s="4"/>
    </row>
    <row r="1860" spans="1:10" x14ac:dyDescent="0.2">
      <c r="A1860">
        <f>COUNTIF($I$2:I1860,'[1]Detalle Pilotos'!$G$3)</f>
        <v>5</v>
      </c>
      <c r="B1860" t="str">
        <f t="shared" ref="B1860:B1923" si="37">IF(C1860="","",1+B1859)</f>
        <v/>
      </c>
      <c r="C1860" s="9"/>
      <c r="D1860" s="4"/>
      <c r="E1860" s="8"/>
      <c r="F1860" s="3"/>
      <c r="G1860" s="7"/>
      <c r="H1860" s="4"/>
      <c r="I1860" s="7"/>
      <c r="J1860" s="4"/>
    </row>
    <row r="1861" spans="1:10" x14ac:dyDescent="0.2">
      <c r="A1861">
        <f>COUNTIF($I$2:I1861,'[1]Detalle Pilotos'!$G$3)</f>
        <v>5</v>
      </c>
      <c r="B1861" t="str">
        <f t="shared" si="37"/>
        <v/>
      </c>
      <c r="C1861" s="9"/>
      <c r="D1861" s="4"/>
      <c r="E1861" s="8"/>
      <c r="F1861" s="3"/>
      <c r="G1861" s="7"/>
      <c r="H1861" s="4"/>
      <c r="I1861" s="7"/>
      <c r="J1861" s="4"/>
    </row>
    <row r="1862" spans="1:10" x14ac:dyDescent="0.2">
      <c r="A1862">
        <f>COUNTIF($I$2:I1867,'[1]Detalle Pilotos'!$G$3)</f>
        <v>5</v>
      </c>
      <c r="B1862" t="str">
        <f t="shared" si="37"/>
        <v/>
      </c>
      <c r="C1862" s="9"/>
      <c r="D1862" s="4"/>
      <c r="E1862" s="8"/>
      <c r="F1862" s="3"/>
      <c r="G1862" s="7"/>
      <c r="H1862" s="4"/>
      <c r="I1862" s="7"/>
      <c r="J1862" s="4"/>
    </row>
    <row r="1863" spans="1:10" x14ac:dyDescent="0.2">
      <c r="A1863">
        <f>COUNTIF($I$2:I1863,'[1]Detalle Pilotos'!$G$3)</f>
        <v>5</v>
      </c>
      <c r="B1863" t="str">
        <f t="shared" si="37"/>
        <v/>
      </c>
      <c r="C1863" s="9"/>
      <c r="D1863" s="4"/>
      <c r="E1863" s="8"/>
      <c r="F1863" s="3"/>
      <c r="G1863" s="7"/>
      <c r="H1863" s="4"/>
      <c r="I1863" s="7"/>
      <c r="J1863" s="4"/>
    </row>
    <row r="1864" spans="1:10" x14ac:dyDescent="0.2">
      <c r="A1864">
        <f>COUNTIF($I$2:I1864,'[1]Detalle Pilotos'!$G$3)</f>
        <v>5</v>
      </c>
      <c r="B1864" t="str">
        <f t="shared" si="37"/>
        <v/>
      </c>
      <c r="C1864" s="9"/>
      <c r="D1864" s="4"/>
      <c r="E1864" s="8"/>
      <c r="F1864" s="3"/>
      <c r="G1864" s="7"/>
      <c r="H1864" s="4"/>
      <c r="I1864" s="7"/>
      <c r="J1864" s="4"/>
    </row>
    <row r="1865" spans="1:10" x14ac:dyDescent="0.2">
      <c r="A1865">
        <f>COUNTIF($I$2:I1865,'[1]Detalle Pilotos'!$G$3)</f>
        <v>5</v>
      </c>
      <c r="B1865" t="str">
        <f t="shared" si="37"/>
        <v/>
      </c>
      <c r="C1865" s="9"/>
      <c r="D1865" s="4"/>
      <c r="E1865" s="8"/>
      <c r="F1865" s="3"/>
      <c r="G1865" s="7"/>
      <c r="H1865" s="4"/>
      <c r="I1865" s="7"/>
      <c r="J1865" s="4"/>
    </row>
    <row r="1866" spans="1:10" x14ac:dyDescent="0.2">
      <c r="A1866">
        <f>COUNTIF($I$2:I1866,'[1]Detalle Pilotos'!$G$3)</f>
        <v>5</v>
      </c>
      <c r="B1866" t="str">
        <f t="shared" si="37"/>
        <v/>
      </c>
      <c r="C1866" s="9"/>
      <c r="D1866" s="4"/>
      <c r="E1866" s="8"/>
      <c r="F1866" s="3"/>
      <c r="G1866" s="7"/>
      <c r="H1866" s="4"/>
      <c r="I1866" s="7"/>
      <c r="J1866" s="4"/>
    </row>
    <row r="1867" spans="1:10" x14ac:dyDescent="0.2">
      <c r="A1867">
        <f>COUNTIF($I$2:I1867,'[1]Detalle Pilotos'!$G$3)</f>
        <v>5</v>
      </c>
      <c r="B1867" t="str">
        <f t="shared" si="37"/>
        <v/>
      </c>
      <c r="C1867" s="9"/>
      <c r="D1867" s="4"/>
      <c r="E1867" s="8"/>
      <c r="F1867" s="3"/>
      <c r="G1867" s="7"/>
      <c r="H1867" s="4"/>
      <c r="I1867" s="7"/>
      <c r="J1867" s="4"/>
    </row>
    <row r="1868" spans="1:10" x14ac:dyDescent="0.2">
      <c r="A1868">
        <f>COUNTIF($I$2:I1868,'[1]Detalle Pilotos'!$G$3)</f>
        <v>5</v>
      </c>
      <c r="B1868" t="str">
        <f t="shared" si="37"/>
        <v/>
      </c>
      <c r="C1868" s="105"/>
      <c r="D1868" s="4"/>
      <c r="E1868" s="39"/>
      <c r="F1868" s="106"/>
      <c r="G1868" s="7"/>
      <c r="I1868" s="4"/>
    </row>
    <row r="1869" spans="1:10" x14ac:dyDescent="0.2">
      <c r="A1869">
        <f>COUNTIF($I$2:I1869,'[1]Detalle Pilotos'!$G$3)</f>
        <v>5</v>
      </c>
      <c r="B1869" t="str">
        <f t="shared" si="37"/>
        <v/>
      </c>
      <c r="C1869" s="105"/>
      <c r="D1869" s="4"/>
      <c r="E1869" s="39"/>
      <c r="F1869" s="106"/>
      <c r="G1869" s="7"/>
      <c r="I1869" s="4"/>
    </row>
    <row r="1870" spans="1:10" x14ac:dyDescent="0.2">
      <c r="A1870">
        <f>COUNTIF($I$2:I1870,'[1]Detalle Pilotos'!$G$3)</f>
        <v>5</v>
      </c>
      <c r="B1870" t="str">
        <f t="shared" si="37"/>
        <v/>
      </c>
      <c r="C1870" s="105"/>
      <c r="D1870" s="4"/>
      <c r="E1870" s="39"/>
      <c r="F1870" s="106"/>
      <c r="G1870" s="7"/>
      <c r="I1870" s="4"/>
    </row>
    <row r="1871" spans="1:10" x14ac:dyDescent="0.2">
      <c r="A1871">
        <f>COUNTIF($I$2:I1871,'[1]Detalle Pilotos'!$G$3)</f>
        <v>5</v>
      </c>
      <c r="B1871" t="str">
        <f t="shared" si="37"/>
        <v/>
      </c>
      <c r="C1871" s="105"/>
      <c r="D1871" s="4"/>
      <c r="E1871" s="39"/>
      <c r="F1871" s="106"/>
      <c r="G1871" s="7"/>
      <c r="I1871" s="4"/>
    </row>
    <row r="1872" spans="1:10" x14ac:dyDescent="0.2">
      <c r="A1872">
        <f>COUNTIF($I$2:I1872,'[1]Detalle Pilotos'!$G$3)</f>
        <v>5</v>
      </c>
      <c r="B1872" t="str">
        <f t="shared" si="37"/>
        <v/>
      </c>
      <c r="C1872" s="105"/>
      <c r="D1872" s="4"/>
      <c r="E1872" s="39"/>
      <c r="F1872" s="106"/>
      <c r="G1872" s="7"/>
      <c r="I1872" s="4"/>
    </row>
    <row r="1873" spans="1:9" x14ac:dyDescent="0.2">
      <c r="A1873">
        <f>COUNTIF($I$2:I1873,'[1]Detalle Pilotos'!$G$3)</f>
        <v>5</v>
      </c>
      <c r="B1873" t="str">
        <f t="shared" si="37"/>
        <v/>
      </c>
      <c r="C1873" s="105"/>
      <c r="D1873" s="4"/>
      <c r="E1873" s="39"/>
      <c r="F1873" s="106"/>
      <c r="G1873" s="7"/>
      <c r="I1873" s="4"/>
    </row>
    <row r="1874" spans="1:9" x14ac:dyDescent="0.2">
      <c r="A1874">
        <f>COUNTIF($I$2:I1874,'[1]Detalle Pilotos'!$G$3)</f>
        <v>5</v>
      </c>
      <c r="B1874" t="str">
        <f t="shared" si="37"/>
        <v/>
      </c>
      <c r="C1874" s="105"/>
      <c r="D1874" s="4"/>
      <c r="E1874" s="39"/>
      <c r="F1874" s="106"/>
      <c r="G1874" s="7"/>
      <c r="I1874" s="4"/>
    </row>
    <row r="1875" spans="1:9" x14ac:dyDescent="0.2">
      <c r="A1875">
        <f>COUNTIF($I$2:I1875,'[1]Detalle Pilotos'!$G$3)</f>
        <v>5</v>
      </c>
      <c r="B1875" t="str">
        <f t="shared" si="37"/>
        <v/>
      </c>
      <c r="C1875" s="105"/>
      <c r="D1875" s="4"/>
      <c r="E1875" s="39"/>
      <c r="F1875" s="106"/>
      <c r="G1875" s="7"/>
      <c r="I1875" s="4"/>
    </row>
    <row r="1876" spans="1:9" x14ac:dyDescent="0.2">
      <c r="A1876">
        <f>COUNTIF($I$2:I1876,'[1]Detalle Pilotos'!$G$3)</f>
        <v>5</v>
      </c>
      <c r="B1876" t="str">
        <f t="shared" si="37"/>
        <v/>
      </c>
      <c r="C1876" s="105"/>
      <c r="D1876" s="4"/>
      <c r="E1876" s="39"/>
      <c r="F1876" s="106"/>
      <c r="G1876" s="7"/>
      <c r="I1876" s="4"/>
    </row>
    <row r="1877" spans="1:9" x14ac:dyDescent="0.2">
      <c r="A1877">
        <f>COUNTIF($I$2:I1877,'[1]Detalle Pilotos'!$G$3)</f>
        <v>5</v>
      </c>
      <c r="B1877" t="str">
        <f t="shared" si="37"/>
        <v/>
      </c>
      <c r="C1877" s="105"/>
      <c r="D1877" s="4"/>
      <c r="E1877" s="39"/>
      <c r="F1877" s="106"/>
      <c r="G1877" s="7"/>
      <c r="I1877" s="4"/>
    </row>
    <row r="1878" spans="1:9" x14ac:dyDescent="0.2">
      <c r="A1878">
        <f>COUNTIF($I$2:I1878,'[1]Detalle Pilotos'!$G$3)</f>
        <v>5</v>
      </c>
      <c r="B1878" t="str">
        <f t="shared" si="37"/>
        <v/>
      </c>
      <c r="C1878" s="105"/>
      <c r="D1878" s="4"/>
      <c r="E1878" s="39"/>
      <c r="F1878" s="106"/>
      <c r="G1878" s="7"/>
      <c r="I1878" s="4"/>
    </row>
    <row r="1879" spans="1:9" x14ac:dyDescent="0.2">
      <c r="A1879">
        <f>COUNTIF($I$2:I1879,'[1]Detalle Pilotos'!$G$3)</f>
        <v>5</v>
      </c>
      <c r="B1879" t="str">
        <f t="shared" si="37"/>
        <v/>
      </c>
      <c r="C1879" s="105"/>
      <c r="D1879" s="4"/>
      <c r="E1879" s="39"/>
      <c r="F1879" s="106"/>
      <c r="G1879" s="7"/>
      <c r="I1879" s="4"/>
    </row>
    <row r="1880" spans="1:9" x14ac:dyDescent="0.2">
      <c r="A1880">
        <f>COUNTIF($I$2:I1880,'[1]Detalle Pilotos'!$G$3)</f>
        <v>5</v>
      </c>
      <c r="B1880" t="str">
        <f t="shared" si="37"/>
        <v/>
      </c>
      <c r="C1880" s="105"/>
      <c r="D1880" s="4"/>
      <c r="E1880" s="39"/>
      <c r="F1880" s="106"/>
      <c r="G1880" s="7"/>
      <c r="I1880" s="4"/>
    </row>
    <row r="1881" spans="1:9" x14ac:dyDescent="0.2">
      <c r="A1881">
        <f>COUNTIF($I$2:I1881,'[1]Detalle Pilotos'!$G$3)</f>
        <v>5</v>
      </c>
      <c r="B1881" t="str">
        <f t="shared" si="37"/>
        <v/>
      </c>
      <c r="C1881" s="105"/>
      <c r="D1881" s="4"/>
      <c r="E1881" s="39"/>
      <c r="F1881" s="106"/>
      <c r="G1881" s="7"/>
      <c r="I1881" s="4"/>
    </row>
    <row r="1882" spans="1:9" x14ac:dyDescent="0.2">
      <c r="A1882">
        <f>COUNTIF($I$2:I1882,'[1]Detalle Pilotos'!$G$3)</f>
        <v>5</v>
      </c>
      <c r="B1882" t="str">
        <f t="shared" si="37"/>
        <v/>
      </c>
      <c r="C1882" s="105"/>
      <c r="D1882" s="4"/>
      <c r="E1882" s="39"/>
      <c r="F1882" s="106"/>
      <c r="G1882" s="7"/>
      <c r="I1882" s="4"/>
    </row>
    <row r="1883" spans="1:9" x14ac:dyDescent="0.2">
      <c r="A1883">
        <f>COUNTIF($I$2:I1883,'[1]Detalle Pilotos'!$G$3)</f>
        <v>5</v>
      </c>
      <c r="B1883" t="str">
        <f t="shared" si="37"/>
        <v/>
      </c>
      <c r="C1883" s="105"/>
      <c r="D1883" s="4"/>
      <c r="E1883" s="39"/>
      <c r="F1883" s="106"/>
      <c r="G1883" s="7"/>
      <c r="I1883" s="4"/>
    </row>
    <row r="1884" spans="1:9" x14ac:dyDescent="0.2">
      <c r="A1884">
        <f>COUNTIF($I$2:I1884,'[1]Detalle Pilotos'!$G$3)</f>
        <v>5</v>
      </c>
      <c r="B1884" t="str">
        <f t="shared" si="37"/>
        <v/>
      </c>
      <c r="C1884" s="105"/>
      <c r="D1884" s="4"/>
      <c r="E1884" s="39"/>
      <c r="F1884" s="106"/>
      <c r="G1884" s="7"/>
      <c r="I1884" s="4"/>
    </row>
    <row r="1885" spans="1:9" x14ac:dyDescent="0.2">
      <c r="A1885">
        <f>COUNTIF($I$2:I1885,'[1]Detalle Pilotos'!$G$3)</f>
        <v>5</v>
      </c>
      <c r="B1885" t="str">
        <f t="shared" si="37"/>
        <v/>
      </c>
      <c r="C1885" s="105"/>
      <c r="D1885" s="4"/>
      <c r="E1885" s="39"/>
      <c r="F1885" s="106"/>
      <c r="G1885" s="7"/>
      <c r="I1885" s="4"/>
    </row>
    <row r="1886" spans="1:9" x14ac:dyDescent="0.2">
      <c r="A1886">
        <f>COUNTIF($I$2:I1886,'[1]Detalle Pilotos'!$G$3)</f>
        <v>5</v>
      </c>
      <c r="B1886" t="str">
        <f t="shared" si="37"/>
        <v/>
      </c>
      <c r="C1886" s="105"/>
      <c r="D1886" s="4"/>
      <c r="E1886" s="39"/>
      <c r="F1886" s="106"/>
      <c r="G1886" s="7"/>
      <c r="I1886" s="4"/>
    </row>
    <row r="1887" spans="1:9" x14ac:dyDescent="0.2">
      <c r="A1887">
        <f>COUNTIF($I$2:I1887,'[1]Detalle Pilotos'!$G$3)</f>
        <v>5</v>
      </c>
      <c r="B1887" t="str">
        <f t="shared" si="37"/>
        <v/>
      </c>
      <c r="C1887" s="105"/>
      <c r="D1887" s="4"/>
      <c r="E1887" s="39"/>
      <c r="F1887" s="106"/>
      <c r="G1887" s="7"/>
      <c r="I1887" s="4"/>
    </row>
    <row r="1888" spans="1:9" x14ac:dyDescent="0.2">
      <c r="A1888">
        <f>COUNTIF($I$2:I1888,'[1]Detalle Pilotos'!$G$3)</f>
        <v>5</v>
      </c>
      <c r="B1888" t="str">
        <f t="shared" si="37"/>
        <v/>
      </c>
      <c r="C1888" s="105"/>
      <c r="D1888" s="4"/>
      <c r="E1888" s="39"/>
      <c r="F1888" s="106"/>
      <c r="G1888" s="7"/>
      <c r="I1888" s="4"/>
    </row>
    <row r="1889" spans="1:9" x14ac:dyDescent="0.2">
      <c r="A1889">
        <f>COUNTIF($I$2:I1889,'[1]Detalle Pilotos'!$G$3)</f>
        <v>5</v>
      </c>
      <c r="B1889" t="str">
        <f t="shared" si="37"/>
        <v/>
      </c>
      <c r="C1889" s="105"/>
      <c r="D1889" s="4"/>
      <c r="E1889" s="39"/>
      <c r="F1889" s="106"/>
      <c r="G1889" s="7"/>
      <c r="I1889" s="4"/>
    </row>
    <row r="1890" spans="1:9" x14ac:dyDescent="0.2">
      <c r="A1890">
        <f>COUNTIF($I$2:I1890,'[1]Detalle Pilotos'!$G$3)</f>
        <v>5</v>
      </c>
      <c r="B1890" t="str">
        <f t="shared" si="37"/>
        <v/>
      </c>
      <c r="C1890" s="105"/>
      <c r="D1890" s="4"/>
      <c r="E1890" s="39"/>
      <c r="F1890" s="106"/>
      <c r="G1890" s="7"/>
      <c r="I1890" s="4"/>
    </row>
    <row r="1891" spans="1:9" x14ac:dyDescent="0.2">
      <c r="A1891">
        <f>COUNTIF($I$2:I1891,'[1]Detalle Pilotos'!$G$3)</f>
        <v>5</v>
      </c>
      <c r="B1891" t="str">
        <f t="shared" si="37"/>
        <v/>
      </c>
      <c r="C1891" s="105"/>
      <c r="D1891" s="4"/>
      <c r="E1891" s="39"/>
      <c r="F1891" s="106"/>
      <c r="G1891" s="7"/>
      <c r="I1891" s="4"/>
    </row>
    <row r="1892" spans="1:9" x14ac:dyDescent="0.2">
      <c r="A1892">
        <f>COUNTIF($I$2:I1892,'[1]Detalle Pilotos'!$G$3)</f>
        <v>5</v>
      </c>
      <c r="B1892" t="str">
        <f t="shared" si="37"/>
        <v/>
      </c>
      <c r="C1892" s="105"/>
      <c r="D1892" s="4"/>
      <c r="E1892" s="39"/>
      <c r="F1892" s="106"/>
      <c r="G1892" s="7"/>
      <c r="I1892" s="4"/>
    </row>
    <row r="1893" spans="1:9" x14ac:dyDescent="0.2">
      <c r="A1893">
        <f>COUNTIF($I$2:I1893,'[1]Detalle Pilotos'!$G$3)</f>
        <v>5</v>
      </c>
      <c r="B1893" t="str">
        <f t="shared" si="37"/>
        <v/>
      </c>
      <c r="C1893" s="105"/>
      <c r="D1893" s="4"/>
      <c r="E1893" s="39"/>
      <c r="F1893" s="106"/>
      <c r="G1893" s="7"/>
      <c r="I1893" s="4"/>
    </row>
    <row r="1894" spans="1:9" x14ac:dyDescent="0.2">
      <c r="A1894">
        <f>COUNTIF($I$2:I1894,'[1]Detalle Pilotos'!$G$3)</f>
        <v>5</v>
      </c>
      <c r="B1894" t="str">
        <f t="shared" si="37"/>
        <v/>
      </c>
      <c r="C1894" s="105"/>
      <c r="D1894" s="4"/>
      <c r="E1894" s="39"/>
      <c r="F1894" s="106"/>
      <c r="G1894" s="7"/>
      <c r="I1894" s="4"/>
    </row>
    <row r="1895" spans="1:9" x14ac:dyDescent="0.2">
      <c r="A1895">
        <f>COUNTIF($I$2:I1895,'[1]Detalle Pilotos'!$G$3)</f>
        <v>5</v>
      </c>
      <c r="B1895" t="str">
        <f t="shared" si="37"/>
        <v/>
      </c>
      <c r="C1895" s="105"/>
      <c r="D1895" s="4"/>
      <c r="E1895" s="39"/>
      <c r="F1895" s="106"/>
      <c r="G1895" s="7"/>
      <c r="I1895" s="4"/>
    </row>
    <row r="1896" spans="1:9" x14ac:dyDescent="0.2">
      <c r="A1896">
        <f>COUNTIF($I$2:I1896,'[1]Detalle Pilotos'!$G$3)</f>
        <v>5</v>
      </c>
      <c r="B1896" t="str">
        <f t="shared" si="37"/>
        <v/>
      </c>
      <c r="C1896" s="105"/>
      <c r="D1896" s="4"/>
      <c r="E1896" s="39"/>
      <c r="F1896" s="106"/>
      <c r="G1896" s="7"/>
      <c r="I1896" s="4"/>
    </row>
    <row r="1897" spans="1:9" x14ac:dyDescent="0.2">
      <c r="A1897">
        <f>COUNTIF($I$2:I1897,'[1]Detalle Pilotos'!$G$3)</f>
        <v>5</v>
      </c>
      <c r="B1897" t="str">
        <f t="shared" si="37"/>
        <v/>
      </c>
      <c r="C1897" s="105"/>
      <c r="D1897" s="4"/>
      <c r="E1897" s="39"/>
      <c r="F1897" s="106"/>
      <c r="G1897" s="7"/>
      <c r="I1897" s="4"/>
    </row>
    <row r="1898" spans="1:9" x14ac:dyDescent="0.2">
      <c r="A1898">
        <f>COUNTIF($I$2:I1898,'[1]Detalle Pilotos'!$G$3)</f>
        <v>5</v>
      </c>
      <c r="B1898" t="str">
        <f t="shared" si="37"/>
        <v/>
      </c>
      <c r="C1898" s="105"/>
      <c r="D1898" s="4"/>
      <c r="E1898" s="39"/>
      <c r="F1898" s="106"/>
      <c r="G1898" s="7"/>
      <c r="I1898" s="4"/>
    </row>
    <row r="1899" spans="1:9" x14ac:dyDescent="0.2">
      <c r="A1899">
        <f>COUNTIF($I$2:I1899,'[1]Detalle Pilotos'!$G$3)</f>
        <v>5</v>
      </c>
      <c r="B1899" t="str">
        <f t="shared" si="37"/>
        <v/>
      </c>
      <c r="C1899" s="105"/>
      <c r="D1899" s="4"/>
      <c r="E1899" s="39"/>
      <c r="F1899" s="106"/>
      <c r="G1899" s="7"/>
      <c r="I1899" s="4"/>
    </row>
    <row r="1900" spans="1:9" x14ac:dyDescent="0.2">
      <c r="A1900">
        <f>COUNTIF($I$2:I1900,'[1]Detalle Pilotos'!$G$3)</f>
        <v>5</v>
      </c>
      <c r="B1900" t="str">
        <f t="shared" si="37"/>
        <v/>
      </c>
      <c r="C1900" s="105"/>
      <c r="D1900" s="4"/>
      <c r="E1900" s="39"/>
      <c r="F1900" s="106"/>
      <c r="G1900" s="7"/>
      <c r="I1900" s="4"/>
    </row>
    <row r="1901" spans="1:9" x14ac:dyDescent="0.2">
      <c r="A1901">
        <f>COUNTIF($I$2:I1901,'[1]Detalle Pilotos'!$G$3)</f>
        <v>5</v>
      </c>
      <c r="B1901" t="str">
        <f t="shared" si="37"/>
        <v/>
      </c>
      <c r="C1901" s="105"/>
      <c r="D1901" s="4"/>
      <c r="E1901" s="39"/>
      <c r="F1901" s="106"/>
      <c r="G1901" s="7"/>
      <c r="I1901" s="4"/>
    </row>
    <row r="1902" spans="1:9" x14ac:dyDescent="0.2">
      <c r="A1902">
        <f>COUNTIF($I$2:I1902,'[1]Detalle Pilotos'!$G$3)</f>
        <v>5</v>
      </c>
      <c r="B1902" t="str">
        <f t="shared" si="37"/>
        <v/>
      </c>
      <c r="C1902" s="105"/>
      <c r="D1902" s="4"/>
      <c r="E1902" s="39"/>
      <c r="F1902" s="106"/>
      <c r="G1902" s="7"/>
      <c r="I1902" s="4"/>
    </row>
    <row r="1903" spans="1:9" x14ac:dyDescent="0.2">
      <c r="A1903">
        <f>COUNTIF($I$2:I1903,'[1]Detalle Pilotos'!$G$3)</f>
        <v>5</v>
      </c>
      <c r="B1903" t="str">
        <f t="shared" si="37"/>
        <v/>
      </c>
      <c r="C1903" s="105"/>
      <c r="D1903" s="4"/>
      <c r="E1903" s="39"/>
      <c r="F1903" s="106"/>
      <c r="G1903" s="7"/>
      <c r="I1903" s="4"/>
    </row>
    <row r="1904" spans="1:9" x14ac:dyDescent="0.2">
      <c r="A1904">
        <f>COUNTIF($I$2:I1904,'[1]Detalle Pilotos'!$G$3)</f>
        <v>5</v>
      </c>
      <c r="B1904" t="str">
        <f t="shared" si="37"/>
        <v/>
      </c>
      <c r="C1904" s="105"/>
      <c r="D1904" s="4"/>
      <c r="E1904" s="39"/>
      <c r="F1904" s="106"/>
      <c r="G1904" s="7"/>
      <c r="I1904" s="4"/>
    </row>
    <row r="1905" spans="1:9" x14ac:dyDescent="0.2">
      <c r="A1905">
        <f>COUNTIF($I$2:I1905,'[1]Detalle Pilotos'!$G$3)</f>
        <v>5</v>
      </c>
      <c r="B1905" t="str">
        <f t="shared" si="37"/>
        <v/>
      </c>
      <c r="C1905" s="105"/>
      <c r="D1905" s="4"/>
      <c r="E1905" s="39"/>
      <c r="F1905" s="106"/>
      <c r="G1905" s="7"/>
      <c r="I1905" s="4"/>
    </row>
    <row r="1906" spans="1:9" x14ac:dyDescent="0.2">
      <c r="A1906">
        <f>COUNTIF($I$2:I1906,'[1]Detalle Pilotos'!$G$3)</f>
        <v>5</v>
      </c>
      <c r="B1906" t="str">
        <f t="shared" si="37"/>
        <v/>
      </c>
      <c r="C1906" s="105"/>
      <c r="D1906" s="4"/>
      <c r="E1906" s="39"/>
      <c r="F1906" s="106"/>
      <c r="G1906" s="7"/>
      <c r="I1906" s="4"/>
    </row>
    <row r="1907" spans="1:9" x14ac:dyDescent="0.2">
      <c r="A1907">
        <f>COUNTIF($I$2:I1907,'[1]Detalle Pilotos'!$G$3)</f>
        <v>5</v>
      </c>
      <c r="B1907" t="str">
        <f t="shared" si="37"/>
        <v/>
      </c>
      <c r="C1907" s="105"/>
      <c r="D1907" s="4"/>
      <c r="E1907" s="39"/>
      <c r="F1907" s="106"/>
      <c r="G1907" s="7"/>
      <c r="I1907" s="4"/>
    </row>
    <row r="1908" spans="1:9" x14ac:dyDescent="0.2">
      <c r="A1908">
        <f>COUNTIF($I$2:I1908,'[1]Detalle Pilotos'!$G$3)</f>
        <v>5</v>
      </c>
      <c r="B1908" t="str">
        <f t="shared" si="37"/>
        <v/>
      </c>
      <c r="C1908" s="105"/>
      <c r="D1908" s="4"/>
      <c r="E1908" s="39"/>
      <c r="F1908" s="106"/>
      <c r="G1908" s="7"/>
      <c r="I1908" s="4"/>
    </row>
    <row r="1909" spans="1:9" x14ac:dyDescent="0.2">
      <c r="A1909">
        <f>COUNTIF($I$2:I1909,'[1]Detalle Pilotos'!$G$3)</f>
        <v>5</v>
      </c>
      <c r="B1909" t="str">
        <f t="shared" si="37"/>
        <v/>
      </c>
      <c r="C1909" s="105"/>
      <c r="D1909" s="4"/>
      <c r="E1909" s="39"/>
      <c r="F1909" s="106"/>
      <c r="G1909" s="7"/>
      <c r="I1909" s="4"/>
    </row>
    <row r="1910" spans="1:9" x14ac:dyDescent="0.2">
      <c r="A1910">
        <f>COUNTIF($I$2:I1910,'[1]Detalle Pilotos'!$G$3)</f>
        <v>5</v>
      </c>
      <c r="B1910" t="str">
        <f t="shared" si="37"/>
        <v/>
      </c>
      <c r="C1910" s="105"/>
      <c r="D1910" s="4"/>
      <c r="E1910" s="39"/>
      <c r="F1910" s="106"/>
      <c r="G1910" s="7"/>
      <c r="I1910" s="4"/>
    </row>
    <row r="1911" spans="1:9" x14ac:dyDescent="0.2">
      <c r="A1911">
        <f>COUNTIF($I$2:I1911,'[1]Detalle Pilotos'!$G$3)</f>
        <v>5</v>
      </c>
      <c r="B1911" t="str">
        <f t="shared" si="37"/>
        <v/>
      </c>
      <c r="C1911" s="105"/>
      <c r="D1911" s="4"/>
      <c r="E1911" s="39"/>
      <c r="F1911" s="106"/>
      <c r="G1911" s="7"/>
      <c r="I1911" s="4"/>
    </row>
    <row r="1912" spans="1:9" x14ac:dyDescent="0.2">
      <c r="A1912">
        <f>COUNTIF($I$2:I1912,'[1]Detalle Pilotos'!$G$3)</f>
        <v>5</v>
      </c>
      <c r="B1912" t="str">
        <f t="shared" si="37"/>
        <v/>
      </c>
      <c r="C1912" s="105"/>
      <c r="D1912" s="4"/>
      <c r="E1912" s="39"/>
      <c r="F1912" s="106"/>
      <c r="G1912" s="7"/>
      <c r="I1912" s="4"/>
    </row>
    <row r="1913" spans="1:9" x14ac:dyDescent="0.2">
      <c r="A1913">
        <f>COUNTIF($I$2:I1913,'[1]Detalle Pilotos'!$G$3)</f>
        <v>5</v>
      </c>
      <c r="B1913" t="str">
        <f t="shared" si="37"/>
        <v/>
      </c>
      <c r="C1913" s="105"/>
      <c r="D1913" s="4"/>
      <c r="E1913" s="39"/>
      <c r="F1913" s="106"/>
      <c r="G1913" s="7"/>
      <c r="I1913" s="4"/>
    </row>
    <row r="1914" spans="1:9" x14ac:dyDescent="0.2">
      <c r="A1914">
        <f>COUNTIF($I$2:I1914,'[1]Detalle Pilotos'!$G$3)</f>
        <v>5</v>
      </c>
      <c r="B1914" t="str">
        <f t="shared" si="37"/>
        <v/>
      </c>
      <c r="C1914" s="105"/>
      <c r="D1914" s="4"/>
      <c r="E1914" s="39"/>
      <c r="F1914" s="106"/>
      <c r="G1914" s="7"/>
      <c r="I1914" s="4"/>
    </row>
    <row r="1915" spans="1:9" x14ac:dyDescent="0.2">
      <c r="A1915">
        <f>COUNTIF($I$2:I1915,'[1]Detalle Pilotos'!$G$3)</f>
        <v>5</v>
      </c>
      <c r="B1915" t="str">
        <f t="shared" si="37"/>
        <v/>
      </c>
      <c r="C1915" s="105"/>
      <c r="D1915" s="4"/>
      <c r="E1915" s="39"/>
      <c r="F1915" s="106"/>
      <c r="G1915" s="7"/>
      <c r="I1915" s="4"/>
    </row>
    <row r="1916" spans="1:9" x14ac:dyDescent="0.2">
      <c r="A1916">
        <f>COUNTIF($I$2:I1916,'[1]Detalle Pilotos'!$G$3)</f>
        <v>5</v>
      </c>
      <c r="B1916" t="str">
        <f t="shared" si="37"/>
        <v/>
      </c>
      <c r="C1916" s="105"/>
      <c r="D1916" s="4"/>
      <c r="E1916" s="39"/>
      <c r="F1916" s="106"/>
      <c r="G1916" s="7"/>
      <c r="I1916" s="4"/>
    </row>
    <row r="1917" spans="1:9" x14ac:dyDescent="0.2">
      <c r="A1917">
        <f>COUNTIF($I$2:I1917,'[1]Detalle Pilotos'!$G$3)</f>
        <v>5</v>
      </c>
      <c r="B1917" t="str">
        <f t="shared" si="37"/>
        <v/>
      </c>
      <c r="C1917" s="105"/>
      <c r="D1917" s="4"/>
      <c r="E1917" s="39"/>
      <c r="F1917" s="106"/>
      <c r="G1917" s="7"/>
      <c r="I1917" s="4"/>
    </row>
    <row r="1918" spans="1:9" x14ac:dyDescent="0.2">
      <c r="A1918">
        <f>COUNTIF($I$2:I1918,'[1]Detalle Pilotos'!$G$3)</f>
        <v>5</v>
      </c>
      <c r="B1918" t="str">
        <f t="shared" si="37"/>
        <v/>
      </c>
      <c r="C1918" s="105"/>
      <c r="D1918" s="4"/>
      <c r="E1918" s="39"/>
      <c r="F1918" s="106"/>
      <c r="G1918" s="7"/>
      <c r="I1918" s="4"/>
    </row>
    <row r="1919" spans="1:9" x14ac:dyDescent="0.2">
      <c r="A1919">
        <f>COUNTIF($I$2:I1919,'[1]Detalle Pilotos'!$G$3)</f>
        <v>5</v>
      </c>
      <c r="B1919" t="str">
        <f t="shared" si="37"/>
        <v/>
      </c>
      <c r="C1919" s="105"/>
      <c r="D1919" s="4"/>
      <c r="E1919" s="39"/>
      <c r="F1919" s="106"/>
      <c r="G1919" s="7"/>
      <c r="I1919" s="4"/>
    </row>
    <row r="1920" spans="1:9" x14ac:dyDescent="0.2">
      <c r="A1920">
        <f>COUNTIF($I$2:I1920,'[1]Detalle Pilotos'!$G$3)</f>
        <v>5</v>
      </c>
      <c r="B1920" t="str">
        <f t="shared" si="37"/>
        <v/>
      </c>
      <c r="C1920" s="105"/>
      <c r="D1920" s="4"/>
      <c r="E1920" s="39"/>
      <c r="F1920" s="106"/>
      <c r="G1920" s="7"/>
      <c r="I1920" s="4"/>
    </row>
    <row r="1921" spans="1:9" x14ac:dyDescent="0.2">
      <c r="A1921">
        <f>COUNTIF($I$2:I1921,'[1]Detalle Pilotos'!$G$3)</f>
        <v>5</v>
      </c>
      <c r="B1921" t="str">
        <f t="shared" si="37"/>
        <v/>
      </c>
      <c r="C1921" s="105"/>
      <c r="D1921" s="4"/>
      <c r="E1921" s="39"/>
      <c r="F1921" s="106"/>
      <c r="G1921" s="7"/>
      <c r="I1921" s="4"/>
    </row>
    <row r="1922" spans="1:9" x14ac:dyDescent="0.2">
      <c r="A1922">
        <f>COUNTIF($I$2:I1922,'[1]Detalle Pilotos'!$G$3)</f>
        <v>5</v>
      </c>
      <c r="B1922" t="str">
        <f t="shared" si="37"/>
        <v/>
      </c>
      <c r="C1922" s="105"/>
      <c r="D1922" s="4"/>
      <c r="E1922" s="39"/>
      <c r="F1922" s="106"/>
      <c r="G1922" s="7"/>
      <c r="I1922" s="4"/>
    </row>
    <row r="1923" spans="1:9" x14ac:dyDescent="0.2">
      <c r="A1923">
        <f>COUNTIF($I$2:I1923,'[1]Detalle Pilotos'!$G$3)</f>
        <v>5</v>
      </c>
      <c r="B1923" t="str">
        <f t="shared" si="37"/>
        <v/>
      </c>
      <c r="C1923" s="105"/>
      <c r="D1923" s="4"/>
      <c r="E1923" s="39"/>
      <c r="F1923" s="106"/>
      <c r="G1923" s="7"/>
      <c r="I1923" s="4"/>
    </row>
    <row r="1924" spans="1:9" x14ac:dyDescent="0.2">
      <c r="A1924">
        <f>COUNTIF($I$2:I1924,'[1]Detalle Pilotos'!$G$3)</f>
        <v>5</v>
      </c>
      <c r="B1924" t="str">
        <f t="shared" ref="B1924:B1987" si="38">IF(C1924="","",1+B1923)</f>
        <v/>
      </c>
      <c r="C1924" s="105"/>
      <c r="D1924" s="4"/>
      <c r="E1924" s="39"/>
      <c r="F1924" s="106"/>
      <c r="G1924" s="7"/>
      <c r="I1924" s="4"/>
    </row>
    <row r="1925" spans="1:9" x14ac:dyDescent="0.2">
      <c r="A1925">
        <f>COUNTIF($I$2:I1925,'[1]Detalle Pilotos'!$G$3)</f>
        <v>5</v>
      </c>
      <c r="B1925" t="str">
        <f t="shared" si="38"/>
        <v/>
      </c>
      <c r="C1925" s="105"/>
      <c r="D1925" s="4"/>
      <c r="E1925" s="39"/>
      <c r="F1925" s="106"/>
      <c r="G1925" s="7"/>
      <c r="I1925" s="4"/>
    </row>
    <row r="1926" spans="1:9" x14ac:dyDescent="0.2">
      <c r="A1926">
        <f>COUNTIF($I$2:I1926,'[1]Detalle Pilotos'!$G$3)</f>
        <v>5</v>
      </c>
      <c r="B1926" t="str">
        <f t="shared" si="38"/>
        <v/>
      </c>
      <c r="C1926" s="105"/>
      <c r="D1926" s="4"/>
      <c r="E1926" s="39"/>
      <c r="F1926" s="106"/>
      <c r="G1926" s="7"/>
      <c r="I1926" s="4"/>
    </row>
    <row r="1927" spans="1:9" x14ac:dyDescent="0.2">
      <c r="A1927">
        <f>COUNTIF($I$2:I1927,'[1]Detalle Pilotos'!$G$3)</f>
        <v>5</v>
      </c>
      <c r="B1927" t="str">
        <f t="shared" si="38"/>
        <v/>
      </c>
      <c r="C1927" s="105"/>
      <c r="D1927" s="4"/>
      <c r="E1927" s="39"/>
      <c r="F1927" s="106"/>
      <c r="G1927" s="7"/>
      <c r="I1927" s="4"/>
    </row>
    <row r="1928" spans="1:9" x14ac:dyDescent="0.2">
      <c r="A1928">
        <f>COUNTIF($I$2:I1928,'[1]Detalle Pilotos'!$G$3)</f>
        <v>5</v>
      </c>
      <c r="B1928" t="str">
        <f t="shared" si="38"/>
        <v/>
      </c>
      <c r="C1928" s="105"/>
      <c r="D1928" s="4"/>
      <c r="E1928" s="39"/>
      <c r="F1928" s="106"/>
      <c r="G1928" s="7"/>
      <c r="I1928" s="4"/>
    </row>
    <row r="1929" spans="1:9" x14ac:dyDescent="0.2">
      <c r="A1929">
        <f>COUNTIF($I$2:I1929,'[1]Detalle Pilotos'!$G$3)</f>
        <v>5</v>
      </c>
      <c r="B1929" t="str">
        <f t="shared" si="38"/>
        <v/>
      </c>
      <c r="C1929" s="105"/>
      <c r="D1929" s="4"/>
      <c r="E1929" s="39"/>
      <c r="F1929" s="106"/>
      <c r="G1929" s="7"/>
      <c r="I1929" s="4"/>
    </row>
    <row r="1930" spans="1:9" x14ac:dyDescent="0.2">
      <c r="A1930">
        <f>COUNTIF($I$2:I1930,'[1]Detalle Pilotos'!$G$3)</f>
        <v>5</v>
      </c>
      <c r="B1930" t="str">
        <f t="shared" si="38"/>
        <v/>
      </c>
      <c r="C1930" s="105"/>
      <c r="D1930" s="4"/>
      <c r="E1930" s="39"/>
      <c r="F1930" s="106"/>
      <c r="G1930" s="7"/>
      <c r="I1930" s="4"/>
    </row>
    <row r="1931" spans="1:9" x14ac:dyDescent="0.2">
      <c r="A1931">
        <f>COUNTIF($I$2:I1931,'[1]Detalle Pilotos'!$G$3)</f>
        <v>5</v>
      </c>
      <c r="B1931" t="str">
        <f t="shared" si="38"/>
        <v/>
      </c>
      <c r="C1931" s="105"/>
      <c r="D1931" s="4"/>
      <c r="E1931" s="39"/>
      <c r="F1931" s="106"/>
      <c r="G1931" s="7"/>
      <c r="I1931" s="4"/>
    </row>
    <row r="1932" spans="1:9" x14ac:dyDescent="0.2">
      <c r="A1932">
        <f>COUNTIF($I$2:I1932,'[1]Detalle Pilotos'!$G$3)</f>
        <v>5</v>
      </c>
      <c r="B1932" t="str">
        <f t="shared" si="38"/>
        <v/>
      </c>
      <c r="C1932" s="105"/>
      <c r="D1932" s="4"/>
      <c r="E1932" s="39"/>
      <c r="F1932" s="106"/>
      <c r="G1932" s="7"/>
      <c r="I1932" s="4"/>
    </row>
    <row r="1933" spans="1:9" x14ac:dyDescent="0.2">
      <c r="A1933">
        <f>COUNTIF($I$2:I1933,'[1]Detalle Pilotos'!$G$3)</f>
        <v>5</v>
      </c>
      <c r="B1933" t="str">
        <f t="shared" si="38"/>
        <v/>
      </c>
      <c r="C1933" s="105"/>
      <c r="D1933" s="4"/>
      <c r="E1933" s="39"/>
      <c r="F1933" s="106"/>
      <c r="G1933" s="7"/>
      <c r="I1933" s="4"/>
    </row>
    <row r="1934" spans="1:9" x14ac:dyDescent="0.2">
      <c r="A1934">
        <f>COUNTIF($I$2:I1934,'[1]Detalle Pilotos'!$G$3)</f>
        <v>5</v>
      </c>
      <c r="B1934" t="str">
        <f t="shared" si="38"/>
        <v/>
      </c>
      <c r="C1934" s="105"/>
      <c r="D1934" s="4"/>
      <c r="E1934" s="39"/>
      <c r="F1934" s="106"/>
      <c r="G1934" s="7"/>
      <c r="I1934" s="4"/>
    </row>
    <row r="1935" spans="1:9" x14ac:dyDescent="0.2">
      <c r="A1935">
        <f>COUNTIF($I$2:I1935,'[1]Detalle Pilotos'!$G$3)</f>
        <v>5</v>
      </c>
      <c r="B1935" t="str">
        <f t="shared" si="38"/>
        <v/>
      </c>
      <c r="C1935" s="105"/>
      <c r="D1935" s="4"/>
      <c r="E1935" s="39"/>
      <c r="F1935" s="106"/>
      <c r="G1935" s="7"/>
      <c r="I1935" s="4"/>
    </row>
    <row r="1936" spans="1:9" x14ac:dyDescent="0.2">
      <c r="A1936">
        <f>COUNTIF($I$2:I1936,'[1]Detalle Pilotos'!$G$3)</f>
        <v>5</v>
      </c>
      <c r="B1936" t="str">
        <f t="shared" si="38"/>
        <v/>
      </c>
      <c r="C1936" s="105"/>
      <c r="D1936" s="4"/>
      <c r="E1936" s="39"/>
      <c r="F1936" s="106"/>
      <c r="G1936" s="7"/>
      <c r="I1936" s="4"/>
    </row>
    <row r="1937" spans="1:9" x14ac:dyDescent="0.2">
      <c r="A1937">
        <f>COUNTIF($I$2:I1937,'[1]Detalle Pilotos'!$G$3)</f>
        <v>5</v>
      </c>
      <c r="B1937" t="str">
        <f t="shared" si="38"/>
        <v/>
      </c>
      <c r="C1937" s="105"/>
      <c r="D1937" s="4"/>
      <c r="E1937" s="39"/>
      <c r="F1937" s="106"/>
      <c r="G1937" s="7"/>
      <c r="I1937" s="4"/>
    </row>
    <row r="1938" spans="1:9" x14ac:dyDescent="0.2">
      <c r="A1938">
        <f>COUNTIF($I$2:I1938,'[1]Detalle Pilotos'!$G$3)</f>
        <v>5</v>
      </c>
      <c r="B1938" t="str">
        <f t="shared" si="38"/>
        <v/>
      </c>
      <c r="C1938" s="105"/>
      <c r="D1938" s="4"/>
      <c r="E1938" s="39"/>
      <c r="F1938" s="106"/>
      <c r="G1938" s="7"/>
      <c r="I1938" s="4"/>
    </row>
    <row r="1939" spans="1:9" x14ac:dyDescent="0.2">
      <c r="A1939">
        <f>COUNTIF($I$2:I1939,'[1]Detalle Pilotos'!$G$3)</f>
        <v>5</v>
      </c>
      <c r="B1939" t="str">
        <f t="shared" si="38"/>
        <v/>
      </c>
      <c r="C1939" s="105"/>
      <c r="D1939" s="4"/>
      <c r="E1939" s="39"/>
      <c r="F1939" s="106"/>
      <c r="G1939" s="7"/>
      <c r="I1939" s="4"/>
    </row>
    <row r="1940" spans="1:9" x14ac:dyDescent="0.2">
      <c r="A1940">
        <f>COUNTIF($I$2:I1940,'[1]Detalle Pilotos'!$G$3)</f>
        <v>5</v>
      </c>
      <c r="B1940" t="str">
        <f t="shared" si="38"/>
        <v/>
      </c>
      <c r="C1940" s="105"/>
      <c r="D1940" s="4"/>
      <c r="E1940" s="39"/>
      <c r="F1940" s="106"/>
      <c r="G1940" s="7"/>
      <c r="I1940" s="4"/>
    </row>
    <row r="1941" spans="1:9" x14ac:dyDescent="0.2">
      <c r="A1941">
        <f>COUNTIF($I$2:I1941,'[1]Detalle Pilotos'!$G$3)</f>
        <v>5</v>
      </c>
      <c r="B1941" t="str">
        <f t="shared" si="38"/>
        <v/>
      </c>
      <c r="C1941" s="105"/>
      <c r="D1941" s="4"/>
      <c r="E1941" s="39"/>
      <c r="F1941" s="106"/>
      <c r="G1941" s="7"/>
      <c r="I1941" s="4"/>
    </row>
    <row r="1942" spans="1:9" x14ac:dyDescent="0.2">
      <c r="A1942">
        <f>COUNTIF($I$2:I1942,'[1]Detalle Pilotos'!$G$3)</f>
        <v>5</v>
      </c>
      <c r="B1942" t="str">
        <f t="shared" si="38"/>
        <v/>
      </c>
      <c r="C1942" s="105"/>
      <c r="D1942" s="4"/>
      <c r="E1942" s="39"/>
      <c r="F1942" s="106"/>
      <c r="G1942" s="7"/>
      <c r="I1942" s="4"/>
    </row>
    <row r="1943" spans="1:9" x14ac:dyDescent="0.2">
      <c r="A1943">
        <f>COUNTIF($I$2:I1943,'[1]Detalle Pilotos'!$G$3)</f>
        <v>5</v>
      </c>
      <c r="B1943" t="str">
        <f t="shared" si="38"/>
        <v/>
      </c>
      <c r="C1943" s="105"/>
      <c r="D1943" s="4"/>
      <c r="E1943" s="39"/>
      <c r="F1943" s="106"/>
      <c r="G1943" s="7"/>
      <c r="I1943" s="4"/>
    </row>
    <row r="1944" spans="1:9" x14ac:dyDescent="0.2">
      <c r="A1944">
        <f>COUNTIF($I$2:I1944,'[1]Detalle Pilotos'!$G$3)</f>
        <v>5</v>
      </c>
      <c r="B1944" t="str">
        <f t="shared" si="38"/>
        <v/>
      </c>
      <c r="C1944" s="105"/>
      <c r="D1944" s="4"/>
      <c r="E1944" s="39"/>
      <c r="F1944" s="106"/>
      <c r="G1944" s="7"/>
      <c r="I1944" s="4"/>
    </row>
    <row r="1945" spans="1:9" x14ac:dyDescent="0.2">
      <c r="A1945">
        <f>COUNTIF($I$2:I1945,'[1]Detalle Pilotos'!$G$3)</f>
        <v>5</v>
      </c>
      <c r="B1945" t="str">
        <f t="shared" si="38"/>
        <v/>
      </c>
      <c r="C1945" s="105"/>
      <c r="D1945" s="4"/>
      <c r="E1945" s="39"/>
      <c r="F1945" s="106"/>
      <c r="G1945" s="7"/>
      <c r="I1945" s="4"/>
    </row>
    <row r="1946" spans="1:9" x14ac:dyDescent="0.2">
      <c r="A1946">
        <f>COUNTIF($I$2:I1946,'[1]Detalle Pilotos'!$G$3)</f>
        <v>5</v>
      </c>
      <c r="B1946" t="str">
        <f t="shared" si="38"/>
        <v/>
      </c>
      <c r="C1946" s="105"/>
      <c r="D1946" s="4"/>
      <c r="E1946" s="39"/>
      <c r="F1946" s="106"/>
      <c r="G1946" s="7"/>
      <c r="I1946" s="4"/>
    </row>
    <row r="1947" spans="1:9" x14ac:dyDescent="0.2">
      <c r="A1947">
        <f>COUNTIF($I$2:I1947,'[1]Detalle Pilotos'!$G$3)</f>
        <v>5</v>
      </c>
      <c r="B1947" t="str">
        <f t="shared" si="38"/>
        <v/>
      </c>
      <c r="C1947" s="105"/>
      <c r="D1947" s="4"/>
      <c r="E1947" s="39"/>
      <c r="F1947" s="106"/>
      <c r="G1947" s="7"/>
      <c r="I1947" s="4"/>
    </row>
    <row r="1948" spans="1:9" x14ac:dyDescent="0.2">
      <c r="A1948">
        <f>COUNTIF($I$2:I1948,'[1]Detalle Pilotos'!$G$3)</f>
        <v>5</v>
      </c>
      <c r="B1948" t="str">
        <f t="shared" si="38"/>
        <v/>
      </c>
      <c r="C1948" s="105"/>
      <c r="D1948" s="4"/>
      <c r="E1948" s="39"/>
      <c r="F1948" s="106"/>
      <c r="G1948" s="7"/>
      <c r="I1948" s="4"/>
    </row>
    <row r="1949" spans="1:9" x14ac:dyDescent="0.2">
      <c r="A1949">
        <f>COUNTIF($I$2:I1949,'[1]Detalle Pilotos'!$G$3)</f>
        <v>5</v>
      </c>
      <c r="B1949" t="str">
        <f t="shared" si="38"/>
        <v/>
      </c>
      <c r="C1949" s="105"/>
      <c r="D1949" s="4"/>
      <c r="E1949" s="39"/>
      <c r="F1949" s="106"/>
      <c r="G1949" s="7"/>
      <c r="I1949" s="4"/>
    </row>
    <row r="1950" spans="1:9" x14ac:dyDescent="0.2">
      <c r="A1950">
        <f>COUNTIF($I$2:I1950,'[1]Detalle Pilotos'!$G$3)</f>
        <v>5</v>
      </c>
      <c r="B1950" t="str">
        <f t="shared" si="38"/>
        <v/>
      </c>
      <c r="C1950" s="105"/>
      <c r="D1950" s="4"/>
      <c r="E1950" s="39"/>
      <c r="F1950" s="106"/>
      <c r="G1950" s="7"/>
      <c r="I1950" s="4"/>
    </row>
    <row r="1951" spans="1:9" x14ac:dyDescent="0.2">
      <c r="A1951">
        <f>COUNTIF($I$2:I1951,'[1]Detalle Pilotos'!$G$3)</f>
        <v>5</v>
      </c>
      <c r="B1951" t="str">
        <f t="shared" si="38"/>
        <v/>
      </c>
      <c r="C1951" s="105"/>
      <c r="D1951" s="4"/>
      <c r="E1951" s="39"/>
      <c r="F1951" s="106"/>
      <c r="G1951" s="7"/>
      <c r="I1951" s="4"/>
    </row>
    <row r="1952" spans="1:9" x14ac:dyDescent="0.2">
      <c r="A1952">
        <f>COUNTIF($I$2:I1952,'[1]Detalle Pilotos'!$G$3)</f>
        <v>5</v>
      </c>
      <c r="B1952" t="str">
        <f t="shared" si="38"/>
        <v/>
      </c>
      <c r="C1952" s="105"/>
      <c r="D1952" s="4"/>
      <c r="E1952" s="39"/>
      <c r="F1952" s="106"/>
      <c r="G1952" s="7"/>
      <c r="I1952" s="4"/>
    </row>
    <row r="1953" spans="1:9" x14ac:dyDescent="0.2">
      <c r="A1953">
        <f>COUNTIF($I$2:I1953,'[1]Detalle Pilotos'!$G$3)</f>
        <v>5</v>
      </c>
      <c r="B1953" t="str">
        <f t="shared" si="38"/>
        <v/>
      </c>
      <c r="C1953" s="105"/>
      <c r="D1953" s="4"/>
      <c r="E1953" s="39"/>
      <c r="F1953" s="106"/>
      <c r="G1953" s="7"/>
      <c r="I1953" s="4"/>
    </row>
    <row r="1954" spans="1:9" x14ac:dyDescent="0.2">
      <c r="A1954">
        <f>COUNTIF($I$2:I1954,'[1]Detalle Pilotos'!$G$3)</f>
        <v>5</v>
      </c>
      <c r="B1954" t="str">
        <f t="shared" si="38"/>
        <v/>
      </c>
      <c r="C1954" s="105"/>
      <c r="D1954" s="4"/>
      <c r="E1954" s="39"/>
      <c r="F1954" s="106"/>
      <c r="G1954" s="7"/>
      <c r="I1954" s="4"/>
    </row>
    <row r="1955" spans="1:9" x14ac:dyDescent="0.2">
      <c r="A1955">
        <f>COUNTIF($I$2:I1955,'[1]Detalle Pilotos'!$G$3)</f>
        <v>5</v>
      </c>
      <c r="B1955" t="str">
        <f t="shared" si="38"/>
        <v/>
      </c>
      <c r="C1955" s="105"/>
      <c r="D1955" s="4"/>
      <c r="E1955" s="39"/>
      <c r="F1955" s="106"/>
      <c r="G1955" s="7"/>
      <c r="I1955" s="4"/>
    </row>
    <row r="1956" spans="1:9" x14ac:dyDescent="0.2">
      <c r="A1956">
        <f>COUNTIF($I$2:I1956,'[1]Detalle Pilotos'!$G$3)</f>
        <v>5</v>
      </c>
      <c r="B1956" t="str">
        <f t="shared" si="38"/>
        <v/>
      </c>
      <c r="C1956" s="105"/>
      <c r="D1956" s="4"/>
      <c r="E1956" s="39"/>
      <c r="F1956" s="106"/>
      <c r="G1956" s="7"/>
      <c r="I1956" s="4"/>
    </row>
    <row r="1957" spans="1:9" x14ac:dyDescent="0.2">
      <c r="A1957">
        <f>COUNTIF($I$2:I1957,'[1]Detalle Pilotos'!$G$3)</f>
        <v>5</v>
      </c>
      <c r="B1957" t="str">
        <f t="shared" si="38"/>
        <v/>
      </c>
      <c r="C1957" s="105"/>
      <c r="D1957" s="4"/>
      <c r="E1957" s="39"/>
      <c r="F1957" s="106"/>
      <c r="G1957" s="7"/>
      <c r="I1957" s="4"/>
    </row>
    <row r="1958" spans="1:9" x14ac:dyDescent="0.2">
      <c r="A1958">
        <f>COUNTIF($I$2:I1958,'[1]Detalle Pilotos'!$G$3)</f>
        <v>5</v>
      </c>
      <c r="B1958" t="str">
        <f t="shared" si="38"/>
        <v/>
      </c>
      <c r="C1958" s="105"/>
      <c r="D1958" s="4"/>
      <c r="E1958" s="39"/>
      <c r="F1958" s="106"/>
      <c r="G1958" s="7"/>
      <c r="I1958" s="4"/>
    </row>
    <row r="1959" spans="1:9" x14ac:dyDescent="0.2">
      <c r="A1959">
        <f>COUNTIF($I$2:I1959,'[1]Detalle Pilotos'!$G$3)</f>
        <v>5</v>
      </c>
      <c r="B1959" t="str">
        <f t="shared" si="38"/>
        <v/>
      </c>
      <c r="C1959" s="105"/>
      <c r="D1959" s="4"/>
      <c r="E1959" s="39"/>
      <c r="F1959" s="106"/>
      <c r="G1959" s="7"/>
      <c r="I1959" s="4"/>
    </row>
    <row r="1960" spans="1:9" x14ac:dyDescent="0.2">
      <c r="A1960">
        <f>COUNTIF($I$2:I1960,'[1]Detalle Pilotos'!$G$3)</f>
        <v>5</v>
      </c>
      <c r="B1960" t="str">
        <f t="shared" si="38"/>
        <v/>
      </c>
      <c r="C1960" s="105"/>
      <c r="D1960" s="4"/>
      <c r="E1960" s="39"/>
      <c r="F1960" s="106"/>
      <c r="G1960" s="7"/>
      <c r="I1960" s="4"/>
    </row>
    <row r="1961" spans="1:9" x14ac:dyDescent="0.2">
      <c r="A1961">
        <f>COUNTIF($I$2:I1961,'[1]Detalle Pilotos'!$G$3)</f>
        <v>5</v>
      </c>
      <c r="B1961" t="str">
        <f t="shared" si="38"/>
        <v/>
      </c>
      <c r="C1961" s="105"/>
      <c r="D1961" s="4"/>
      <c r="E1961" s="39"/>
      <c r="F1961" s="106"/>
      <c r="G1961" s="7"/>
      <c r="I1961" s="4"/>
    </row>
    <row r="1962" spans="1:9" x14ac:dyDescent="0.2">
      <c r="A1962">
        <f>COUNTIF($I$2:I1962,'[1]Detalle Pilotos'!$G$3)</f>
        <v>5</v>
      </c>
      <c r="B1962" t="str">
        <f t="shared" si="38"/>
        <v/>
      </c>
      <c r="C1962" s="105"/>
      <c r="D1962" s="4"/>
      <c r="E1962" s="39"/>
      <c r="F1962" s="106"/>
      <c r="G1962" s="7"/>
      <c r="I1962" s="4"/>
    </row>
    <row r="1963" spans="1:9" x14ac:dyDescent="0.2">
      <c r="A1963">
        <f>COUNTIF($I$2:I1963,'[1]Detalle Pilotos'!$G$3)</f>
        <v>5</v>
      </c>
      <c r="B1963" t="str">
        <f t="shared" si="38"/>
        <v/>
      </c>
      <c r="C1963" s="105"/>
      <c r="D1963" s="4"/>
      <c r="E1963" s="39"/>
      <c r="F1963" s="106"/>
      <c r="G1963" s="7"/>
      <c r="I1963" s="4"/>
    </row>
    <row r="1964" spans="1:9" x14ac:dyDescent="0.2">
      <c r="A1964">
        <f>COUNTIF($I$2:I1964,'[1]Detalle Pilotos'!$G$3)</f>
        <v>5</v>
      </c>
      <c r="B1964" t="str">
        <f t="shared" si="38"/>
        <v/>
      </c>
      <c r="C1964" s="105"/>
      <c r="D1964" s="4"/>
      <c r="E1964" s="39"/>
      <c r="F1964" s="106"/>
      <c r="G1964" s="7"/>
      <c r="I1964" s="4"/>
    </row>
    <row r="1965" spans="1:9" x14ac:dyDescent="0.2">
      <c r="A1965">
        <f>COUNTIF($I$2:I1965,'[1]Detalle Pilotos'!$G$3)</f>
        <v>5</v>
      </c>
      <c r="B1965" t="str">
        <f t="shared" si="38"/>
        <v/>
      </c>
      <c r="C1965" s="105"/>
      <c r="D1965" s="4"/>
      <c r="E1965" s="39"/>
      <c r="F1965" s="106"/>
      <c r="G1965" s="7"/>
      <c r="I1965" s="4"/>
    </row>
    <row r="1966" spans="1:9" x14ac:dyDescent="0.2">
      <c r="A1966">
        <f>COUNTIF($I$2:I1966,'[1]Detalle Pilotos'!$G$3)</f>
        <v>5</v>
      </c>
      <c r="B1966" t="str">
        <f t="shared" si="38"/>
        <v/>
      </c>
      <c r="C1966" s="105"/>
      <c r="D1966" s="4"/>
      <c r="E1966" s="39"/>
      <c r="F1966" s="106"/>
      <c r="G1966" s="7"/>
      <c r="I1966" s="4"/>
    </row>
    <row r="1967" spans="1:9" x14ac:dyDescent="0.2">
      <c r="A1967">
        <f>COUNTIF($I$2:I1967,'[1]Detalle Pilotos'!$G$3)</f>
        <v>5</v>
      </c>
      <c r="B1967" t="str">
        <f t="shared" si="38"/>
        <v/>
      </c>
      <c r="C1967" s="105"/>
      <c r="D1967" s="4"/>
      <c r="E1967" s="39"/>
      <c r="F1967" s="106"/>
      <c r="G1967" s="7"/>
      <c r="I1967" s="4"/>
    </row>
    <row r="1968" spans="1:9" x14ac:dyDescent="0.2">
      <c r="A1968">
        <f>COUNTIF($I$2:I1968,'[1]Detalle Pilotos'!$G$3)</f>
        <v>5</v>
      </c>
      <c r="B1968" t="str">
        <f t="shared" si="38"/>
        <v/>
      </c>
      <c r="C1968" s="105"/>
      <c r="D1968" s="4"/>
      <c r="E1968" s="39"/>
      <c r="F1968" s="106"/>
      <c r="G1968" s="7"/>
      <c r="I1968" s="4"/>
    </row>
    <row r="1969" spans="1:9" x14ac:dyDescent="0.2">
      <c r="A1969">
        <f>COUNTIF($I$2:I1969,'[1]Detalle Pilotos'!$G$3)</f>
        <v>5</v>
      </c>
      <c r="B1969" t="str">
        <f t="shared" si="38"/>
        <v/>
      </c>
      <c r="C1969" s="105"/>
      <c r="D1969" s="4"/>
      <c r="E1969" s="39"/>
      <c r="F1969" s="106"/>
      <c r="G1969" s="7"/>
      <c r="I1969" s="4"/>
    </row>
    <row r="1970" spans="1:9" x14ac:dyDescent="0.2">
      <c r="A1970">
        <f>COUNTIF($I$2:I1970,'[1]Detalle Pilotos'!$G$3)</f>
        <v>5</v>
      </c>
      <c r="B1970" t="str">
        <f t="shared" si="38"/>
        <v/>
      </c>
      <c r="C1970" s="105"/>
      <c r="D1970" s="4"/>
      <c r="E1970" s="39"/>
      <c r="F1970" s="106"/>
      <c r="G1970" s="7"/>
      <c r="I1970" s="4"/>
    </row>
    <row r="1971" spans="1:9" x14ac:dyDescent="0.2">
      <c r="A1971">
        <f>COUNTIF($I$2:I1971,'[1]Detalle Pilotos'!$G$3)</f>
        <v>5</v>
      </c>
      <c r="B1971" t="str">
        <f t="shared" si="38"/>
        <v/>
      </c>
      <c r="C1971" s="105"/>
      <c r="D1971" s="4"/>
      <c r="E1971" s="39"/>
      <c r="F1971" s="106"/>
      <c r="G1971" s="7"/>
      <c r="I1971" s="4"/>
    </row>
    <row r="1972" spans="1:9" x14ac:dyDescent="0.2">
      <c r="A1972">
        <f>COUNTIF($I$2:I1972,'[1]Detalle Pilotos'!$G$3)</f>
        <v>5</v>
      </c>
      <c r="B1972" t="str">
        <f t="shared" si="38"/>
        <v/>
      </c>
      <c r="C1972" s="105"/>
      <c r="D1972" s="4"/>
      <c r="E1972" s="39"/>
      <c r="F1972" s="106"/>
      <c r="G1972" s="7"/>
      <c r="I1972" s="4"/>
    </row>
    <row r="1973" spans="1:9" x14ac:dyDescent="0.2">
      <c r="A1973">
        <f>COUNTIF($I$2:I1973,'[1]Detalle Pilotos'!$G$3)</f>
        <v>5</v>
      </c>
      <c r="B1973" t="str">
        <f t="shared" si="38"/>
        <v/>
      </c>
      <c r="C1973" s="105"/>
      <c r="D1973" s="4"/>
      <c r="E1973" s="39"/>
      <c r="F1973" s="106"/>
      <c r="G1973" s="7"/>
      <c r="I1973" s="4"/>
    </row>
    <row r="1974" spans="1:9" x14ac:dyDescent="0.2">
      <c r="A1974">
        <f>COUNTIF($I$2:I1974,'[1]Detalle Pilotos'!$G$3)</f>
        <v>5</v>
      </c>
      <c r="B1974" t="str">
        <f t="shared" si="38"/>
        <v/>
      </c>
      <c r="C1974" s="105"/>
      <c r="D1974" s="4"/>
      <c r="E1974" s="39"/>
      <c r="F1974" s="106"/>
      <c r="G1974" s="7"/>
      <c r="I1974" s="4"/>
    </row>
    <row r="1975" spans="1:9" x14ac:dyDescent="0.2">
      <c r="A1975">
        <f>COUNTIF($I$2:I1975,'[1]Detalle Pilotos'!$G$3)</f>
        <v>5</v>
      </c>
      <c r="B1975" t="str">
        <f t="shared" si="38"/>
        <v/>
      </c>
      <c r="C1975" s="105"/>
      <c r="D1975" s="4"/>
      <c r="E1975" s="39"/>
      <c r="F1975" s="106"/>
      <c r="G1975" s="7"/>
      <c r="I1975" s="4"/>
    </row>
    <row r="1976" spans="1:9" x14ac:dyDescent="0.2">
      <c r="A1976">
        <f>COUNTIF($I$2:I1976,'[1]Detalle Pilotos'!$G$3)</f>
        <v>5</v>
      </c>
      <c r="B1976" t="str">
        <f t="shared" si="38"/>
        <v/>
      </c>
      <c r="C1976" s="105"/>
      <c r="D1976" s="4"/>
      <c r="E1976" s="39"/>
      <c r="F1976" s="106"/>
      <c r="G1976" s="7"/>
      <c r="I1976" s="4"/>
    </row>
    <row r="1977" spans="1:9" x14ac:dyDescent="0.2">
      <c r="A1977">
        <f>COUNTIF($I$2:I1977,'[1]Detalle Pilotos'!$G$3)</f>
        <v>5</v>
      </c>
      <c r="B1977" t="str">
        <f t="shared" si="38"/>
        <v/>
      </c>
      <c r="C1977" s="105"/>
      <c r="D1977" s="4"/>
      <c r="E1977" s="39"/>
      <c r="F1977" s="106"/>
      <c r="G1977" s="7"/>
      <c r="I1977" s="4"/>
    </row>
    <row r="1978" spans="1:9" x14ac:dyDescent="0.2">
      <c r="A1978">
        <f>COUNTIF($I$2:I1978,'[1]Detalle Pilotos'!$G$3)</f>
        <v>5</v>
      </c>
      <c r="B1978" t="str">
        <f t="shared" si="38"/>
        <v/>
      </c>
      <c r="C1978" s="105"/>
      <c r="D1978" s="4"/>
      <c r="E1978" s="39"/>
      <c r="F1978" s="106"/>
      <c r="G1978" s="7"/>
      <c r="I1978" s="4"/>
    </row>
    <row r="1979" spans="1:9" x14ac:dyDescent="0.2">
      <c r="A1979">
        <f>COUNTIF($I$2:I1979,'[1]Detalle Pilotos'!$G$3)</f>
        <v>5</v>
      </c>
      <c r="B1979" t="str">
        <f t="shared" si="38"/>
        <v/>
      </c>
      <c r="C1979" s="105"/>
      <c r="D1979" s="4"/>
      <c r="E1979" s="39"/>
      <c r="F1979" s="106"/>
      <c r="G1979" s="7"/>
      <c r="I1979" s="4"/>
    </row>
    <row r="1980" spans="1:9" x14ac:dyDescent="0.2">
      <c r="A1980">
        <f>COUNTIF($I$2:I1980,'[1]Detalle Pilotos'!$G$3)</f>
        <v>5</v>
      </c>
      <c r="B1980" t="str">
        <f t="shared" si="38"/>
        <v/>
      </c>
      <c r="C1980" s="105"/>
      <c r="D1980" s="4"/>
      <c r="E1980" s="39"/>
      <c r="F1980" s="106"/>
      <c r="G1980" s="7"/>
      <c r="I1980" s="4"/>
    </row>
    <row r="1981" spans="1:9" x14ac:dyDescent="0.2">
      <c r="A1981">
        <f>COUNTIF($I$2:I1981,'[1]Detalle Pilotos'!$G$3)</f>
        <v>5</v>
      </c>
      <c r="B1981" t="str">
        <f t="shared" si="38"/>
        <v/>
      </c>
      <c r="C1981" s="105"/>
      <c r="D1981" s="4"/>
      <c r="E1981" s="39"/>
      <c r="F1981" s="106"/>
      <c r="G1981" s="7"/>
      <c r="I1981" s="4"/>
    </row>
    <row r="1982" spans="1:9" x14ac:dyDescent="0.2">
      <c r="A1982">
        <f>COUNTIF($I$2:I1982,'[1]Detalle Pilotos'!$G$3)</f>
        <v>5</v>
      </c>
      <c r="B1982" t="str">
        <f t="shared" si="38"/>
        <v/>
      </c>
      <c r="C1982" s="105"/>
      <c r="D1982" s="4"/>
      <c r="E1982" s="39"/>
      <c r="F1982" s="106"/>
      <c r="G1982" s="7"/>
      <c r="I1982" s="4"/>
    </row>
    <row r="1983" spans="1:9" x14ac:dyDescent="0.2">
      <c r="A1983">
        <f>COUNTIF($I$2:I1983,'[1]Detalle Pilotos'!$G$3)</f>
        <v>5</v>
      </c>
      <c r="B1983" t="str">
        <f t="shared" si="38"/>
        <v/>
      </c>
      <c r="C1983" s="105"/>
      <c r="D1983" s="4"/>
      <c r="E1983" s="39"/>
      <c r="F1983" s="106"/>
      <c r="G1983" s="7"/>
      <c r="I1983" s="4"/>
    </row>
    <row r="1984" spans="1:9" x14ac:dyDescent="0.2">
      <c r="A1984">
        <f>COUNTIF($I$2:I1984,'[1]Detalle Pilotos'!$G$3)</f>
        <v>5</v>
      </c>
      <c r="B1984" t="str">
        <f t="shared" si="38"/>
        <v/>
      </c>
      <c r="C1984" s="105"/>
      <c r="D1984" s="4"/>
      <c r="E1984" s="39"/>
      <c r="F1984" s="106"/>
      <c r="G1984" s="7"/>
      <c r="I1984" s="4"/>
    </row>
    <row r="1985" spans="1:9" x14ac:dyDescent="0.2">
      <c r="A1985">
        <f>COUNTIF($I$2:I1985,'[1]Detalle Pilotos'!$G$3)</f>
        <v>5</v>
      </c>
      <c r="B1985" t="str">
        <f t="shared" si="38"/>
        <v/>
      </c>
      <c r="C1985" s="105"/>
      <c r="D1985" s="4"/>
      <c r="E1985" s="39"/>
      <c r="F1985" s="106"/>
      <c r="G1985" s="7"/>
      <c r="I1985" s="4"/>
    </row>
    <row r="1986" spans="1:9" x14ac:dyDescent="0.2">
      <c r="A1986">
        <f>COUNTIF($I$2:I1986,'[1]Detalle Pilotos'!$G$3)</f>
        <v>5</v>
      </c>
      <c r="B1986" t="str">
        <f t="shared" si="38"/>
        <v/>
      </c>
      <c r="C1986" s="105"/>
      <c r="D1986" s="4"/>
      <c r="E1986" s="39"/>
      <c r="F1986" s="106"/>
      <c r="G1986" s="7"/>
      <c r="I1986" s="4"/>
    </row>
    <row r="1987" spans="1:9" x14ac:dyDescent="0.2">
      <c r="A1987">
        <f>COUNTIF($I$2:I1987,'[1]Detalle Pilotos'!$G$3)</f>
        <v>5</v>
      </c>
      <c r="B1987" t="str">
        <f t="shared" si="38"/>
        <v/>
      </c>
      <c r="C1987" s="105"/>
      <c r="D1987" s="4"/>
      <c r="E1987" s="39"/>
      <c r="F1987" s="106"/>
      <c r="G1987" s="7"/>
      <c r="I1987" s="4"/>
    </row>
    <row r="1988" spans="1:9" x14ac:dyDescent="0.2">
      <c r="A1988">
        <f>COUNTIF($I$2:I1988,'[1]Detalle Pilotos'!$G$3)</f>
        <v>5</v>
      </c>
      <c r="B1988" t="str">
        <f t="shared" ref="B1988:B2000" si="39">IF(C1988="","",1+B1987)</f>
        <v/>
      </c>
      <c r="C1988" s="105"/>
      <c r="D1988" s="4"/>
      <c r="E1988" s="39"/>
      <c r="F1988" s="106"/>
      <c r="G1988" s="7"/>
      <c r="I1988" s="4"/>
    </row>
    <row r="1989" spans="1:9" x14ac:dyDescent="0.2">
      <c r="A1989">
        <f>COUNTIF($I$2:I1989,'[1]Detalle Pilotos'!$G$3)</f>
        <v>5</v>
      </c>
      <c r="B1989" t="str">
        <f t="shared" si="39"/>
        <v/>
      </c>
      <c r="C1989" s="105"/>
      <c r="D1989" s="4"/>
      <c r="E1989" s="39"/>
      <c r="F1989" s="106"/>
      <c r="G1989" s="7"/>
      <c r="I1989" s="4"/>
    </row>
    <row r="1990" spans="1:9" x14ac:dyDescent="0.2">
      <c r="A1990">
        <f>COUNTIF($I$2:I1990,'[1]Detalle Pilotos'!$G$3)</f>
        <v>5</v>
      </c>
      <c r="B1990" t="str">
        <f t="shared" si="39"/>
        <v/>
      </c>
      <c r="C1990" s="105"/>
      <c r="D1990" s="4"/>
      <c r="E1990" s="39"/>
      <c r="F1990" s="106"/>
      <c r="G1990" s="7"/>
      <c r="I1990" s="4"/>
    </row>
    <row r="1991" spans="1:9" x14ac:dyDescent="0.2">
      <c r="A1991">
        <f>COUNTIF($I$2:I1991,'[1]Detalle Pilotos'!$G$3)</f>
        <v>5</v>
      </c>
      <c r="B1991" t="str">
        <f t="shared" si="39"/>
        <v/>
      </c>
      <c r="C1991" s="105"/>
      <c r="D1991" s="4"/>
      <c r="E1991" s="39"/>
      <c r="F1991" s="106"/>
      <c r="G1991" s="7"/>
      <c r="I1991" s="4"/>
    </row>
    <row r="1992" spans="1:9" x14ac:dyDescent="0.2">
      <c r="A1992">
        <f>COUNTIF($I$2:I1992,'[1]Detalle Pilotos'!$G$3)</f>
        <v>5</v>
      </c>
      <c r="B1992" t="str">
        <f t="shared" si="39"/>
        <v/>
      </c>
      <c r="C1992" s="105"/>
      <c r="D1992" s="4"/>
      <c r="E1992" s="39"/>
      <c r="F1992" s="106"/>
      <c r="G1992" s="7"/>
      <c r="I1992" s="4"/>
    </row>
    <row r="1993" spans="1:9" x14ac:dyDescent="0.2">
      <c r="A1993">
        <f>COUNTIF($I$2:I1993,'[1]Detalle Pilotos'!$G$3)</f>
        <v>5</v>
      </c>
      <c r="B1993" t="str">
        <f t="shared" si="39"/>
        <v/>
      </c>
      <c r="C1993" s="105"/>
      <c r="D1993" s="4"/>
      <c r="E1993" s="39"/>
      <c r="F1993" s="106"/>
      <c r="G1993" s="7"/>
      <c r="I1993" s="4"/>
    </row>
    <row r="1994" spans="1:9" x14ac:dyDescent="0.2">
      <c r="A1994">
        <f>COUNTIF($I$2:I1994,'[1]Detalle Pilotos'!$G$3)</f>
        <v>5</v>
      </c>
      <c r="B1994" t="str">
        <f t="shared" si="39"/>
        <v/>
      </c>
      <c r="C1994" s="105"/>
      <c r="D1994" s="4"/>
      <c r="E1994" s="39"/>
      <c r="F1994" s="106"/>
      <c r="G1994" s="7"/>
      <c r="I1994" s="4"/>
    </row>
    <row r="1995" spans="1:9" x14ac:dyDescent="0.2">
      <c r="A1995">
        <f>COUNTIF($I$2:I1995,'[1]Detalle Pilotos'!$G$3)</f>
        <v>5</v>
      </c>
      <c r="B1995" t="str">
        <f t="shared" si="39"/>
        <v/>
      </c>
      <c r="C1995" s="105"/>
      <c r="D1995" s="4"/>
      <c r="E1995" s="39"/>
      <c r="F1995" s="106"/>
      <c r="G1995" s="7"/>
      <c r="I1995" s="4"/>
    </row>
    <row r="1996" spans="1:9" x14ac:dyDescent="0.2">
      <c r="A1996">
        <f>COUNTIF($I$2:I1996,'[1]Detalle Pilotos'!$G$3)</f>
        <v>5</v>
      </c>
      <c r="B1996" t="str">
        <f t="shared" si="39"/>
        <v/>
      </c>
      <c r="C1996" s="105"/>
      <c r="D1996" s="4"/>
      <c r="E1996" s="39"/>
      <c r="F1996" s="106"/>
      <c r="G1996" s="7"/>
      <c r="I1996" s="4"/>
    </row>
    <row r="1997" spans="1:9" x14ac:dyDescent="0.2">
      <c r="A1997">
        <f>COUNTIF($I$2:I1997,'[1]Detalle Pilotos'!$G$3)</f>
        <v>5</v>
      </c>
      <c r="B1997" t="str">
        <f t="shared" si="39"/>
        <v/>
      </c>
      <c r="C1997" s="105"/>
      <c r="D1997" s="4"/>
      <c r="E1997" s="39"/>
      <c r="F1997" s="106"/>
      <c r="G1997" s="7"/>
      <c r="I1997" s="4"/>
    </row>
    <row r="1998" spans="1:9" x14ac:dyDescent="0.2">
      <c r="A1998">
        <f>COUNTIF($I$2:I1998,'[1]Detalle Pilotos'!$G$3)</f>
        <v>5</v>
      </c>
      <c r="B1998" t="str">
        <f t="shared" si="39"/>
        <v/>
      </c>
      <c r="C1998" s="105"/>
      <c r="D1998" s="4"/>
      <c r="E1998" s="39"/>
      <c r="F1998" s="106"/>
      <c r="G1998" s="7"/>
      <c r="I1998" s="4"/>
    </row>
    <row r="1999" spans="1:9" x14ac:dyDescent="0.2">
      <c r="A1999">
        <f>COUNTIF($I$2:I1999,'[1]Detalle Pilotos'!$G$3)</f>
        <v>5</v>
      </c>
      <c r="B1999" t="str">
        <f t="shared" si="39"/>
        <v/>
      </c>
      <c r="C1999" s="105"/>
      <c r="D1999" s="4"/>
      <c r="E1999" s="39"/>
      <c r="F1999" s="106"/>
      <c r="G1999" s="7"/>
      <c r="I1999" s="4"/>
    </row>
    <row r="2000" spans="1:9" x14ac:dyDescent="0.2">
      <c r="A2000">
        <f>COUNTIF($I$2:I2000,'[1]Detalle Pilotos'!$G$3)</f>
        <v>5</v>
      </c>
      <c r="B2000" t="str">
        <f t="shared" si="39"/>
        <v/>
      </c>
      <c r="C2000" s="105"/>
      <c r="D2000" s="4"/>
      <c r="E2000" s="39"/>
      <c r="F2000" s="106"/>
      <c r="G2000" s="7"/>
      <c r="I2000" s="4"/>
    </row>
    <row r="2001" spans="3:9" x14ac:dyDescent="0.2">
      <c r="C2001" s="105"/>
      <c r="D2001" s="4"/>
      <c r="E2001" s="39"/>
      <c r="F2001" s="106"/>
      <c r="G2001" s="7"/>
      <c r="I2001" s="4"/>
    </row>
    <row r="2002" spans="3:9" x14ac:dyDescent="0.2">
      <c r="C2002" s="105"/>
      <c r="D2002" s="4"/>
      <c r="E2002" s="39"/>
      <c r="F2002" s="106"/>
      <c r="G2002" s="7"/>
      <c r="I2002" s="4"/>
    </row>
    <row r="2003" spans="3:9" x14ac:dyDescent="0.2">
      <c r="C2003" s="105"/>
      <c r="D2003" s="4"/>
      <c r="E2003" s="39"/>
      <c r="F2003" s="106"/>
      <c r="G2003" s="7"/>
      <c r="I2003" s="4"/>
    </row>
    <row r="2004" spans="3:9" x14ac:dyDescent="0.2">
      <c r="C2004" s="105"/>
      <c r="D2004" s="4"/>
      <c r="E2004" s="39"/>
      <c r="F2004" s="106"/>
      <c r="G2004" s="7"/>
      <c r="I2004" s="4"/>
    </row>
    <row r="2005" spans="3:9" x14ac:dyDescent="0.2">
      <c r="C2005" s="105"/>
      <c r="D2005" s="4"/>
      <c r="E2005" s="39"/>
      <c r="F2005" s="106"/>
      <c r="G2005" s="7"/>
      <c r="I2005" s="4"/>
    </row>
    <row r="2006" spans="3:9" x14ac:dyDescent="0.2">
      <c r="C2006" s="105"/>
      <c r="D2006" s="4"/>
      <c r="E2006" s="39"/>
      <c r="F2006" s="106"/>
      <c r="G2006" s="7"/>
      <c r="I2006" s="4"/>
    </row>
    <row r="2007" spans="3:9" x14ac:dyDescent="0.2">
      <c r="C2007" s="105"/>
      <c r="D2007" s="4"/>
      <c r="E2007" s="39"/>
      <c r="F2007" s="106"/>
      <c r="G2007" s="7"/>
      <c r="I2007" s="4"/>
    </row>
    <row r="2008" spans="3:9" x14ac:dyDescent="0.2">
      <c r="C2008" s="105"/>
      <c r="D2008" s="4"/>
      <c r="E2008" s="39"/>
      <c r="F2008" s="106"/>
      <c r="G2008" s="7"/>
      <c r="I2008" s="4"/>
    </row>
    <row r="2009" spans="3:9" x14ac:dyDescent="0.2">
      <c r="C2009" s="105"/>
      <c r="D2009" s="4"/>
      <c r="E2009" s="39"/>
      <c r="F2009" s="106"/>
      <c r="G2009" s="7"/>
      <c r="I2009" s="4"/>
    </row>
    <row r="2010" spans="3:9" x14ac:dyDescent="0.2">
      <c r="C2010" s="105"/>
      <c r="D2010" s="4"/>
      <c r="E2010" s="39"/>
      <c r="F2010" s="106"/>
      <c r="G2010" s="7"/>
      <c r="I2010" s="4"/>
    </row>
    <row r="2011" spans="3:9" x14ac:dyDescent="0.2">
      <c r="C2011" s="105"/>
      <c r="D2011" s="4"/>
      <c r="E2011" s="39"/>
      <c r="F2011" s="106"/>
      <c r="G2011" s="7"/>
      <c r="I2011" s="4"/>
    </row>
    <row r="2012" spans="3:9" x14ac:dyDescent="0.2">
      <c r="C2012" s="105"/>
      <c r="D2012" s="4"/>
      <c r="E2012" s="39"/>
      <c r="F2012" s="106"/>
      <c r="G2012" s="7"/>
      <c r="I2012" s="4"/>
    </row>
    <row r="2013" spans="3:9" x14ac:dyDescent="0.2">
      <c r="C2013" s="105"/>
      <c r="D2013" s="4"/>
      <c r="E2013" s="39"/>
      <c r="F2013" s="106"/>
      <c r="G2013" s="7"/>
      <c r="I2013" s="4"/>
    </row>
    <row r="2014" spans="3:9" x14ac:dyDescent="0.2">
      <c r="C2014" s="105"/>
      <c r="D2014" s="4"/>
      <c r="E2014" s="39"/>
      <c r="F2014" s="106"/>
      <c r="G2014" s="7"/>
      <c r="I2014" s="4"/>
    </row>
    <row r="2015" spans="3:9" x14ac:dyDescent="0.2">
      <c r="C2015" s="105"/>
      <c r="D2015" s="4"/>
      <c r="E2015" s="39"/>
      <c r="F2015" s="106"/>
      <c r="G2015" s="7"/>
      <c r="I2015" s="4"/>
    </row>
    <row r="2016" spans="3:9" x14ac:dyDescent="0.2">
      <c r="C2016" s="105"/>
      <c r="D2016" s="4"/>
      <c r="E2016" s="39"/>
      <c r="F2016" s="106"/>
      <c r="G2016" s="7"/>
      <c r="I2016" s="4"/>
    </row>
    <row r="2017" spans="3:9" x14ac:dyDescent="0.2">
      <c r="C2017" s="105"/>
      <c r="D2017" s="4"/>
      <c r="E2017" s="39"/>
      <c r="F2017" s="106"/>
      <c r="G2017" s="7"/>
      <c r="I2017" s="4"/>
    </row>
    <row r="2018" spans="3:9" x14ac:dyDescent="0.2">
      <c r="C2018" s="105"/>
      <c r="D2018" s="4"/>
      <c r="E2018" s="39"/>
      <c r="F2018" s="106"/>
      <c r="G2018" s="7"/>
      <c r="I2018" s="4"/>
    </row>
    <row r="2019" spans="3:9" x14ac:dyDescent="0.2">
      <c r="C2019" s="105"/>
      <c r="D2019" s="4"/>
      <c r="E2019" s="39"/>
      <c r="F2019" s="106"/>
      <c r="G2019" s="7"/>
      <c r="I2019" s="4"/>
    </row>
    <row r="2020" spans="3:9" x14ac:dyDescent="0.2">
      <c r="C2020" s="105"/>
      <c r="D2020" s="4"/>
      <c r="E2020" s="39"/>
      <c r="F2020" s="106"/>
      <c r="G2020" s="7"/>
      <c r="I2020" s="4"/>
    </row>
    <row r="2021" spans="3:9" x14ac:dyDescent="0.2">
      <c r="C2021" s="105"/>
      <c r="D2021" s="4"/>
      <c r="E2021" s="39"/>
      <c r="F2021" s="106"/>
      <c r="G2021" s="7"/>
      <c r="I2021" s="4"/>
    </row>
    <row r="2022" spans="3:9" x14ac:dyDescent="0.2">
      <c r="C2022" s="105"/>
      <c r="D2022" s="4"/>
      <c r="E2022" s="39"/>
      <c r="F2022" s="106"/>
      <c r="G2022" s="7"/>
      <c r="I2022" s="4"/>
    </row>
    <row r="2023" spans="3:9" x14ac:dyDescent="0.2">
      <c r="C2023" s="105"/>
      <c r="D2023" s="4"/>
      <c r="E2023" s="39"/>
      <c r="F2023" s="106"/>
      <c r="G2023" s="7"/>
      <c r="I2023" s="4"/>
    </row>
    <row r="2024" spans="3:9" x14ac:dyDescent="0.2">
      <c r="C2024" s="105"/>
      <c r="D2024" s="4"/>
      <c r="E2024" s="39"/>
      <c r="F2024" s="106"/>
      <c r="G2024" s="7"/>
      <c r="I2024" s="4"/>
    </row>
    <row r="2025" spans="3:9" x14ac:dyDescent="0.2">
      <c r="C2025" s="105"/>
      <c r="D2025" s="4"/>
      <c r="E2025" s="39"/>
      <c r="F2025" s="106"/>
      <c r="G2025" s="7"/>
      <c r="I2025" s="4"/>
    </row>
    <row r="2026" spans="3:9" x14ac:dyDescent="0.2">
      <c r="C2026" s="105"/>
      <c r="D2026" s="4"/>
      <c r="E2026" s="39"/>
      <c r="F2026" s="106"/>
      <c r="G2026" s="7"/>
      <c r="I2026" s="4"/>
    </row>
    <row r="2027" spans="3:9" x14ac:dyDescent="0.2">
      <c r="C2027" s="105"/>
      <c r="D2027" s="4"/>
      <c r="E2027" s="39"/>
      <c r="F2027" s="106"/>
      <c r="G2027" s="7"/>
      <c r="I2027" s="4"/>
    </row>
    <row r="2028" spans="3:9" x14ac:dyDescent="0.2">
      <c r="C2028" s="105"/>
      <c r="D2028" s="4"/>
      <c r="E2028" s="39"/>
      <c r="F2028" s="106"/>
      <c r="G2028" s="7"/>
      <c r="I2028" s="4"/>
    </row>
    <row r="2029" spans="3:9" x14ac:dyDescent="0.2">
      <c r="C2029" s="105"/>
      <c r="D2029" s="4"/>
      <c r="E2029" s="39"/>
      <c r="F2029" s="106"/>
      <c r="G2029" s="7"/>
      <c r="I2029" s="4"/>
    </row>
    <row r="2030" spans="3:9" x14ac:dyDescent="0.2">
      <c r="C2030" s="105"/>
      <c r="D2030" s="4"/>
      <c r="E2030" s="39"/>
      <c r="F2030" s="106"/>
      <c r="G2030" s="7"/>
      <c r="I2030" s="4"/>
    </row>
    <row r="2031" spans="3:9" x14ac:dyDescent="0.2">
      <c r="C2031" s="105"/>
      <c r="D2031" s="4"/>
      <c r="E2031" s="39"/>
      <c r="F2031" s="106"/>
      <c r="G2031" s="7"/>
      <c r="I2031" s="4"/>
    </row>
    <row r="2032" spans="3:9" x14ac:dyDescent="0.2">
      <c r="C2032" s="105"/>
      <c r="D2032" s="4"/>
      <c r="E2032" s="39"/>
      <c r="F2032" s="106"/>
      <c r="G2032" s="7"/>
      <c r="I2032" s="4"/>
    </row>
    <row r="2033" spans="3:9" x14ac:dyDescent="0.2">
      <c r="C2033" s="105"/>
      <c r="D2033" s="4"/>
      <c r="E2033" s="39"/>
      <c r="F2033" s="106"/>
      <c r="G2033" s="7"/>
      <c r="I2033" s="4"/>
    </row>
    <row r="2034" spans="3:9" x14ac:dyDescent="0.2">
      <c r="C2034" s="105"/>
      <c r="D2034" s="4"/>
      <c r="E2034" s="39"/>
      <c r="F2034" s="106"/>
      <c r="G2034" s="7"/>
      <c r="I2034" s="4"/>
    </row>
    <row r="2035" spans="3:9" x14ac:dyDescent="0.2">
      <c r="C2035" s="105"/>
      <c r="D2035" s="4"/>
      <c r="E2035" s="39"/>
      <c r="F2035" s="106"/>
      <c r="G2035" s="7"/>
      <c r="I2035" s="4"/>
    </row>
    <row r="2036" spans="3:9" x14ac:dyDescent="0.2">
      <c r="C2036" s="105"/>
      <c r="D2036" s="4"/>
      <c r="E2036" s="39"/>
      <c r="F2036" s="106"/>
      <c r="G2036" s="7"/>
      <c r="I2036" s="4"/>
    </row>
    <row r="2037" spans="3:9" x14ac:dyDescent="0.2">
      <c r="C2037" s="105"/>
      <c r="D2037" s="4"/>
      <c r="E2037" s="39"/>
      <c r="F2037" s="106"/>
      <c r="G2037" s="7"/>
      <c r="I2037" s="4"/>
    </row>
    <row r="2038" spans="3:9" x14ac:dyDescent="0.2">
      <c r="C2038" s="105"/>
      <c r="D2038" s="4"/>
      <c r="E2038" s="39"/>
      <c r="F2038" s="106"/>
      <c r="G2038" s="7"/>
      <c r="I2038" s="4"/>
    </row>
    <row r="2039" spans="3:9" x14ac:dyDescent="0.2">
      <c r="C2039" s="105"/>
      <c r="D2039" s="4"/>
      <c r="E2039" s="39"/>
      <c r="F2039" s="106"/>
      <c r="G2039" s="7"/>
      <c r="I2039" s="4"/>
    </row>
    <row r="2040" spans="3:9" x14ac:dyDescent="0.2">
      <c r="C2040" s="105"/>
      <c r="D2040" s="4"/>
      <c r="E2040" s="39"/>
      <c r="F2040" s="106"/>
      <c r="G2040" s="7"/>
      <c r="I2040" s="4"/>
    </row>
    <row r="2041" spans="3:9" x14ac:dyDescent="0.2">
      <c r="C2041" s="105"/>
      <c r="D2041" s="4"/>
      <c r="E2041" s="39"/>
      <c r="F2041" s="106"/>
      <c r="G2041" s="7"/>
      <c r="I2041" s="4"/>
    </row>
    <row r="2042" spans="3:9" x14ac:dyDescent="0.2">
      <c r="C2042" s="105"/>
      <c r="D2042" s="4"/>
      <c r="E2042" s="39"/>
      <c r="F2042" s="106"/>
      <c r="G2042" s="7"/>
      <c r="I2042" s="4"/>
    </row>
    <row r="2043" spans="3:9" x14ac:dyDescent="0.2">
      <c r="C2043" s="105"/>
      <c r="D2043" s="4"/>
      <c r="E2043" s="39"/>
      <c r="F2043" s="106"/>
      <c r="G2043" s="7"/>
      <c r="I2043" s="4"/>
    </row>
    <row r="2044" spans="3:9" x14ac:dyDescent="0.2">
      <c r="C2044" s="105"/>
      <c r="D2044" s="4"/>
      <c r="E2044" s="39"/>
      <c r="F2044" s="106"/>
      <c r="G2044" s="7"/>
      <c r="I2044" s="4"/>
    </row>
    <row r="2045" spans="3:9" x14ac:dyDescent="0.2">
      <c r="C2045" s="105"/>
      <c r="D2045" s="4"/>
      <c r="E2045" s="39"/>
      <c r="F2045" s="106"/>
      <c r="G2045" s="7"/>
      <c r="I2045" s="4"/>
    </row>
    <row r="2046" spans="3:9" x14ac:dyDescent="0.2">
      <c r="C2046" s="105"/>
      <c r="D2046" s="4"/>
      <c r="E2046" s="39"/>
      <c r="F2046" s="106"/>
      <c r="G2046" s="7"/>
      <c r="I2046" s="4"/>
    </row>
    <row r="2047" spans="3:9" x14ac:dyDescent="0.2">
      <c r="C2047" s="105"/>
      <c r="D2047" s="4"/>
      <c r="E2047" s="39"/>
      <c r="F2047" s="106"/>
      <c r="G2047" s="7"/>
      <c r="I2047" s="4"/>
    </row>
    <row r="2048" spans="3:9" x14ac:dyDescent="0.2">
      <c r="C2048" s="105"/>
      <c r="D2048" s="4"/>
      <c r="E2048" s="39"/>
      <c r="F2048" s="106"/>
      <c r="G2048" s="7"/>
      <c r="I2048" s="4"/>
    </row>
    <row r="2049" spans="3:9" x14ac:dyDescent="0.2">
      <c r="C2049" s="105"/>
      <c r="D2049" s="4"/>
      <c r="E2049" s="39"/>
      <c r="F2049" s="106"/>
      <c r="G2049" s="7"/>
      <c r="I2049" s="4"/>
    </row>
    <row r="2050" spans="3:9" x14ac:dyDescent="0.2">
      <c r="C2050" s="105"/>
      <c r="D2050" s="4"/>
      <c r="E2050" s="39"/>
      <c r="F2050" s="106"/>
      <c r="G2050" s="7"/>
      <c r="I2050" s="4"/>
    </row>
    <row r="2051" spans="3:9" x14ac:dyDescent="0.2">
      <c r="C2051" s="105"/>
      <c r="D2051" s="4"/>
      <c r="E2051" s="39"/>
      <c r="F2051" s="106"/>
      <c r="G2051" s="7"/>
      <c r="I2051" s="4"/>
    </row>
    <row r="2052" spans="3:9" x14ac:dyDescent="0.2">
      <c r="C2052" s="105"/>
      <c r="D2052" s="4"/>
      <c r="E2052" s="39"/>
      <c r="F2052" s="106"/>
      <c r="G2052" s="7"/>
      <c r="I2052" s="4"/>
    </row>
    <row r="2053" spans="3:9" x14ac:dyDescent="0.2">
      <c r="C2053" s="105"/>
      <c r="D2053" s="4"/>
      <c r="E2053" s="39"/>
      <c r="F2053" s="106"/>
      <c r="G2053" s="7"/>
      <c r="I2053" s="4"/>
    </row>
    <row r="2054" spans="3:9" x14ac:dyDescent="0.2">
      <c r="C2054" s="105"/>
      <c r="D2054" s="4"/>
      <c r="E2054" s="39"/>
      <c r="F2054" s="106"/>
      <c r="G2054" s="7"/>
      <c r="I2054" s="4"/>
    </row>
    <row r="2055" spans="3:9" x14ac:dyDescent="0.2">
      <c r="C2055" s="105"/>
      <c r="D2055" s="4"/>
      <c r="E2055" s="39"/>
      <c r="F2055" s="106"/>
      <c r="G2055" s="7"/>
      <c r="I2055" s="4"/>
    </row>
    <row r="2056" spans="3:9" x14ac:dyDescent="0.2">
      <c r="C2056" s="105"/>
      <c r="D2056" s="4"/>
      <c r="E2056" s="39"/>
      <c r="F2056" s="106"/>
      <c r="G2056" s="7"/>
      <c r="I2056" s="4"/>
    </row>
    <row r="2057" spans="3:9" x14ac:dyDescent="0.2">
      <c r="C2057" s="105"/>
      <c r="D2057" s="4"/>
      <c r="E2057" s="39"/>
      <c r="F2057" s="106"/>
      <c r="G2057" s="7"/>
      <c r="I2057" s="4"/>
    </row>
    <row r="2058" spans="3:9" x14ac:dyDescent="0.2">
      <c r="C2058" s="105"/>
      <c r="D2058" s="4"/>
      <c r="E2058" s="39"/>
      <c r="F2058" s="106"/>
      <c r="G2058" s="7"/>
      <c r="I2058" s="4"/>
    </row>
    <row r="2059" spans="3:9" x14ac:dyDescent="0.2">
      <c r="C2059" s="105"/>
      <c r="D2059" s="4"/>
      <c r="E2059" s="39"/>
      <c r="F2059" s="106"/>
      <c r="G2059" s="7"/>
      <c r="I2059" s="4"/>
    </row>
    <row r="2060" spans="3:9" x14ac:dyDescent="0.2">
      <c r="C2060" s="105"/>
      <c r="D2060" s="4"/>
      <c r="E2060" s="39"/>
      <c r="F2060" s="106"/>
      <c r="G2060" s="7"/>
      <c r="I2060" s="4"/>
    </row>
    <row r="2061" spans="3:9" x14ac:dyDescent="0.2">
      <c r="C2061" s="105"/>
      <c r="D2061" s="4"/>
      <c r="E2061" s="39"/>
      <c r="F2061" s="106"/>
      <c r="G2061" s="7"/>
      <c r="I2061" s="4"/>
    </row>
    <row r="2062" spans="3:9" x14ac:dyDescent="0.2">
      <c r="C2062" s="105"/>
      <c r="D2062" s="4"/>
      <c r="E2062" s="39"/>
      <c r="F2062" s="106"/>
      <c r="G2062" s="7"/>
      <c r="I2062" s="4"/>
    </row>
    <row r="2063" spans="3:9" x14ac:dyDescent="0.2">
      <c r="C2063" s="105"/>
      <c r="D2063" s="4"/>
      <c r="E2063" s="39"/>
      <c r="F2063" s="106"/>
      <c r="G2063" s="7"/>
      <c r="I2063" s="4"/>
    </row>
    <row r="2064" spans="3:9" x14ac:dyDescent="0.2">
      <c r="C2064" s="105"/>
      <c r="D2064" s="4"/>
      <c r="E2064" s="39"/>
      <c r="F2064" s="106"/>
      <c r="G2064" s="7"/>
      <c r="I2064" s="4"/>
    </row>
    <row r="2065" spans="3:9" x14ac:dyDescent="0.2">
      <c r="C2065" s="105"/>
      <c r="D2065" s="4"/>
      <c r="E2065" s="39"/>
      <c r="F2065" s="106"/>
      <c r="G2065" s="7"/>
      <c r="I2065" s="4"/>
    </row>
    <row r="2066" spans="3:9" x14ac:dyDescent="0.2">
      <c r="C2066" s="105"/>
      <c r="D2066" s="4"/>
      <c r="E2066" s="39"/>
      <c r="F2066" s="106"/>
      <c r="G2066" s="7"/>
      <c r="I2066" s="4"/>
    </row>
    <row r="2067" spans="3:9" x14ac:dyDescent="0.2">
      <c r="C2067" s="105"/>
      <c r="D2067" s="4"/>
      <c r="E2067" s="39"/>
      <c r="F2067" s="106"/>
      <c r="G2067" s="7"/>
      <c r="I2067" s="4"/>
    </row>
    <row r="2068" spans="3:9" x14ac:dyDescent="0.2">
      <c r="C2068" s="105"/>
      <c r="D2068" s="4"/>
      <c r="E2068" s="39"/>
      <c r="F2068" s="106"/>
      <c r="G2068" s="7"/>
      <c r="I2068" s="4"/>
    </row>
    <row r="2069" spans="3:9" x14ac:dyDescent="0.2">
      <c r="C2069" s="105"/>
      <c r="D2069" s="4"/>
      <c r="E2069" s="39"/>
      <c r="F2069" s="106"/>
      <c r="G2069" s="7"/>
      <c r="I2069" s="4"/>
    </row>
    <row r="2070" spans="3:9" x14ac:dyDescent="0.2">
      <c r="C2070" s="105"/>
      <c r="D2070" s="4"/>
      <c r="E2070" s="39"/>
      <c r="F2070" s="106"/>
      <c r="G2070" s="7"/>
      <c r="I2070" s="4"/>
    </row>
    <row r="2071" spans="3:9" x14ac:dyDescent="0.2">
      <c r="C2071" s="105"/>
      <c r="D2071" s="4"/>
      <c r="E2071" s="39"/>
      <c r="F2071" s="106"/>
      <c r="G2071" s="7"/>
      <c r="I2071" s="4"/>
    </row>
    <row r="2072" spans="3:9" x14ac:dyDescent="0.2">
      <c r="C2072" s="105"/>
      <c r="D2072" s="4"/>
      <c r="E2072" s="39"/>
      <c r="F2072" s="106"/>
      <c r="G2072" s="7"/>
      <c r="I2072" s="4"/>
    </row>
    <row r="2073" spans="3:9" x14ac:dyDescent="0.2">
      <c r="C2073" s="105"/>
      <c r="D2073" s="4"/>
      <c r="E2073" s="39"/>
      <c r="F2073" s="106"/>
      <c r="G2073" s="7"/>
      <c r="I2073" s="4"/>
    </row>
    <row r="2074" spans="3:9" x14ac:dyDescent="0.2">
      <c r="C2074" s="105"/>
      <c r="D2074" s="4"/>
      <c r="E2074" s="39"/>
      <c r="F2074" s="106"/>
      <c r="G2074" s="7"/>
      <c r="I2074" s="4"/>
    </row>
    <row r="2075" spans="3:9" x14ac:dyDescent="0.2">
      <c r="C2075" s="105"/>
      <c r="D2075" s="4"/>
      <c r="E2075" s="39"/>
      <c r="F2075" s="106"/>
      <c r="G2075" s="7"/>
      <c r="I2075" s="4"/>
    </row>
    <row r="2076" spans="3:9" x14ac:dyDescent="0.2">
      <c r="C2076" s="105"/>
      <c r="D2076" s="4"/>
      <c r="E2076" s="39"/>
      <c r="F2076" s="106"/>
      <c r="G2076" s="7"/>
      <c r="I2076" s="4"/>
    </row>
    <row r="2077" spans="3:9" x14ac:dyDescent="0.2">
      <c r="C2077" s="105"/>
      <c r="D2077" s="4"/>
      <c r="E2077" s="39"/>
      <c r="F2077" s="106"/>
      <c r="G2077" s="7"/>
      <c r="I2077" s="4"/>
    </row>
    <row r="2078" spans="3:9" x14ac:dyDescent="0.2">
      <c r="C2078" s="105"/>
      <c r="D2078" s="4"/>
      <c r="E2078" s="39"/>
      <c r="F2078" s="106"/>
      <c r="G2078" s="7"/>
      <c r="I2078" s="4"/>
    </row>
    <row r="2079" spans="3:9" x14ac:dyDescent="0.2">
      <c r="C2079" s="105"/>
      <c r="D2079" s="4"/>
      <c r="E2079" s="39"/>
      <c r="F2079" s="106"/>
      <c r="G2079" s="7"/>
      <c r="I2079" s="4"/>
    </row>
    <row r="2080" spans="3:9" x14ac:dyDescent="0.2">
      <c r="C2080" s="105"/>
      <c r="D2080" s="4"/>
      <c r="E2080" s="39"/>
      <c r="F2080" s="106"/>
      <c r="G2080" s="7"/>
      <c r="I2080" s="4"/>
    </row>
    <row r="2081" spans="3:9" x14ac:dyDescent="0.2">
      <c r="C2081" s="105"/>
      <c r="D2081" s="4"/>
      <c r="E2081" s="39"/>
      <c r="F2081" s="106"/>
      <c r="G2081" s="7"/>
      <c r="I2081" s="4"/>
    </row>
    <row r="2082" spans="3:9" x14ac:dyDescent="0.2">
      <c r="C2082" s="105"/>
      <c r="D2082" s="4"/>
      <c r="E2082" s="39"/>
      <c r="F2082" s="106"/>
      <c r="G2082" s="7"/>
      <c r="I2082" s="4"/>
    </row>
    <row r="2083" spans="3:9" x14ac:dyDescent="0.2">
      <c r="C2083" s="105"/>
      <c r="D2083" s="4"/>
      <c r="E2083" s="39"/>
      <c r="F2083" s="106"/>
      <c r="G2083" s="7"/>
      <c r="I2083" s="4"/>
    </row>
    <row r="2084" spans="3:9" x14ac:dyDescent="0.2">
      <c r="C2084" s="105"/>
      <c r="D2084" s="4"/>
      <c r="E2084" s="39"/>
      <c r="F2084" s="106"/>
      <c r="G2084" s="7"/>
      <c r="I2084" s="4"/>
    </row>
    <row r="2085" spans="3:9" x14ac:dyDescent="0.2">
      <c r="C2085" s="105"/>
      <c r="D2085" s="4"/>
      <c r="E2085" s="39"/>
      <c r="F2085" s="106"/>
      <c r="G2085" s="7"/>
      <c r="I2085" s="4"/>
    </row>
    <row r="2086" spans="3:9" x14ac:dyDescent="0.2">
      <c r="C2086" s="105"/>
      <c r="D2086" s="4"/>
      <c r="E2086" s="39"/>
      <c r="F2086" s="106"/>
      <c r="G2086" s="7"/>
      <c r="I2086" s="4"/>
    </row>
    <row r="2087" spans="3:9" x14ac:dyDescent="0.2">
      <c r="C2087" s="105"/>
      <c r="D2087" s="4"/>
      <c r="E2087" s="39"/>
      <c r="F2087" s="106"/>
      <c r="G2087" s="7"/>
      <c r="I2087" s="4"/>
    </row>
    <row r="2088" spans="3:9" x14ac:dyDescent="0.2">
      <c r="C2088" s="105"/>
      <c r="D2088" s="4"/>
      <c r="E2088" s="39"/>
      <c r="F2088" s="106"/>
      <c r="G2088" s="7"/>
      <c r="I2088" s="4"/>
    </row>
    <row r="2089" spans="3:9" x14ac:dyDescent="0.2">
      <c r="C2089" s="105"/>
      <c r="D2089" s="4"/>
      <c r="E2089" s="39"/>
      <c r="F2089" s="106"/>
      <c r="G2089" s="7"/>
      <c r="I2089" s="4"/>
    </row>
    <row r="2090" spans="3:9" x14ac:dyDescent="0.2">
      <c r="C2090" s="105"/>
      <c r="D2090" s="4"/>
      <c r="E2090" s="39"/>
      <c r="F2090" s="106"/>
      <c r="G2090" s="7"/>
      <c r="I2090" s="4"/>
    </row>
    <row r="2091" spans="3:9" x14ac:dyDescent="0.2">
      <c r="C2091" s="105"/>
      <c r="D2091" s="4"/>
      <c r="E2091" s="39"/>
      <c r="F2091" s="106"/>
      <c r="G2091" s="7"/>
      <c r="I2091" s="4"/>
    </row>
    <row r="2092" spans="3:9" x14ac:dyDescent="0.2">
      <c r="C2092" s="105"/>
      <c r="D2092" s="4"/>
      <c r="E2092" s="39"/>
      <c r="F2092" s="106"/>
      <c r="G2092" s="7"/>
      <c r="I2092" s="4"/>
    </row>
    <row r="2093" spans="3:9" x14ac:dyDescent="0.2">
      <c r="C2093" s="105"/>
      <c r="D2093" s="4"/>
      <c r="E2093" s="39"/>
      <c r="F2093" s="106"/>
      <c r="G2093" s="7"/>
      <c r="I2093" s="4"/>
    </row>
    <row r="2094" spans="3:9" x14ac:dyDescent="0.2">
      <c r="C2094" s="105"/>
      <c r="D2094" s="4"/>
      <c r="E2094" s="39"/>
      <c r="F2094" s="106"/>
      <c r="G2094" s="7"/>
      <c r="I2094" s="4"/>
    </row>
    <row r="2095" spans="3:9" x14ac:dyDescent="0.2">
      <c r="C2095" s="105"/>
      <c r="D2095" s="4"/>
      <c r="E2095" s="39"/>
      <c r="F2095" s="106"/>
      <c r="G2095" s="7"/>
      <c r="I2095" s="4"/>
    </row>
    <row r="2096" spans="3:9" x14ac:dyDescent="0.2">
      <c r="C2096" s="105"/>
      <c r="D2096" s="4"/>
      <c r="E2096" s="39"/>
      <c r="F2096" s="106"/>
      <c r="G2096" s="7"/>
      <c r="I2096" s="4"/>
    </row>
    <row r="2097" spans="3:9" x14ac:dyDescent="0.2">
      <c r="C2097" s="105"/>
      <c r="D2097" s="4"/>
      <c r="E2097" s="39"/>
      <c r="F2097" s="106"/>
      <c r="G2097" s="7"/>
      <c r="I2097" s="4"/>
    </row>
    <row r="2098" spans="3:9" x14ac:dyDescent="0.2">
      <c r="C2098" s="105"/>
      <c r="D2098" s="4"/>
      <c r="E2098" s="39"/>
      <c r="F2098" s="106"/>
      <c r="G2098" s="7"/>
      <c r="I2098" s="4"/>
    </row>
    <row r="2099" spans="3:9" x14ac:dyDescent="0.2">
      <c r="C2099" s="105"/>
      <c r="D2099" s="4"/>
      <c r="E2099" s="39"/>
      <c r="F2099" s="106"/>
      <c r="G2099" s="7"/>
      <c r="I2099" s="4"/>
    </row>
    <row r="2100" spans="3:9" x14ac:dyDescent="0.2">
      <c r="C2100" s="105"/>
      <c r="D2100" s="4"/>
      <c r="E2100" s="39"/>
      <c r="F2100" s="106"/>
      <c r="G2100" s="7"/>
      <c r="I2100" s="4"/>
    </row>
    <row r="2101" spans="3:9" x14ac:dyDescent="0.2">
      <c r="C2101" s="105"/>
      <c r="D2101" s="4"/>
      <c r="E2101" s="39"/>
      <c r="F2101" s="106"/>
      <c r="G2101" s="7"/>
      <c r="I2101" s="4"/>
    </row>
    <row r="2102" spans="3:9" x14ac:dyDescent="0.2">
      <c r="C2102" s="105"/>
      <c r="D2102" s="4"/>
      <c r="E2102" s="39"/>
      <c r="F2102" s="106"/>
      <c r="G2102" s="7"/>
      <c r="I2102" s="4"/>
    </row>
    <row r="2103" spans="3:9" x14ac:dyDescent="0.2">
      <c r="C2103" s="105"/>
      <c r="D2103" s="4"/>
      <c r="E2103" s="39"/>
      <c r="F2103" s="106"/>
      <c r="G2103" s="7"/>
      <c r="I2103" s="4"/>
    </row>
    <row r="2104" spans="3:9" x14ac:dyDescent="0.2">
      <c r="C2104" s="105"/>
      <c r="D2104" s="4"/>
      <c r="E2104" s="39"/>
      <c r="F2104" s="106"/>
      <c r="G2104" s="7"/>
      <c r="I2104" s="4"/>
    </row>
    <row r="2105" spans="3:9" x14ac:dyDescent="0.2">
      <c r="C2105" s="105"/>
      <c r="D2105" s="4"/>
      <c r="E2105" s="39"/>
      <c r="F2105" s="106"/>
      <c r="G2105" s="7"/>
      <c r="I2105" s="4"/>
    </row>
    <row r="2106" spans="3:9" x14ac:dyDescent="0.2">
      <c r="C2106" s="105"/>
      <c r="D2106" s="4"/>
      <c r="E2106" s="39"/>
      <c r="F2106" s="106"/>
      <c r="G2106" s="7"/>
      <c r="I2106" s="4"/>
    </row>
    <row r="2107" spans="3:9" x14ac:dyDescent="0.2">
      <c r="C2107" s="105"/>
      <c r="D2107" s="4"/>
      <c r="E2107" s="39"/>
      <c r="F2107" s="106"/>
      <c r="G2107" s="7"/>
      <c r="I2107" s="4"/>
    </row>
    <row r="2108" spans="3:9" x14ac:dyDescent="0.2">
      <c r="C2108" s="105"/>
      <c r="D2108" s="4"/>
      <c r="E2108" s="39"/>
      <c r="F2108" s="106"/>
      <c r="G2108" s="7"/>
      <c r="I2108" s="4"/>
    </row>
    <row r="2109" spans="3:9" x14ac:dyDescent="0.2">
      <c r="C2109" s="105"/>
      <c r="D2109" s="4"/>
      <c r="E2109" s="39"/>
      <c r="F2109" s="106"/>
      <c r="G2109" s="7"/>
      <c r="I2109" s="4"/>
    </row>
    <row r="2110" spans="3:9" x14ac:dyDescent="0.2">
      <c r="C2110" s="105"/>
      <c r="D2110" s="4"/>
      <c r="E2110" s="39"/>
      <c r="F2110" s="106"/>
      <c r="G2110" s="7"/>
      <c r="I2110" s="4"/>
    </row>
    <row r="2111" spans="3:9" x14ac:dyDescent="0.2">
      <c r="C2111" s="105"/>
      <c r="D2111" s="4"/>
      <c r="E2111" s="39"/>
      <c r="F2111" s="106"/>
      <c r="G2111" s="7"/>
      <c r="I2111" s="4"/>
    </row>
    <row r="2112" spans="3:9" x14ac:dyDescent="0.2">
      <c r="C2112" s="105"/>
      <c r="D2112" s="4"/>
      <c r="E2112" s="39"/>
      <c r="F2112" s="106"/>
      <c r="G2112" s="7"/>
      <c r="I2112" s="4"/>
    </row>
    <row r="2113" spans="3:9" x14ac:dyDescent="0.2">
      <c r="C2113" s="105"/>
      <c r="D2113" s="4"/>
      <c r="E2113" s="39"/>
      <c r="F2113" s="106"/>
      <c r="G2113" s="7"/>
      <c r="I2113" s="4"/>
    </row>
    <row r="2114" spans="3:9" x14ac:dyDescent="0.2">
      <c r="C2114" s="105"/>
      <c r="D2114" s="4"/>
      <c r="E2114" s="39"/>
      <c r="F2114" s="106"/>
      <c r="G2114" s="7"/>
      <c r="I2114" s="4"/>
    </row>
    <row r="2115" spans="3:9" x14ac:dyDescent="0.2">
      <c r="C2115" s="105"/>
      <c r="D2115" s="4"/>
      <c r="E2115" s="39"/>
      <c r="F2115" s="106"/>
      <c r="G2115" s="7"/>
      <c r="I2115" s="4"/>
    </row>
    <row r="2116" spans="3:9" x14ac:dyDescent="0.2">
      <c r="C2116" s="105"/>
      <c r="D2116" s="4"/>
      <c r="E2116" s="39"/>
      <c r="F2116" s="106"/>
      <c r="G2116" s="7"/>
      <c r="I2116" s="4"/>
    </row>
    <row r="2117" spans="3:9" x14ac:dyDescent="0.2">
      <c r="C2117" s="105"/>
      <c r="D2117" s="4"/>
      <c r="E2117" s="39"/>
      <c r="F2117" s="106"/>
      <c r="G2117" s="7"/>
      <c r="I2117" s="4"/>
    </row>
    <row r="2118" spans="3:9" x14ac:dyDescent="0.2">
      <c r="C2118" s="105"/>
      <c r="D2118" s="4"/>
      <c r="E2118" s="39"/>
      <c r="F2118" s="106"/>
      <c r="G2118" s="7"/>
      <c r="I2118" s="4"/>
    </row>
    <row r="2119" spans="3:9" x14ac:dyDescent="0.2">
      <c r="C2119" s="105"/>
      <c r="D2119" s="4"/>
      <c r="E2119" s="39"/>
      <c r="F2119" s="106"/>
      <c r="G2119" s="7"/>
      <c r="I2119" s="4"/>
    </row>
    <row r="2120" spans="3:9" x14ac:dyDescent="0.2">
      <c r="C2120" s="105"/>
      <c r="D2120" s="4"/>
      <c r="E2120" s="39"/>
      <c r="F2120" s="106"/>
      <c r="G2120" s="7"/>
      <c r="I2120" s="4"/>
    </row>
    <row r="2121" spans="3:9" x14ac:dyDescent="0.2">
      <c r="C2121" s="105"/>
      <c r="D2121" s="4"/>
      <c r="E2121" s="39"/>
      <c r="F2121" s="106"/>
      <c r="G2121" s="7"/>
      <c r="I2121" s="4"/>
    </row>
    <row r="2122" spans="3:9" x14ac:dyDescent="0.2">
      <c r="C2122" s="105"/>
      <c r="D2122" s="4"/>
      <c r="E2122" s="39"/>
      <c r="F2122" s="106"/>
      <c r="G2122" s="7"/>
      <c r="I2122" s="4"/>
    </row>
    <row r="2123" spans="3:9" x14ac:dyDescent="0.2">
      <c r="C2123" s="105"/>
      <c r="D2123" s="4"/>
      <c r="E2123" s="39"/>
      <c r="F2123" s="106"/>
      <c r="G2123" s="7"/>
      <c r="I2123" s="4"/>
    </row>
    <row r="2124" spans="3:9" x14ac:dyDescent="0.2">
      <c r="C2124" s="105"/>
      <c r="D2124" s="4"/>
      <c r="E2124" s="39"/>
      <c r="F2124" s="106"/>
      <c r="G2124" s="7"/>
      <c r="I2124" s="4"/>
    </row>
    <row r="2125" spans="3:9" x14ac:dyDescent="0.2">
      <c r="C2125" s="105"/>
      <c r="D2125" s="4"/>
      <c r="E2125" s="39"/>
      <c r="F2125" s="106"/>
      <c r="G2125" s="7"/>
      <c r="I2125" s="4"/>
    </row>
    <row r="2126" spans="3:9" x14ac:dyDescent="0.2">
      <c r="C2126" s="105"/>
      <c r="D2126" s="4"/>
      <c r="E2126" s="39"/>
      <c r="F2126" s="106"/>
      <c r="G2126" s="7"/>
      <c r="I2126" s="4"/>
    </row>
    <row r="2127" spans="3:9" x14ac:dyDescent="0.2">
      <c r="C2127" s="105"/>
      <c r="D2127" s="4"/>
      <c r="E2127" s="39"/>
      <c r="F2127" s="106"/>
      <c r="G2127" s="7"/>
      <c r="I2127" s="4"/>
    </row>
    <row r="2128" spans="3:9" x14ac:dyDescent="0.2">
      <c r="C2128" s="105"/>
      <c r="D2128" s="4"/>
      <c r="E2128" s="39"/>
      <c r="F2128" s="106"/>
      <c r="G2128" s="7"/>
    </row>
    <row r="2129" spans="3:7" x14ac:dyDescent="0.2">
      <c r="C2129" s="105"/>
      <c r="D2129" s="4"/>
      <c r="E2129" s="39"/>
      <c r="F2129" s="106"/>
      <c r="G2129" s="7"/>
    </row>
    <row r="2130" spans="3:7" x14ac:dyDescent="0.2">
      <c r="C2130" s="105"/>
      <c r="D2130" s="4"/>
      <c r="E2130" s="39"/>
      <c r="F2130" s="106"/>
      <c r="G2130" s="7"/>
    </row>
    <row r="2131" spans="3:7" x14ac:dyDescent="0.2">
      <c r="C2131" s="105"/>
      <c r="D2131" s="4"/>
      <c r="E2131" s="39"/>
      <c r="F2131" s="106"/>
      <c r="G2131" s="7"/>
    </row>
    <row r="2132" spans="3:7" x14ac:dyDescent="0.2">
      <c r="C2132" s="105"/>
      <c r="D2132" s="4"/>
      <c r="E2132" s="39"/>
      <c r="F2132" s="106"/>
      <c r="G2132" s="7"/>
    </row>
    <row r="2133" spans="3:7" x14ac:dyDescent="0.2">
      <c r="C2133" s="105"/>
      <c r="D2133" s="4"/>
      <c r="E2133" s="39"/>
      <c r="F2133" s="106"/>
      <c r="G2133" s="7"/>
    </row>
    <row r="2134" spans="3:7" x14ac:dyDescent="0.2">
      <c r="C2134" s="105"/>
      <c r="D2134" s="4"/>
      <c r="E2134" s="39"/>
      <c r="F2134" s="106"/>
      <c r="G2134" s="7"/>
    </row>
    <row r="2135" spans="3:7" x14ac:dyDescent="0.2">
      <c r="C2135" s="105"/>
      <c r="D2135" s="4"/>
      <c r="E2135" s="39"/>
      <c r="F2135" s="106"/>
      <c r="G2135" s="7"/>
    </row>
    <row r="2136" spans="3:7" x14ac:dyDescent="0.2">
      <c r="C2136" s="105"/>
      <c r="D2136" s="4"/>
      <c r="E2136" s="39"/>
      <c r="F2136" s="106"/>
      <c r="G2136" s="7"/>
    </row>
    <row r="2137" spans="3:7" x14ac:dyDescent="0.2">
      <c r="C2137" s="105"/>
      <c r="D2137" s="4"/>
      <c r="E2137" s="39"/>
      <c r="F2137" s="106"/>
      <c r="G2137" s="7"/>
    </row>
    <row r="2138" spans="3:7" x14ac:dyDescent="0.2">
      <c r="C2138" s="105"/>
      <c r="D2138" s="4"/>
      <c r="E2138" s="39"/>
      <c r="F2138" s="106"/>
      <c r="G2138" s="7"/>
    </row>
    <row r="2139" spans="3:7" x14ac:dyDescent="0.2">
      <c r="C2139" s="105"/>
      <c r="D2139" s="4"/>
      <c r="E2139" s="39"/>
      <c r="F2139" s="106"/>
      <c r="G2139" s="7"/>
    </row>
    <row r="2140" spans="3:7" x14ac:dyDescent="0.2">
      <c r="C2140" s="105"/>
      <c r="D2140" s="4"/>
      <c r="E2140" s="39"/>
      <c r="F2140" s="106"/>
      <c r="G2140" s="7"/>
    </row>
    <row r="2141" spans="3:7" x14ac:dyDescent="0.2">
      <c r="C2141" s="105"/>
      <c r="D2141" s="4"/>
      <c r="E2141" s="39"/>
      <c r="F2141" s="106"/>
      <c r="G2141" s="7"/>
    </row>
    <row r="2142" spans="3:7" x14ac:dyDescent="0.2">
      <c r="C2142" s="105"/>
      <c r="D2142" s="4"/>
      <c r="E2142" s="39"/>
      <c r="F2142" s="106"/>
      <c r="G2142" s="7"/>
    </row>
    <row r="2143" spans="3:7" x14ac:dyDescent="0.2">
      <c r="C2143" s="105"/>
      <c r="D2143" s="4"/>
      <c r="E2143" s="39"/>
      <c r="F2143" s="106"/>
      <c r="G2143" s="7"/>
    </row>
    <row r="2144" spans="3:7" x14ac:dyDescent="0.2">
      <c r="C2144" s="105"/>
      <c r="D2144" s="4"/>
      <c r="E2144" s="39"/>
      <c r="F2144" s="106"/>
      <c r="G2144" s="7"/>
    </row>
    <row r="2145" spans="3:7" x14ac:dyDescent="0.2">
      <c r="C2145" s="105"/>
      <c r="D2145" s="4"/>
      <c r="E2145" s="39"/>
      <c r="F2145" s="106"/>
      <c r="G2145" s="7"/>
    </row>
    <row r="2146" spans="3:7" x14ac:dyDescent="0.2">
      <c r="C2146" s="105"/>
      <c r="D2146" s="4"/>
      <c r="E2146" s="39"/>
      <c r="F2146" s="106"/>
      <c r="G2146" s="7"/>
    </row>
    <row r="2147" spans="3:7" x14ac:dyDescent="0.2">
      <c r="C2147" s="105"/>
      <c r="D2147" s="4"/>
      <c r="E2147" s="39"/>
      <c r="F2147" s="106"/>
      <c r="G2147" s="7"/>
    </row>
    <row r="2148" spans="3:7" x14ac:dyDescent="0.2">
      <c r="C2148" s="105"/>
      <c r="D2148" s="4"/>
      <c r="E2148" s="39"/>
      <c r="F2148" s="106"/>
      <c r="G2148" s="7"/>
    </row>
    <row r="2149" spans="3:7" x14ac:dyDescent="0.2">
      <c r="C2149" s="105"/>
      <c r="D2149" s="4"/>
      <c r="E2149" s="39"/>
      <c r="F2149" s="106"/>
      <c r="G2149" s="7"/>
    </row>
    <row r="2150" spans="3:7" x14ac:dyDescent="0.2">
      <c r="C2150" s="105"/>
      <c r="D2150" s="4"/>
      <c r="E2150" s="39"/>
      <c r="F2150" s="106"/>
      <c r="G2150" s="7"/>
    </row>
    <row r="2151" spans="3:7" x14ac:dyDescent="0.2">
      <c r="C2151" s="105"/>
      <c r="D2151" s="4"/>
      <c r="E2151" s="39"/>
      <c r="F2151" s="106"/>
      <c r="G2151" s="7"/>
    </row>
    <row r="2152" spans="3:7" x14ac:dyDescent="0.2">
      <c r="C2152" s="105"/>
      <c r="D2152" s="4"/>
      <c r="E2152" s="39"/>
      <c r="F2152" s="106"/>
      <c r="G2152" s="7"/>
    </row>
    <row r="2153" spans="3:7" x14ac:dyDescent="0.2">
      <c r="C2153" s="105"/>
      <c r="D2153" s="4"/>
      <c r="E2153" s="39"/>
      <c r="F2153" s="106"/>
      <c r="G2153" s="7"/>
    </row>
    <row r="2154" spans="3:7" x14ac:dyDescent="0.2">
      <c r="C2154" s="105"/>
      <c r="D2154" s="4"/>
      <c r="E2154" s="39"/>
      <c r="F2154" s="106"/>
      <c r="G2154" s="7"/>
    </row>
    <row r="2155" spans="3:7" x14ac:dyDescent="0.2">
      <c r="C2155" s="105"/>
      <c r="D2155" s="4"/>
      <c r="E2155" s="39"/>
      <c r="F2155" s="106"/>
      <c r="G2155" s="7"/>
    </row>
    <row r="2156" spans="3:7" x14ac:dyDescent="0.2">
      <c r="C2156" s="105"/>
      <c r="D2156" s="4"/>
      <c r="E2156" s="39"/>
      <c r="F2156" s="106"/>
      <c r="G2156" s="7"/>
    </row>
    <row r="2157" spans="3:7" x14ac:dyDescent="0.2">
      <c r="C2157" s="105"/>
      <c r="D2157" s="4"/>
      <c r="E2157" s="39"/>
      <c r="F2157" s="106"/>
      <c r="G2157" s="7"/>
    </row>
    <row r="2158" spans="3:7" x14ac:dyDescent="0.2">
      <c r="C2158" s="105"/>
      <c r="D2158" s="4"/>
      <c r="E2158" s="39"/>
      <c r="F2158" s="106"/>
      <c r="G2158" s="7"/>
    </row>
    <row r="2159" spans="3:7" x14ac:dyDescent="0.2">
      <c r="C2159" s="105"/>
      <c r="D2159" s="4"/>
      <c r="E2159" s="39"/>
      <c r="F2159" s="106"/>
      <c r="G2159" s="7"/>
    </row>
    <row r="2160" spans="3:7" x14ac:dyDescent="0.2">
      <c r="C2160" s="105"/>
      <c r="D2160" s="4"/>
      <c r="E2160" s="39"/>
      <c r="F2160" s="106"/>
      <c r="G2160" s="7"/>
    </row>
    <row r="2161" spans="3:7" x14ac:dyDescent="0.2">
      <c r="C2161" s="105"/>
      <c r="D2161" s="4"/>
      <c r="E2161" s="39"/>
      <c r="F2161" s="106"/>
      <c r="G2161" s="7"/>
    </row>
    <row r="2162" spans="3:7" x14ac:dyDescent="0.2">
      <c r="C2162" s="105"/>
      <c r="D2162" s="4"/>
      <c r="E2162" s="39"/>
      <c r="F2162" s="106"/>
      <c r="G2162" s="7"/>
    </row>
    <row r="2163" spans="3:7" x14ac:dyDescent="0.2">
      <c r="C2163" s="105"/>
      <c r="D2163" s="4"/>
      <c r="E2163" s="39"/>
      <c r="F2163" s="106"/>
      <c r="G2163" s="7"/>
    </row>
    <row r="2164" spans="3:7" x14ac:dyDescent="0.2">
      <c r="C2164" s="105"/>
      <c r="D2164" s="4"/>
      <c r="E2164" s="39"/>
      <c r="F2164" s="106"/>
      <c r="G2164" s="7"/>
    </row>
    <row r="2165" spans="3:7" x14ac:dyDescent="0.2">
      <c r="C2165" s="105"/>
      <c r="D2165" s="4"/>
      <c r="E2165" s="39"/>
      <c r="F2165" s="106"/>
      <c r="G2165" s="7"/>
    </row>
    <row r="2166" spans="3:7" x14ac:dyDescent="0.2">
      <c r="C2166" s="105"/>
      <c r="D2166" s="4"/>
      <c r="E2166" s="39"/>
      <c r="F2166" s="106"/>
      <c r="G2166" s="7"/>
    </row>
    <row r="2167" spans="3:7" x14ac:dyDescent="0.2">
      <c r="C2167" s="105"/>
      <c r="D2167" s="4"/>
      <c r="E2167" s="39"/>
      <c r="F2167" s="106"/>
      <c r="G2167" s="7"/>
    </row>
    <row r="2168" spans="3:7" x14ac:dyDescent="0.2">
      <c r="C2168" s="105"/>
      <c r="D2168" s="4"/>
      <c r="E2168" s="39"/>
      <c r="F2168" s="106"/>
      <c r="G2168" s="7"/>
    </row>
    <row r="2169" spans="3:7" x14ac:dyDescent="0.2">
      <c r="C2169" s="105"/>
      <c r="D2169" s="4"/>
      <c r="E2169" s="39"/>
      <c r="F2169" s="106"/>
      <c r="G2169" s="7"/>
    </row>
    <row r="2170" spans="3:7" x14ac:dyDescent="0.2">
      <c r="C2170" s="105"/>
      <c r="D2170" s="4"/>
      <c r="E2170" s="39"/>
      <c r="F2170" s="106"/>
      <c r="G2170" s="7"/>
    </row>
    <row r="2171" spans="3:7" x14ac:dyDescent="0.2">
      <c r="C2171" s="105"/>
      <c r="D2171" s="4"/>
      <c r="E2171" s="39"/>
      <c r="F2171" s="106"/>
      <c r="G2171" s="7"/>
    </row>
    <row r="2172" spans="3:7" x14ac:dyDescent="0.2">
      <c r="C2172" s="105"/>
      <c r="D2172" s="4"/>
      <c r="E2172" s="39"/>
      <c r="F2172" s="106"/>
      <c r="G2172" s="7"/>
    </row>
    <row r="2173" spans="3:7" x14ac:dyDescent="0.2">
      <c r="C2173" s="105"/>
      <c r="D2173" s="4"/>
      <c r="E2173" s="39"/>
      <c r="F2173" s="106"/>
      <c r="G2173" s="7"/>
    </row>
    <row r="2174" spans="3:7" x14ac:dyDescent="0.2">
      <c r="C2174" s="105"/>
      <c r="D2174" s="4"/>
      <c r="E2174" s="39"/>
      <c r="F2174" s="106"/>
      <c r="G2174" s="7"/>
    </row>
    <row r="2175" spans="3:7" x14ac:dyDescent="0.2">
      <c r="C2175" s="105"/>
      <c r="D2175" s="4"/>
      <c r="E2175" s="39"/>
      <c r="F2175" s="106"/>
      <c r="G2175" s="7"/>
    </row>
    <row r="2176" spans="3:7" x14ac:dyDescent="0.2">
      <c r="C2176" s="105"/>
      <c r="D2176" s="4"/>
      <c r="E2176" s="39"/>
      <c r="F2176" s="106"/>
      <c r="G2176" s="7"/>
    </row>
    <row r="2177" spans="3:7" x14ac:dyDescent="0.2">
      <c r="C2177" s="105"/>
      <c r="D2177" s="4"/>
      <c r="E2177" s="39"/>
      <c r="F2177" s="106"/>
      <c r="G2177" s="7"/>
    </row>
    <row r="2178" spans="3:7" x14ac:dyDescent="0.2">
      <c r="C2178" s="105"/>
      <c r="D2178" s="4"/>
      <c r="E2178" s="39"/>
      <c r="F2178" s="106"/>
      <c r="G2178" s="7"/>
    </row>
    <row r="2179" spans="3:7" x14ac:dyDescent="0.2">
      <c r="C2179" s="105"/>
      <c r="D2179" s="4"/>
      <c r="E2179" s="39"/>
      <c r="F2179" s="106"/>
      <c r="G2179" s="7"/>
    </row>
    <row r="2180" spans="3:7" x14ac:dyDescent="0.2">
      <c r="C2180" s="105"/>
      <c r="D2180" s="4"/>
      <c r="E2180" s="39"/>
      <c r="F2180" s="106"/>
      <c r="G2180" s="7"/>
    </row>
    <row r="2181" spans="3:7" x14ac:dyDescent="0.2">
      <c r="C2181" s="105"/>
      <c r="D2181" s="4"/>
      <c r="E2181" s="39"/>
      <c r="F2181" s="106"/>
      <c r="G2181" s="7"/>
    </row>
    <row r="2182" spans="3:7" x14ac:dyDescent="0.2">
      <c r="C2182" s="105"/>
      <c r="D2182" s="4"/>
      <c r="E2182" s="39"/>
      <c r="F2182" s="106"/>
      <c r="G2182" s="7"/>
    </row>
    <row r="2183" spans="3:7" x14ac:dyDescent="0.2">
      <c r="C2183" s="105"/>
      <c r="D2183" s="4"/>
      <c r="E2183" s="39"/>
      <c r="F2183" s="106"/>
      <c r="G2183" s="7"/>
    </row>
    <row r="2184" spans="3:7" x14ac:dyDescent="0.2">
      <c r="C2184" s="105"/>
      <c r="D2184" s="4"/>
      <c r="E2184" s="39"/>
      <c r="F2184" s="106"/>
      <c r="G2184" s="7"/>
    </row>
    <row r="2185" spans="3:7" x14ac:dyDescent="0.2">
      <c r="C2185" s="105"/>
      <c r="D2185" s="4"/>
      <c r="E2185" s="39"/>
      <c r="F2185" s="106"/>
      <c r="G2185" s="7"/>
    </row>
    <row r="2186" spans="3:7" x14ac:dyDescent="0.2">
      <c r="C2186" s="105"/>
      <c r="D2186" s="4"/>
      <c r="E2186" s="39"/>
      <c r="F2186" s="106"/>
      <c r="G2186" s="7"/>
    </row>
    <row r="2187" spans="3:7" x14ac:dyDescent="0.2">
      <c r="C2187" s="105"/>
      <c r="D2187" s="4"/>
      <c r="E2187" s="39"/>
      <c r="F2187" s="106"/>
      <c r="G2187" s="7"/>
    </row>
    <row r="2188" spans="3:7" x14ac:dyDescent="0.2">
      <c r="C2188" s="105"/>
      <c r="D2188" s="4"/>
      <c r="E2188" s="39"/>
      <c r="F2188" s="106"/>
      <c r="G2188" s="7"/>
    </row>
    <row r="2189" spans="3:7" x14ac:dyDescent="0.2">
      <c r="C2189" s="105"/>
      <c r="D2189" s="4"/>
      <c r="E2189" s="39"/>
      <c r="F2189" s="106"/>
      <c r="G2189" s="7"/>
    </row>
    <row r="2190" spans="3:7" x14ac:dyDescent="0.2">
      <c r="C2190" s="105"/>
      <c r="D2190" s="4"/>
      <c r="E2190" s="39"/>
      <c r="F2190" s="106"/>
      <c r="G2190" s="7"/>
    </row>
    <row r="2191" spans="3:7" x14ac:dyDescent="0.2">
      <c r="C2191" s="105"/>
      <c r="D2191" s="4"/>
      <c r="E2191" s="39"/>
      <c r="F2191" s="106"/>
      <c r="G2191" s="7"/>
    </row>
    <row r="2192" spans="3:7" x14ac:dyDescent="0.2">
      <c r="C2192" s="105"/>
      <c r="D2192" s="4"/>
      <c r="E2192" s="39"/>
      <c r="F2192" s="106"/>
      <c r="G2192" s="7"/>
    </row>
    <row r="2193" spans="3:7" x14ac:dyDescent="0.2">
      <c r="C2193" s="105"/>
      <c r="D2193" s="4"/>
      <c r="E2193" s="39"/>
      <c r="F2193" s="106"/>
      <c r="G2193" s="7"/>
    </row>
    <row r="2194" spans="3:7" x14ac:dyDescent="0.2">
      <c r="C2194" s="105"/>
      <c r="D2194" s="4"/>
      <c r="E2194" s="39"/>
      <c r="F2194" s="106"/>
      <c r="G2194" s="7"/>
    </row>
    <row r="2195" spans="3:7" x14ac:dyDescent="0.2">
      <c r="C2195" s="105"/>
      <c r="D2195" s="4"/>
      <c r="E2195" s="39"/>
      <c r="F2195" s="106"/>
      <c r="G2195" s="7"/>
    </row>
    <row r="2196" spans="3:7" x14ac:dyDescent="0.2">
      <c r="C2196" s="105"/>
      <c r="D2196" s="4"/>
      <c r="E2196" s="39"/>
      <c r="F2196" s="106"/>
      <c r="G2196" s="7"/>
    </row>
    <row r="2197" spans="3:7" x14ac:dyDescent="0.2">
      <c r="C2197" s="105"/>
      <c r="D2197" s="4"/>
      <c r="E2197" s="39"/>
      <c r="F2197" s="106"/>
      <c r="G2197" s="7"/>
    </row>
    <row r="2198" spans="3:7" x14ac:dyDescent="0.2">
      <c r="C2198" s="105"/>
      <c r="D2198" s="4"/>
      <c r="E2198" s="39"/>
      <c r="F2198" s="106"/>
      <c r="G2198" s="7"/>
    </row>
    <row r="2199" spans="3:7" x14ac:dyDescent="0.2">
      <c r="C2199" s="105"/>
      <c r="D2199" s="4"/>
      <c r="E2199" s="39"/>
      <c r="F2199" s="106"/>
      <c r="G2199" s="7"/>
    </row>
    <row r="2200" spans="3:7" x14ac:dyDescent="0.2">
      <c r="C2200" s="105"/>
      <c r="D2200" s="4"/>
      <c r="E2200" s="39"/>
      <c r="F2200" s="106"/>
      <c r="G2200" s="7"/>
    </row>
    <row r="2201" spans="3:7" x14ac:dyDescent="0.2">
      <c r="C2201" s="105"/>
      <c r="D2201" s="4"/>
      <c r="E2201" s="39"/>
      <c r="F2201" s="106"/>
      <c r="G2201" s="7"/>
    </row>
    <row r="2202" spans="3:7" x14ac:dyDescent="0.2">
      <c r="C2202" s="105"/>
      <c r="D2202" s="4"/>
      <c r="E2202" s="39"/>
      <c r="F2202" s="106"/>
      <c r="G2202" s="7"/>
    </row>
    <row r="2203" spans="3:7" x14ac:dyDescent="0.2">
      <c r="C2203" s="105"/>
      <c r="D2203" s="4"/>
      <c r="E2203" s="39"/>
      <c r="F2203" s="106"/>
      <c r="G2203" s="7"/>
    </row>
    <row r="2204" spans="3:7" x14ac:dyDescent="0.2">
      <c r="C2204" s="105"/>
      <c r="D2204" s="4"/>
      <c r="E2204" s="39"/>
      <c r="F2204" s="106"/>
      <c r="G2204" s="7"/>
    </row>
    <row r="2205" spans="3:7" x14ac:dyDescent="0.2">
      <c r="C2205" s="105"/>
      <c r="D2205" s="4"/>
      <c r="E2205" s="39"/>
      <c r="F2205" s="106"/>
      <c r="G2205" s="7"/>
    </row>
    <row r="2206" spans="3:7" x14ac:dyDescent="0.2">
      <c r="C2206" s="105"/>
      <c r="D2206" s="4"/>
      <c r="E2206" s="39"/>
      <c r="F2206" s="106"/>
      <c r="G2206" s="7"/>
    </row>
    <row r="2207" spans="3:7" x14ac:dyDescent="0.2">
      <c r="C2207" s="105"/>
      <c r="D2207" s="4"/>
      <c r="E2207" s="39"/>
      <c r="F2207" s="106"/>
      <c r="G2207" s="7"/>
    </row>
    <row r="2208" spans="3:7" x14ac:dyDescent="0.2">
      <c r="C2208" s="105"/>
      <c r="D2208" s="4"/>
      <c r="E2208" s="39"/>
      <c r="F2208" s="106"/>
      <c r="G2208" s="7"/>
    </row>
    <row r="2209" spans="3:7" x14ac:dyDescent="0.2">
      <c r="C2209" s="105"/>
      <c r="D2209" s="4"/>
      <c r="E2209" s="39"/>
      <c r="F2209" s="106"/>
      <c r="G2209" s="7"/>
    </row>
    <row r="2210" spans="3:7" x14ac:dyDescent="0.2">
      <c r="C2210" s="105"/>
      <c r="D2210" s="4"/>
      <c r="E2210" s="39"/>
      <c r="F2210" s="106"/>
      <c r="G2210" s="7"/>
    </row>
    <row r="2211" spans="3:7" x14ac:dyDescent="0.2">
      <c r="C2211" s="105"/>
      <c r="D2211" s="4"/>
      <c r="E2211" s="39"/>
      <c r="F2211" s="106"/>
      <c r="G2211" s="7"/>
    </row>
    <row r="2212" spans="3:7" x14ac:dyDescent="0.2">
      <c r="C2212" s="105"/>
      <c r="D2212" s="4"/>
      <c r="E2212" s="39"/>
      <c r="F2212" s="106"/>
      <c r="G2212" s="7"/>
    </row>
    <row r="2213" spans="3:7" x14ac:dyDescent="0.2">
      <c r="C2213" s="105"/>
      <c r="D2213" s="4"/>
      <c r="E2213" s="39"/>
      <c r="F2213" s="106"/>
      <c r="G2213" s="7"/>
    </row>
    <row r="2214" spans="3:7" x14ac:dyDescent="0.2">
      <c r="C2214" s="105"/>
      <c r="D2214" s="4"/>
      <c r="E2214" s="39"/>
      <c r="F2214" s="106"/>
      <c r="G2214" s="7"/>
    </row>
    <row r="2215" spans="3:7" x14ac:dyDescent="0.2">
      <c r="C2215" s="105"/>
      <c r="D2215" s="4"/>
      <c r="E2215" s="39"/>
      <c r="F2215" s="106"/>
      <c r="G2215" s="7"/>
    </row>
    <row r="2216" spans="3:7" x14ac:dyDescent="0.2">
      <c r="C2216" s="105"/>
      <c r="D2216" s="4"/>
      <c r="E2216" s="39"/>
      <c r="F2216" s="106"/>
      <c r="G2216" s="7"/>
    </row>
    <row r="2217" spans="3:7" x14ac:dyDescent="0.2">
      <c r="C2217" s="105"/>
      <c r="D2217" s="4"/>
      <c r="E2217" s="39"/>
      <c r="F2217" s="106"/>
      <c r="G2217" s="7"/>
    </row>
    <row r="2218" spans="3:7" x14ac:dyDescent="0.2">
      <c r="C2218" s="105"/>
      <c r="D2218" s="4"/>
      <c r="E2218" s="39"/>
      <c r="F2218" s="106"/>
      <c r="G2218" s="7"/>
    </row>
    <row r="2219" spans="3:7" x14ac:dyDescent="0.2">
      <c r="C2219" s="105"/>
      <c r="D2219" s="4"/>
      <c r="E2219" s="39"/>
      <c r="F2219" s="106"/>
      <c r="G2219" s="7"/>
    </row>
    <row r="2220" spans="3:7" x14ac:dyDescent="0.2">
      <c r="C2220" s="105"/>
      <c r="D2220" s="4"/>
      <c r="E2220" s="39"/>
      <c r="F2220" s="106"/>
      <c r="G2220" s="7"/>
    </row>
    <row r="2221" spans="3:7" x14ac:dyDescent="0.2">
      <c r="C2221" s="105"/>
      <c r="D2221" s="4"/>
      <c r="E2221" s="39"/>
      <c r="F2221" s="106"/>
      <c r="G2221" s="7"/>
    </row>
    <row r="2222" spans="3:7" x14ac:dyDescent="0.2">
      <c r="C2222" s="105"/>
      <c r="D2222" s="4"/>
      <c r="E2222" s="39"/>
      <c r="F2222" s="106"/>
      <c r="G2222" s="7"/>
    </row>
    <row r="2223" spans="3:7" x14ac:dyDescent="0.2">
      <c r="C2223" s="105"/>
      <c r="D2223" s="4"/>
      <c r="E2223" s="39"/>
      <c r="F2223" s="106"/>
      <c r="G2223" s="7"/>
    </row>
    <row r="2224" spans="3:7" x14ac:dyDescent="0.2">
      <c r="C2224" s="105"/>
      <c r="D2224" s="4"/>
      <c r="E2224" s="39"/>
      <c r="F2224" s="106"/>
      <c r="G2224" s="7"/>
    </row>
    <row r="2225" spans="3:7" x14ac:dyDescent="0.2">
      <c r="C2225" s="105"/>
      <c r="D2225" s="4"/>
      <c r="E2225" s="39"/>
      <c r="F2225" s="106"/>
      <c r="G2225" s="7"/>
    </row>
    <row r="2226" spans="3:7" x14ac:dyDescent="0.2">
      <c r="C2226" s="105"/>
      <c r="D2226" s="4"/>
      <c r="E2226" s="39"/>
      <c r="F2226" s="106"/>
      <c r="G2226" s="7"/>
    </row>
    <row r="2227" spans="3:7" x14ac:dyDescent="0.2">
      <c r="C2227" s="105"/>
      <c r="D2227" s="4"/>
      <c r="E2227" s="39"/>
      <c r="F2227" s="106"/>
      <c r="G2227" s="7"/>
    </row>
    <row r="2228" spans="3:7" x14ac:dyDescent="0.2">
      <c r="C2228" s="105"/>
      <c r="D2228" s="4"/>
      <c r="E2228" s="39"/>
      <c r="F2228" s="106"/>
      <c r="G2228" s="7"/>
    </row>
    <row r="2229" spans="3:7" x14ac:dyDescent="0.2">
      <c r="C2229" s="105"/>
      <c r="D2229" s="4"/>
      <c r="E2229" s="39"/>
      <c r="F2229" s="106"/>
      <c r="G2229" s="7"/>
    </row>
    <row r="2230" spans="3:7" x14ac:dyDescent="0.2">
      <c r="C2230" s="105"/>
      <c r="D2230" s="4"/>
      <c r="E2230" s="39"/>
      <c r="F2230" s="106"/>
      <c r="G2230" s="7"/>
    </row>
    <row r="2231" spans="3:7" x14ac:dyDescent="0.2">
      <c r="C2231" s="105"/>
      <c r="D2231" s="4"/>
      <c r="E2231" s="39"/>
      <c r="F2231" s="106"/>
      <c r="G2231" s="7"/>
    </row>
    <row r="2232" spans="3:7" x14ac:dyDescent="0.2">
      <c r="C2232" s="105"/>
      <c r="D2232" s="4"/>
      <c r="E2232" s="39"/>
      <c r="F2232" s="106"/>
      <c r="G2232" s="7"/>
    </row>
    <row r="2233" spans="3:7" x14ac:dyDescent="0.2">
      <c r="C2233" s="105"/>
      <c r="D2233" s="4"/>
      <c r="E2233" s="39"/>
      <c r="F2233" s="106"/>
      <c r="G2233" s="7"/>
    </row>
    <row r="2234" spans="3:7" x14ac:dyDescent="0.2">
      <c r="C2234" s="105"/>
      <c r="D2234" s="4"/>
      <c r="E2234" s="39"/>
      <c r="F2234" s="106"/>
      <c r="G2234" s="7"/>
    </row>
    <row r="2235" spans="3:7" x14ac:dyDescent="0.2">
      <c r="C2235" s="105"/>
      <c r="D2235" s="4"/>
      <c r="E2235" s="39"/>
      <c r="F2235" s="106"/>
      <c r="G2235" s="7"/>
    </row>
    <row r="2236" spans="3:7" x14ac:dyDescent="0.2">
      <c r="C2236" s="105"/>
      <c r="D2236" s="4"/>
      <c r="E2236" s="39"/>
      <c r="F2236" s="106"/>
      <c r="G2236" s="7"/>
    </row>
    <row r="2237" spans="3:7" x14ac:dyDescent="0.2">
      <c r="C2237" s="105"/>
      <c r="D2237" s="4"/>
      <c r="E2237" s="39"/>
      <c r="F2237" s="106"/>
      <c r="G2237" s="7"/>
    </row>
    <row r="2238" spans="3:7" x14ac:dyDescent="0.2">
      <c r="C2238" s="105"/>
      <c r="D2238" s="4"/>
      <c r="E2238" s="39"/>
      <c r="F2238" s="106"/>
      <c r="G2238" s="7"/>
    </row>
    <row r="2239" spans="3:7" x14ac:dyDescent="0.2">
      <c r="C2239" s="105"/>
      <c r="D2239" s="4"/>
      <c r="E2239" s="39"/>
      <c r="F2239" s="106"/>
      <c r="G2239" s="7"/>
    </row>
    <row r="2240" spans="3:7" x14ac:dyDescent="0.2">
      <c r="C2240" s="105"/>
      <c r="D2240" s="4"/>
      <c r="E2240" s="39"/>
      <c r="F2240" s="106"/>
      <c r="G2240" s="7"/>
    </row>
    <row r="2241" spans="3:7" x14ac:dyDescent="0.2">
      <c r="C2241" s="105"/>
      <c r="D2241" s="4"/>
      <c r="E2241" s="39"/>
      <c r="F2241" s="106"/>
      <c r="G2241" s="7"/>
    </row>
    <row r="2242" spans="3:7" x14ac:dyDescent="0.2">
      <c r="C2242" s="105"/>
      <c r="D2242" s="4"/>
      <c r="E2242" s="39"/>
      <c r="F2242" s="106"/>
      <c r="G2242" s="7"/>
    </row>
    <row r="2243" spans="3:7" x14ac:dyDescent="0.2">
      <c r="C2243" s="105"/>
      <c r="D2243" s="4"/>
      <c r="E2243" s="39"/>
      <c r="F2243" s="106"/>
      <c r="G2243" s="7"/>
    </row>
    <row r="2244" spans="3:7" x14ac:dyDescent="0.2">
      <c r="C2244" s="105"/>
      <c r="D2244" s="4"/>
      <c r="E2244" s="39"/>
      <c r="F2244" s="106"/>
      <c r="G2244" s="7"/>
    </row>
    <row r="2245" spans="3:7" x14ac:dyDescent="0.2">
      <c r="C2245" s="105"/>
      <c r="D2245" s="4"/>
      <c r="E2245" s="39"/>
      <c r="F2245" s="106"/>
      <c r="G2245" s="7"/>
    </row>
    <row r="2246" spans="3:7" x14ac:dyDescent="0.2">
      <c r="C2246" s="105"/>
      <c r="D2246" s="4"/>
      <c r="E2246" s="39"/>
      <c r="F2246" s="106"/>
      <c r="G2246" s="7"/>
    </row>
    <row r="2247" spans="3:7" x14ac:dyDescent="0.2">
      <c r="C2247" s="105"/>
      <c r="D2247" s="4"/>
      <c r="E2247" s="39"/>
      <c r="F2247" s="106"/>
      <c r="G2247" s="7"/>
    </row>
    <row r="2248" spans="3:7" x14ac:dyDescent="0.2">
      <c r="C2248" s="105"/>
      <c r="D2248" s="4"/>
      <c r="E2248" s="39"/>
      <c r="F2248" s="106"/>
      <c r="G2248" s="7"/>
    </row>
    <row r="2249" spans="3:7" x14ac:dyDescent="0.2">
      <c r="C2249" s="105"/>
      <c r="D2249" s="4"/>
      <c r="E2249" s="39"/>
      <c r="F2249" s="106"/>
      <c r="G2249" s="7"/>
    </row>
    <row r="2250" spans="3:7" x14ac:dyDescent="0.2">
      <c r="C2250" s="105"/>
      <c r="D2250" s="4"/>
      <c r="E2250" s="39"/>
      <c r="F2250" s="106"/>
      <c r="G2250" s="7"/>
    </row>
    <row r="2251" spans="3:7" x14ac:dyDescent="0.2">
      <c r="C2251" s="105"/>
      <c r="D2251" s="4"/>
      <c r="E2251" s="39"/>
      <c r="F2251" s="106"/>
      <c r="G2251" s="7"/>
    </row>
    <row r="2252" spans="3:7" x14ac:dyDescent="0.2">
      <c r="C2252" s="105"/>
      <c r="D2252" s="4"/>
      <c r="E2252" s="39"/>
      <c r="F2252" s="106"/>
      <c r="G2252" s="7"/>
    </row>
    <row r="2253" spans="3:7" x14ac:dyDescent="0.2">
      <c r="C2253" s="105"/>
      <c r="D2253" s="4"/>
      <c r="E2253" s="39"/>
      <c r="F2253" s="106"/>
      <c r="G2253" s="7"/>
    </row>
    <row r="2254" spans="3:7" x14ac:dyDescent="0.2">
      <c r="C2254" s="105"/>
      <c r="D2254" s="4"/>
      <c r="E2254" s="39"/>
      <c r="F2254" s="106"/>
      <c r="G2254" s="7"/>
    </row>
    <row r="2255" spans="3:7" x14ac:dyDescent="0.2">
      <c r="C2255" s="105"/>
      <c r="D2255" s="4"/>
      <c r="E2255" s="39"/>
      <c r="F2255" s="106"/>
      <c r="G2255" s="7"/>
    </row>
    <row r="2256" spans="3:7" x14ac:dyDescent="0.2">
      <c r="C2256" s="105"/>
      <c r="D2256" s="4"/>
      <c r="E2256" s="39"/>
      <c r="F2256" s="106"/>
      <c r="G2256" s="7"/>
    </row>
    <row r="2257" spans="3:7" x14ac:dyDescent="0.2">
      <c r="C2257" s="105"/>
      <c r="D2257" s="4"/>
      <c r="E2257" s="39"/>
      <c r="F2257" s="106"/>
      <c r="G2257" s="7"/>
    </row>
    <row r="2258" spans="3:7" x14ac:dyDescent="0.2">
      <c r="C2258" s="105"/>
      <c r="D2258" s="4"/>
      <c r="E2258" s="39"/>
      <c r="F2258" s="106"/>
      <c r="G2258" s="7"/>
    </row>
    <row r="2259" spans="3:7" x14ac:dyDescent="0.2">
      <c r="C2259" s="105"/>
      <c r="D2259" s="4"/>
      <c r="E2259" s="39"/>
      <c r="F2259" s="106"/>
      <c r="G2259" s="7"/>
    </row>
    <row r="2260" spans="3:7" x14ac:dyDescent="0.2">
      <c r="C2260" s="105"/>
      <c r="D2260" s="4"/>
      <c r="E2260" s="39"/>
      <c r="F2260" s="106"/>
      <c r="G2260" s="7"/>
    </row>
    <row r="2261" spans="3:7" x14ac:dyDescent="0.2">
      <c r="C2261" s="105"/>
      <c r="D2261" s="4"/>
      <c r="E2261" s="39"/>
      <c r="F2261" s="106"/>
      <c r="G2261" s="7"/>
    </row>
    <row r="2262" spans="3:7" x14ac:dyDescent="0.2">
      <c r="C2262" s="105"/>
      <c r="D2262" s="4"/>
      <c r="E2262" s="39"/>
      <c r="F2262" s="106"/>
      <c r="G2262" s="7"/>
    </row>
    <row r="2263" spans="3:7" x14ac:dyDescent="0.2">
      <c r="C2263" s="105"/>
      <c r="D2263" s="4"/>
      <c r="E2263" s="39"/>
      <c r="F2263" s="106"/>
      <c r="G2263" s="7"/>
    </row>
    <row r="2264" spans="3:7" x14ac:dyDescent="0.2">
      <c r="C2264" s="105"/>
      <c r="D2264" s="4"/>
      <c r="E2264" s="39"/>
      <c r="F2264" s="106"/>
      <c r="G2264" s="7"/>
    </row>
    <row r="2265" spans="3:7" x14ac:dyDescent="0.2">
      <c r="C2265" s="105"/>
      <c r="D2265" s="4"/>
      <c r="E2265" s="39"/>
      <c r="F2265" s="106"/>
      <c r="G2265" s="7"/>
    </row>
    <row r="2266" spans="3:7" x14ac:dyDescent="0.2">
      <c r="C2266" s="105"/>
      <c r="D2266" s="4"/>
      <c r="E2266" s="39"/>
      <c r="F2266" s="106"/>
      <c r="G2266" s="7"/>
    </row>
    <row r="2267" spans="3:7" x14ac:dyDescent="0.2">
      <c r="C2267" s="105"/>
      <c r="D2267" s="4"/>
      <c r="E2267" s="39"/>
      <c r="F2267" s="106"/>
      <c r="G2267" s="7"/>
    </row>
    <row r="2268" spans="3:7" x14ac:dyDescent="0.2">
      <c r="C2268" s="105"/>
      <c r="D2268" s="4"/>
      <c r="E2268" s="39"/>
      <c r="F2268" s="106"/>
      <c r="G2268" s="7"/>
    </row>
    <row r="2269" spans="3:7" x14ac:dyDescent="0.2">
      <c r="C2269" s="105"/>
      <c r="D2269" s="4"/>
      <c r="E2269" s="39"/>
      <c r="F2269" s="106"/>
      <c r="G2269" s="7"/>
    </row>
    <row r="2270" spans="3:7" x14ac:dyDescent="0.2">
      <c r="C2270" s="105"/>
      <c r="D2270" s="4"/>
      <c r="E2270" s="39"/>
      <c r="F2270" s="106"/>
      <c r="G2270" s="7"/>
    </row>
    <row r="2271" spans="3:7" x14ac:dyDescent="0.2">
      <c r="C2271" s="105"/>
      <c r="D2271" s="4"/>
      <c r="E2271" s="39"/>
      <c r="F2271" s="106"/>
      <c r="G2271" s="7"/>
    </row>
    <row r="2272" spans="3:7" x14ac:dyDescent="0.2">
      <c r="C2272" s="105"/>
      <c r="D2272" s="4"/>
      <c r="E2272" s="39"/>
      <c r="F2272" s="106"/>
      <c r="G2272" s="7"/>
    </row>
    <row r="2273" spans="3:7" x14ac:dyDescent="0.2">
      <c r="C2273" s="105"/>
      <c r="D2273" s="4"/>
      <c r="E2273" s="39"/>
      <c r="F2273" s="106"/>
      <c r="G2273" s="7"/>
    </row>
    <row r="2274" spans="3:7" x14ac:dyDescent="0.2">
      <c r="C2274" s="105"/>
      <c r="D2274" s="4"/>
      <c r="E2274" s="39"/>
      <c r="F2274" s="106"/>
      <c r="G2274" s="7"/>
    </row>
    <row r="2275" spans="3:7" x14ac:dyDescent="0.2">
      <c r="C2275" s="105"/>
      <c r="D2275" s="4"/>
      <c r="E2275" s="39"/>
      <c r="F2275" s="106"/>
      <c r="G2275" s="7"/>
    </row>
    <row r="2276" spans="3:7" x14ac:dyDescent="0.2">
      <c r="C2276" s="105"/>
      <c r="D2276" s="4"/>
      <c r="E2276" s="39"/>
      <c r="F2276" s="106"/>
      <c r="G2276" s="7"/>
    </row>
    <row r="2277" spans="3:7" x14ac:dyDescent="0.2">
      <c r="C2277" s="105"/>
      <c r="D2277" s="4"/>
      <c r="E2277" s="39"/>
      <c r="F2277" s="106"/>
      <c r="G2277" s="7"/>
    </row>
    <row r="2278" spans="3:7" x14ac:dyDescent="0.2">
      <c r="C2278" s="105"/>
      <c r="D2278" s="4"/>
      <c r="E2278" s="39"/>
      <c r="F2278" s="106"/>
      <c r="G2278" s="7"/>
    </row>
    <row r="2279" spans="3:7" x14ac:dyDescent="0.2">
      <c r="C2279" s="105"/>
      <c r="D2279" s="4"/>
      <c r="E2279" s="39"/>
      <c r="F2279" s="106"/>
      <c r="G2279" s="7"/>
    </row>
    <row r="2280" spans="3:7" x14ac:dyDescent="0.2">
      <c r="C2280" s="105"/>
      <c r="D2280" s="4"/>
      <c r="E2280" s="39"/>
      <c r="F2280" s="106"/>
      <c r="G2280" s="7"/>
    </row>
    <row r="2281" spans="3:7" x14ac:dyDescent="0.2">
      <c r="C2281" s="105"/>
      <c r="D2281" s="4"/>
      <c r="E2281" s="39"/>
      <c r="F2281" s="106"/>
      <c r="G2281" s="7"/>
    </row>
    <row r="2282" spans="3:7" x14ac:dyDescent="0.2">
      <c r="C2282" s="105"/>
      <c r="D2282" s="4"/>
      <c r="E2282" s="39"/>
      <c r="F2282" s="106"/>
      <c r="G2282" s="7"/>
    </row>
    <row r="2283" spans="3:7" x14ac:dyDescent="0.2">
      <c r="C2283" s="105"/>
      <c r="D2283" s="4"/>
      <c r="E2283" s="39"/>
      <c r="F2283" s="106"/>
      <c r="G2283" s="7"/>
    </row>
    <row r="2284" spans="3:7" x14ac:dyDescent="0.2">
      <c r="C2284" s="105"/>
      <c r="D2284" s="4"/>
      <c r="E2284" s="39"/>
      <c r="F2284" s="106"/>
      <c r="G2284" s="7"/>
    </row>
    <row r="2285" spans="3:7" x14ac:dyDescent="0.2">
      <c r="C2285" s="105"/>
      <c r="D2285" s="4"/>
      <c r="E2285" s="39"/>
      <c r="F2285" s="106"/>
      <c r="G2285" s="7"/>
    </row>
    <row r="2286" spans="3:7" x14ac:dyDescent="0.2">
      <c r="C2286" s="105"/>
      <c r="D2286" s="4"/>
      <c r="E2286" s="39"/>
      <c r="F2286" s="106"/>
      <c r="G2286" s="7"/>
    </row>
    <row r="2287" spans="3:7" x14ac:dyDescent="0.2">
      <c r="C2287" s="105"/>
      <c r="D2287" s="4"/>
      <c r="E2287" s="39"/>
      <c r="F2287" s="106"/>
      <c r="G2287" s="7"/>
    </row>
    <row r="2288" spans="3:7" x14ac:dyDescent="0.2">
      <c r="C2288" s="105"/>
      <c r="D2288" s="4"/>
      <c r="E2288" s="39"/>
      <c r="F2288" s="106"/>
      <c r="G2288" s="7"/>
    </row>
    <row r="2289" spans="3:7" x14ac:dyDescent="0.2">
      <c r="C2289" s="105"/>
      <c r="D2289" s="4"/>
      <c r="E2289" s="39"/>
      <c r="F2289" s="106"/>
      <c r="G2289" s="7"/>
    </row>
    <row r="2290" spans="3:7" x14ac:dyDescent="0.2">
      <c r="C2290" s="105"/>
      <c r="D2290" s="4"/>
      <c r="E2290" s="39"/>
      <c r="F2290" s="106"/>
      <c r="G2290" s="7"/>
    </row>
    <row r="2291" spans="3:7" x14ac:dyDescent="0.2">
      <c r="C2291" s="105"/>
      <c r="D2291" s="4"/>
      <c r="E2291" s="39"/>
      <c r="F2291" s="106"/>
      <c r="G2291" s="7"/>
    </row>
    <row r="2292" spans="3:7" x14ac:dyDescent="0.2">
      <c r="C2292" s="105"/>
      <c r="D2292" s="4"/>
      <c r="E2292" s="39"/>
      <c r="F2292" s="106"/>
      <c r="G2292" s="7"/>
    </row>
    <row r="2293" spans="3:7" x14ac:dyDescent="0.2">
      <c r="C2293" s="105"/>
      <c r="D2293" s="4"/>
      <c r="E2293" s="39"/>
      <c r="F2293" s="106"/>
      <c r="G2293" s="7"/>
    </row>
    <row r="2294" spans="3:7" x14ac:dyDescent="0.2">
      <c r="C2294" s="105"/>
      <c r="D2294" s="4"/>
      <c r="E2294" s="39"/>
      <c r="F2294" s="106"/>
      <c r="G2294" s="7"/>
    </row>
    <row r="2295" spans="3:7" x14ac:dyDescent="0.2">
      <c r="C2295" s="105"/>
      <c r="D2295" s="4"/>
      <c r="E2295" s="39"/>
      <c r="F2295" s="106"/>
      <c r="G2295" s="7"/>
    </row>
    <row r="2296" spans="3:7" x14ac:dyDescent="0.2">
      <c r="C2296" s="105"/>
      <c r="D2296" s="4"/>
      <c r="E2296" s="39"/>
      <c r="F2296" s="106"/>
      <c r="G2296" s="7"/>
    </row>
    <row r="2297" spans="3:7" x14ac:dyDescent="0.2">
      <c r="C2297" s="105"/>
      <c r="D2297" s="4"/>
      <c r="E2297" s="39"/>
      <c r="F2297" s="106"/>
      <c r="G2297" s="7"/>
    </row>
    <row r="2298" spans="3:7" x14ac:dyDescent="0.2">
      <c r="C2298" s="105"/>
      <c r="D2298" s="4"/>
      <c r="E2298" s="39"/>
      <c r="F2298" s="106"/>
      <c r="G2298" s="7"/>
    </row>
    <row r="2299" spans="3:7" x14ac:dyDescent="0.2">
      <c r="C2299" s="105"/>
      <c r="D2299" s="4"/>
      <c r="E2299" s="39"/>
      <c r="F2299" s="106"/>
      <c r="G2299" s="7"/>
    </row>
    <row r="2300" spans="3:7" x14ac:dyDescent="0.2">
      <c r="C2300" s="105"/>
      <c r="D2300" s="4"/>
      <c r="E2300" s="39"/>
      <c r="F2300" s="106"/>
      <c r="G2300" s="7"/>
    </row>
    <row r="2301" spans="3:7" x14ac:dyDescent="0.2">
      <c r="C2301" s="105"/>
      <c r="D2301" s="4"/>
      <c r="E2301" s="39"/>
      <c r="F2301" s="106"/>
      <c r="G2301" s="7"/>
    </row>
    <row r="2302" spans="3:7" x14ac:dyDescent="0.2">
      <c r="C2302" s="105"/>
      <c r="D2302" s="4"/>
      <c r="E2302" s="39"/>
      <c r="F2302" s="106"/>
      <c r="G2302" s="7"/>
    </row>
    <row r="2303" spans="3:7" x14ac:dyDescent="0.2">
      <c r="C2303" s="105"/>
      <c r="D2303" s="4"/>
      <c r="E2303" s="39"/>
      <c r="F2303" s="106"/>
      <c r="G2303" s="7"/>
    </row>
    <row r="2304" spans="3:7" x14ac:dyDescent="0.2">
      <c r="C2304" s="105"/>
      <c r="D2304" s="4"/>
      <c r="E2304" s="39"/>
      <c r="F2304" s="106"/>
      <c r="G2304" s="7"/>
    </row>
    <row r="2305" spans="3:7" x14ac:dyDescent="0.2">
      <c r="C2305" s="105"/>
      <c r="D2305" s="4"/>
      <c r="E2305" s="39"/>
      <c r="F2305" s="106"/>
      <c r="G2305" s="7"/>
    </row>
    <row r="2306" spans="3:7" x14ac:dyDescent="0.2">
      <c r="C2306" s="105"/>
      <c r="D2306" s="4"/>
      <c r="E2306" s="39"/>
      <c r="F2306" s="106"/>
      <c r="G2306" s="7"/>
    </row>
    <row r="2307" spans="3:7" x14ac:dyDescent="0.2">
      <c r="C2307" s="105"/>
      <c r="D2307" s="4"/>
      <c r="E2307" s="39"/>
      <c r="F2307" s="106"/>
      <c r="G2307" s="7"/>
    </row>
    <row r="2308" spans="3:7" x14ac:dyDescent="0.2">
      <c r="C2308" s="105"/>
      <c r="D2308" s="4"/>
      <c r="E2308" s="39"/>
      <c r="F2308" s="106"/>
      <c r="G2308" s="7"/>
    </row>
    <row r="2309" spans="3:7" x14ac:dyDescent="0.2">
      <c r="C2309" s="105"/>
      <c r="D2309" s="4"/>
      <c r="E2309" s="39"/>
      <c r="F2309" s="106"/>
      <c r="G2309" s="7"/>
    </row>
    <row r="2310" spans="3:7" x14ac:dyDescent="0.2">
      <c r="C2310" s="105"/>
      <c r="D2310" s="4"/>
      <c r="E2310" s="39"/>
      <c r="F2310" s="106"/>
      <c r="G2310" s="7"/>
    </row>
    <row r="2311" spans="3:7" x14ac:dyDescent="0.2">
      <c r="C2311" s="105"/>
      <c r="D2311" s="4"/>
      <c r="E2311" s="39"/>
      <c r="F2311" s="106"/>
      <c r="G2311" s="7"/>
    </row>
    <row r="2312" spans="3:7" x14ac:dyDescent="0.2">
      <c r="C2312" s="105"/>
      <c r="D2312" s="4"/>
      <c r="E2312" s="39"/>
      <c r="F2312" s="106"/>
      <c r="G2312" s="7"/>
    </row>
    <row r="2313" spans="3:7" x14ac:dyDescent="0.2">
      <c r="C2313" s="105"/>
      <c r="D2313" s="4"/>
      <c r="E2313" s="39"/>
      <c r="F2313" s="106"/>
      <c r="G2313" s="7"/>
    </row>
    <row r="2314" spans="3:7" x14ac:dyDescent="0.2">
      <c r="C2314" s="105"/>
      <c r="D2314" s="4"/>
      <c r="E2314" s="39"/>
      <c r="F2314" s="106"/>
      <c r="G2314" s="7"/>
    </row>
    <row r="2315" spans="3:7" x14ac:dyDescent="0.2">
      <c r="C2315" s="105"/>
      <c r="D2315" s="4"/>
      <c r="E2315" s="39"/>
      <c r="F2315" s="106"/>
      <c r="G2315" s="7"/>
    </row>
    <row r="2316" spans="3:7" x14ac:dyDescent="0.2">
      <c r="C2316" s="105"/>
      <c r="D2316" s="4"/>
      <c r="E2316" s="39"/>
      <c r="F2316" s="106"/>
      <c r="G2316" s="7"/>
    </row>
    <row r="2317" spans="3:7" x14ac:dyDescent="0.2">
      <c r="C2317" s="105"/>
      <c r="D2317" s="4"/>
      <c r="E2317" s="39"/>
      <c r="F2317" s="106"/>
      <c r="G2317" s="7"/>
    </row>
    <row r="2318" spans="3:7" x14ac:dyDescent="0.2">
      <c r="C2318" s="105"/>
      <c r="D2318" s="4"/>
      <c r="E2318" s="39"/>
      <c r="F2318" s="106"/>
      <c r="G2318" s="7"/>
    </row>
    <row r="2319" spans="3:7" x14ac:dyDescent="0.2">
      <c r="C2319" s="105"/>
      <c r="D2319" s="4"/>
      <c r="E2319" s="39"/>
      <c r="F2319" s="106"/>
      <c r="G2319" s="7"/>
    </row>
    <row r="2320" spans="3:7" x14ac:dyDescent="0.2">
      <c r="C2320" s="105"/>
      <c r="D2320" s="4"/>
      <c r="E2320" s="39"/>
      <c r="F2320" s="106"/>
      <c r="G2320" s="7"/>
    </row>
    <row r="2321" spans="3:7" x14ac:dyDescent="0.2">
      <c r="C2321" s="105"/>
      <c r="D2321" s="4"/>
      <c r="E2321" s="39"/>
      <c r="F2321" s="106"/>
      <c r="G2321" s="7"/>
    </row>
    <row r="2322" spans="3:7" x14ac:dyDescent="0.2">
      <c r="C2322" s="105"/>
      <c r="D2322" s="4"/>
      <c r="E2322" s="39"/>
      <c r="F2322" s="106"/>
      <c r="G2322" s="7"/>
    </row>
    <row r="2323" spans="3:7" x14ac:dyDescent="0.2">
      <c r="C2323" s="105"/>
      <c r="D2323" s="4"/>
      <c r="E2323" s="39"/>
      <c r="F2323" s="106"/>
      <c r="G2323" s="7"/>
    </row>
    <row r="2324" spans="3:7" x14ac:dyDescent="0.2">
      <c r="C2324" s="105"/>
      <c r="D2324" s="4"/>
      <c r="E2324" s="39"/>
      <c r="F2324" s="106"/>
      <c r="G2324" s="7"/>
    </row>
    <row r="2325" spans="3:7" x14ac:dyDescent="0.2">
      <c r="C2325" s="105"/>
      <c r="D2325" s="4"/>
      <c r="E2325" s="39"/>
      <c r="F2325" s="106"/>
      <c r="G2325" s="7"/>
    </row>
    <row r="2326" spans="3:7" x14ac:dyDescent="0.2">
      <c r="C2326" s="105"/>
      <c r="D2326" s="4"/>
      <c r="E2326" s="39"/>
      <c r="F2326" s="106"/>
      <c r="G2326" s="7"/>
    </row>
    <row r="2327" spans="3:7" x14ac:dyDescent="0.2">
      <c r="C2327" s="105"/>
      <c r="D2327" s="4"/>
      <c r="E2327" s="39"/>
      <c r="F2327" s="106"/>
      <c r="G2327" s="7"/>
    </row>
    <row r="2328" spans="3:7" x14ac:dyDescent="0.2">
      <c r="C2328" s="105"/>
      <c r="D2328" s="4"/>
      <c r="E2328" s="39"/>
      <c r="F2328" s="106"/>
      <c r="G2328" s="7"/>
    </row>
    <row r="2329" spans="3:7" x14ac:dyDescent="0.2">
      <c r="C2329" s="105"/>
      <c r="D2329" s="4"/>
      <c r="E2329" s="39"/>
      <c r="F2329" s="106"/>
      <c r="G2329" s="7"/>
    </row>
    <row r="2330" spans="3:7" x14ac:dyDescent="0.2">
      <c r="C2330" s="105"/>
      <c r="D2330" s="4"/>
      <c r="E2330" s="39"/>
      <c r="F2330" s="106"/>
      <c r="G2330" s="7"/>
    </row>
    <row r="2331" spans="3:7" x14ac:dyDescent="0.2">
      <c r="C2331" s="105"/>
      <c r="D2331" s="4"/>
      <c r="E2331" s="39"/>
      <c r="F2331" s="106"/>
      <c r="G2331" s="7"/>
    </row>
    <row r="2332" spans="3:7" x14ac:dyDescent="0.2">
      <c r="C2332" s="105"/>
      <c r="D2332" s="4"/>
      <c r="E2332" s="39"/>
      <c r="F2332" s="106"/>
      <c r="G2332" s="7"/>
    </row>
    <row r="2333" spans="3:7" x14ac:dyDescent="0.2">
      <c r="C2333" s="105"/>
      <c r="D2333" s="4"/>
      <c r="E2333" s="39"/>
      <c r="F2333" s="106"/>
      <c r="G2333" s="7"/>
    </row>
    <row r="2334" spans="3:7" x14ac:dyDescent="0.2">
      <c r="C2334" s="105"/>
      <c r="D2334" s="4"/>
      <c r="E2334" s="39"/>
      <c r="F2334" s="106"/>
      <c r="G2334" s="7"/>
    </row>
    <row r="2335" spans="3:7" x14ac:dyDescent="0.2">
      <c r="C2335" s="105"/>
      <c r="D2335" s="4"/>
      <c r="E2335" s="39"/>
      <c r="F2335" s="106"/>
      <c r="G2335" s="7"/>
    </row>
    <row r="2336" spans="3:7" x14ac:dyDescent="0.2">
      <c r="C2336" s="105"/>
      <c r="D2336" s="4"/>
      <c r="E2336" s="39"/>
      <c r="F2336" s="106"/>
      <c r="G2336" s="7"/>
    </row>
    <row r="2337" spans="3:7" x14ac:dyDescent="0.2">
      <c r="C2337" s="105"/>
      <c r="D2337" s="4"/>
      <c r="E2337" s="39"/>
      <c r="F2337" s="106"/>
      <c r="G2337" s="7"/>
    </row>
    <row r="2338" spans="3:7" x14ac:dyDescent="0.2">
      <c r="C2338" s="105"/>
      <c r="D2338" s="4"/>
      <c r="E2338" s="39"/>
      <c r="F2338" s="106"/>
      <c r="G2338" s="7"/>
    </row>
    <row r="2339" spans="3:7" x14ac:dyDescent="0.2">
      <c r="C2339" s="105"/>
      <c r="D2339" s="4"/>
      <c r="E2339" s="39"/>
      <c r="F2339" s="106"/>
      <c r="G2339" s="7"/>
    </row>
    <row r="2340" spans="3:7" x14ac:dyDescent="0.2">
      <c r="C2340" s="105"/>
      <c r="D2340" s="4"/>
      <c r="E2340" s="39"/>
      <c r="F2340" s="106"/>
      <c r="G2340" s="7"/>
    </row>
    <row r="2341" spans="3:7" x14ac:dyDescent="0.2">
      <c r="C2341" s="105"/>
      <c r="D2341" s="4"/>
      <c r="E2341" s="39"/>
      <c r="F2341" s="106"/>
      <c r="G2341" s="7"/>
    </row>
    <row r="2342" spans="3:7" x14ac:dyDescent="0.2">
      <c r="C2342" s="105"/>
      <c r="D2342" s="4"/>
      <c r="E2342" s="39"/>
      <c r="F2342" s="106"/>
      <c r="G2342" s="7"/>
    </row>
    <row r="2343" spans="3:7" x14ac:dyDescent="0.2">
      <c r="C2343" s="105"/>
      <c r="D2343" s="4"/>
      <c r="E2343" s="39"/>
      <c r="F2343" s="106"/>
      <c r="G2343" s="7"/>
    </row>
    <row r="2344" spans="3:7" x14ac:dyDescent="0.2">
      <c r="C2344" s="105"/>
      <c r="D2344" s="4"/>
      <c r="E2344" s="39"/>
      <c r="F2344" s="106"/>
      <c r="G2344" s="7"/>
    </row>
    <row r="2345" spans="3:7" x14ac:dyDescent="0.2">
      <c r="C2345" s="105"/>
      <c r="D2345" s="4"/>
      <c r="E2345" s="39"/>
      <c r="F2345" s="106"/>
      <c r="G2345" s="7"/>
    </row>
    <row r="2346" spans="3:7" x14ac:dyDescent="0.2">
      <c r="C2346" s="105"/>
      <c r="D2346" s="4"/>
      <c r="E2346" s="39"/>
      <c r="F2346" s="106"/>
      <c r="G2346" s="7"/>
    </row>
    <row r="2347" spans="3:7" x14ac:dyDescent="0.2">
      <c r="C2347" s="105"/>
      <c r="D2347" s="4"/>
      <c r="E2347" s="39"/>
      <c r="F2347" s="106"/>
      <c r="G2347" s="7"/>
    </row>
    <row r="2348" spans="3:7" x14ac:dyDescent="0.2">
      <c r="C2348" s="105"/>
      <c r="D2348" s="4"/>
      <c r="E2348" s="39"/>
      <c r="F2348" s="106"/>
      <c r="G2348" s="7"/>
    </row>
    <row r="2349" spans="3:7" x14ac:dyDescent="0.2">
      <c r="C2349" s="105"/>
      <c r="D2349" s="4"/>
      <c r="E2349" s="39"/>
      <c r="F2349" s="106"/>
      <c r="G2349" s="7"/>
    </row>
    <row r="2350" spans="3:7" x14ac:dyDescent="0.2">
      <c r="C2350" s="105"/>
      <c r="D2350" s="4"/>
      <c r="E2350" s="39"/>
      <c r="F2350" s="106"/>
      <c r="G2350" s="7"/>
    </row>
    <row r="2351" spans="3:7" x14ac:dyDescent="0.2">
      <c r="C2351" s="105"/>
      <c r="D2351" s="4"/>
      <c r="E2351" s="39"/>
      <c r="F2351" s="106"/>
      <c r="G2351" s="7"/>
    </row>
    <row r="2352" spans="3:7" x14ac:dyDescent="0.2">
      <c r="C2352" s="105"/>
      <c r="D2352" s="4"/>
      <c r="E2352" s="39"/>
      <c r="F2352" s="106"/>
      <c r="G2352" s="7"/>
    </row>
    <row r="2353" spans="3:7" x14ac:dyDescent="0.2">
      <c r="C2353" s="105"/>
      <c r="D2353" s="4"/>
      <c r="E2353" s="39"/>
      <c r="F2353" s="106"/>
      <c r="G2353" s="7"/>
    </row>
    <row r="2354" spans="3:7" x14ac:dyDescent="0.2">
      <c r="C2354" s="105"/>
      <c r="D2354" s="4"/>
      <c r="E2354" s="39"/>
      <c r="F2354" s="106"/>
      <c r="G2354" s="7"/>
    </row>
    <row r="2355" spans="3:7" x14ac:dyDescent="0.2">
      <c r="C2355" s="105"/>
      <c r="D2355" s="4"/>
      <c r="E2355" s="39"/>
      <c r="F2355" s="106"/>
      <c r="G2355" s="7"/>
    </row>
    <row r="2356" spans="3:7" x14ac:dyDescent="0.2">
      <c r="C2356" s="105"/>
      <c r="D2356" s="4"/>
      <c r="E2356" s="39"/>
      <c r="F2356" s="106"/>
      <c r="G2356" s="7"/>
    </row>
    <row r="2357" spans="3:7" x14ac:dyDescent="0.2">
      <c r="C2357" s="105"/>
      <c r="D2357" s="4"/>
      <c r="E2357" s="39"/>
      <c r="F2357" s="106"/>
      <c r="G2357" s="7"/>
    </row>
    <row r="2358" spans="3:7" x14ac:dyDescent="0.2">
      <c r="C2358" s="105"/>
      <c r="D2358" s="4"/>
      <c r="E2358" s="39"/>
      <c r="F2358" s="106"/>
      <c r="G2358" s="7"/>
    </row>
    <row r="2359" spans="3:7" x14ac:dyDescent="0.2">
      <c r="C2359" s="105"/>
      <c r="D2359" s="4"/>
      <c r="E2359" s="39"/>
      <c r="F2359" s="106"/>
      <c r="G2359" s="7"/>
    </row>
    <row r="2360" spans="3:7" x14ac:dyDescent="0.2">
      <c r="C2360" s="105"/>
      <c r="D2360" s="4"/>
      <c r="E2360" s="39"/>
      <c r="F2360" s="106"/>
      <c r="G2360" s="7"/>
    </row>
    <row r="2361" spans="3:7" x14ac:dyDescent="0.2">
      <c r="C2361" s="105"/>
      <c r="D2361" s="4"/>
      <c r="E2361" s="39"/>
      <c r="F2361" s="106"/>
      <c r="G2361" s="7"/>
    </row>
    <row r="2362" spans="3:7" x14ac:dyDescent="0.2">
      <c r="C2362" s="105"/>
      <c r="D2362" s="4"/>
      <c r="E2362" s="39"/>
      <c r="F2362" s="106"/>
      <c r="G2362" s="7"/>
    </row>
    <row r="2363" spans="3:7" x14ac:dyDescent="0.2">
      <c r="C2363" s="105"/>
      <c r="D2363" s="4"/>
      <c r="E2363" s="39"/>
      <c r="F2363" s="106"/>
      <c r="G2363" s="7"/>
    </row>
    <row r="2364" spans="3:7" x14ac:dyDescent="0.2">
      <c r="C2364" s="105"/>
      <c r="D2364" s="4"/>
      <c r="E2364" s="39"/>
      <c r="F2364" s="106"/>
      <c r="G2364" s="7"/>
    </row>
    <row r="2365" spans="3:7" x14ac:dyDescent="0.2">
      <c r="C2365" s="105"/>
      <c r="D2365" s="4"/>
      <c r="E2365" s="39"/>
      <c r="F2365" s="106"/>
      <c r="G2365" s="7"/>
    </row>
    <row r="2366" spans="3:7" x14ac:dyDescent="0.2">
      <c r="C2366" s="105"/>
      <c r="D2366" s="4"/>
      <c r="E2366" s="39"/>
      <c r="F2366" s="106"/>
      <c r="G2366" s="7"/>
    </row>
    <row r="2367" spans="3:7" x14ac:dyDescent="0.2">
      <c r="C2367" s="105"/>
      <c r="D2367" s="4"/>
      <c r="E2367" s="39"/>
      <c r="F2367" s="106"/>
      <c r="G2367" s="7"/>
    </row>
    <row r="2368" spans="3:7" x14ac:dyDescent="0.2">
      <c r="C2368" s="105"/>
      <c r="D2368" s="4"/>
      <c r="E2368" s="39"/>
      <c r="F2368" s="106"/>
      <c r="G2368" s="7"/>
    </row>
    <row r="2369" spans="3:7" x14ac:dyDescent="0.2">
      <c r="C2369" s="105"/>
      <c r="D2369" s="4"/>
      <c r="E2369" s="39"/>
      <c r="F2369" s="106"/>
      <c r="G2369" s="7"/>
    </row>
    <row r="2370" spans="3:7" x14ac:dyDescent="0.2">
      <c r="C2370" s="105"/>
      <c r="D2370" s="4"/>
      <c r="E2370" s="39"/>
      <c r="F2370" s="106"/>
      <c r="G2370" s="7"/>
    </row>
    <row r="2371" spans="3:7" x14ac:dyDescent="0.2">
      <c r="C2371" s="105"/>
      <c r="D2371" s="4"/>
      <c r="E2371" s="39"/>
      <c r="F2371" s="106"/>
      <c r="G2371" s="7"/>
    </row>
    <row r="2372" spans="3:7" x14ac:dyDescent="0.2">
      <c r="C2372" s="105"/>
      <c r="D2372" s="4"/>
      <c r="E2372" s="39"/>
      <c r="F2372" s="106"/>
      <c r="G2372" s="7"/>
    </row>
    <row r="2373" spans="3:7" x14ac:dyDescent="0.2">
      <c r="C2373" s="105"/>
      <c r="D2373" s="4"/>
      <c r="E2373" s="39"/>
      <c r="F2373" s="106"/>
      <c r="G2373" s="7"/>
    </row>
    <row r="2374" spans="3:7" x14ac:dyDescent="0.2">
      <c r="C2374" s="105"/>
      <c r="D2374" s="4"/>
      <c r="E2374" s="39"/>
      <c r="F2374" s="106"/>
      <c r="G2374" s="7"/>
    </row>
    <row r="2375" spans="3:7" x14ac:dyDescent="0.2">
      <c r="C2375" s="105"/>
      <c r="D2375" s="4"/>
      <c r="E2375" s="39"/>
      <c r="F2375" s="106"/>
      <c r="G2375" s="7"/>
    </row>
    <row r="2376" spans="3:7" x14ac:dyDescent="0.2">
      <c r="C2376" s="105"/>
      <c r="D2376" s="4"/>
      <c r="E2376" s="39"/>
      <c r="F2376" s="106"/>
      <c r="G2376" s="7"/>
    </row>
    <row r="2377" spans="3:7" x14ac:dyDescent="0.2">
      <c r="C2377" s="105"/>
      <c r="D2377" s="4"/>
      <c r="E2377" s="39"/>
      <c r="F2377" s="106"/>
      <c r="G2377" s="7"/>
    </row>
    <row r="2378" spans="3:7" x14ac:dyDescent="0.2">
      <c r="C2378" s="105"/>
      <c r="D2378" s="4"/>
      <c r="E2378" s="39"/>
      <c r="F2378" s="106"/>
      <c r="G2378" s="7"/>
    </row>
    <row r="2379" spans="3:7" x14ac:dyDescent="0.2">
      <c r="C2379" s="105"/>
      <c r="D2379" s="4"/>
      <c r="E2379" s="39"/>
      <c r="F2379" s="106"/>
      <c r="G2379" s="7"/>
    </row>
    <row r="2380" spans="3:7" x14ac:dyDescent="0.2">
      <c r="C2380" s="105"/>
      <c r="D2380" s="4"/>
      <c r="E2380" s="39"/>
      <c r="F2380" s="106"/>
      <c r="G2380" s="7"/>
    </row>
    <row r="2381" spans="3:7" x14ac:dyDescent="0.2">
      <c r="C2381" s="105"/>
      <c r="D2381" s="4"/>
      <c r="E2381" s="39"/>
      <c r="F2381" s="106"/>
      <c r="G2381" s="7"/>
    </row>
    <row r="2382" spans="3:7" x14ac:dyDescent="0.2">
      <c r="C2382" s="105"/>
      <c r="D2382" s="4"/>
      <c r="E2382" s="39"/>
      <c r="F2382" s="106"/>
      <c r="G2382" s="7"/>
    </row>
    <row r="2383" spans="3:7" x14ac:dyDescent="0.2">
      <c r="C2383" s="105"/>
      <c r="D2383" s="4"/>
      <c r="E2383" s="39"/>
      <c r="F2383" s="106"/>
      <c r="G2383" s="7"/>
    </row>
    <row r="2384" spans="3:7" x14ac:dyDescent="0.2">
      <c r="C2384" s="105"/>
      <c r="D2384" s="4"/>
      <c r="E2384" s="39"/>
      <c r="F2384" s="106"/>
      <c r="G2384" s="7"/>
    </row>
    <row r="2385" spans="3:7" x14ac:dyDescent="0.2">
      <c r="C2385" s="105"/>
      <c r="D2385" s="4"/>
      <c r="E2385" s="39"/>
      <c r="F2385" s="106"/>
      <c r="G2385" s="7"/>
    </row>
    <row r="2386" spans="3:7" x14ac:dyDescent="0.2">
      <c r="C2386" s="105"/>
      <c r="D2386" s="4"/>
      <c r="E2386" s="39"/>
      <c r="F2386" s="106"/>
      <c r="G2386" s="7"/>
    </row>
    <row r="2387" spans="3:7" x14ac:dyDescent="0.2">
      <c r="C2387" s="105"/>
      <c r="D2387" s="4"/>
      <c r="E2387" s="39"/>
      <c r="F2387" s="106"/>
      <c r="G2387" s="7"/>
    </row>
    <row r="2388" spans="3:7" x14ac:dyDescent="0.2">
      <c r="C2388" s="105"/>
      <c r="D2388" s="4"/>
      <c r="E2388" s="39"/>
      <c r="F2388" s="106"/>
      <c r="G2388" s="7"/>
    </row>
    <row r="2389" spans="3:7" x14ac:dyDescent="0.2">
      <c r="C2389" s="105"/>
      <c r="D2389" s="4"/>
      <c r="E2389" s="39"/>
      <c r="F2389" s="106"/>
      <c r="G2389" s="7"/>
    </row>
    <row r="2390" spans="3:7" x14ac:dyDescent="0.2">
      <c r="C2390" s="105"/>
      <c r="D2390" s="4"/>
      <c r="E2390" s="39"/>
      <c r="F2390" s="106"/>
      <c r="G2390" s="7"/>
    </row>
    <row r="2391" spans="3:7" x14ac:dyDescent="0.2">
      <c r="C2391" s="105"/>
      <c r="D2391" s="4"/>
      <c r="E2391" s="39"/>
      <c r="F2391" s="106"/>
      <c r="G2391" s="7"/>
    </row>
    <row r="2392" spans="3:7" x14ac:dyDescent="0.2">
      <c r="C2392" s="105"/>
      <c r="D2392" s="4"/>
      <c r="E2392" s="39"/>
      <c r="F2392" s="106"/>
      <c r="G2392" s="7"/>
    </row>
    <row r="2393" spans="3:7" x14ac:dyDescent="0.2">
      <c r="C2393" s="105"/>
      <c r="D2393" s="4"/>
      <c r="E2393" s="39"/>
      <c r="F2393" s="106"/>
      <c r="G2393" s="7"/>
    </row>
    <row r="2394" spans="3:7" x14ac:dyDescent="0.2">
      <c r="C2394" s="105"/>
      <c r="D2394" s="4"/>
      <c r="E2394" s="39"/>
      <c r="F2394" s="106"/>
      <c r="G2394" s="7"/>
    </row>
    <row r="2395" spans="3:7" x14ac:dyDescent="0.2">
      <c r="C2395" s="105"/>
      <c r="D2395" s="4"/>
      <c r="E2395" s="39"/>
      <c r="F2395" s="106"/>
      <c r="G2395" s="7"/>
    </row>
    <row r="2396" spans="3:7" x14ac:dyDescent="0.2">
      <c r="C2396" s="105"/>
      <c r="D2396" s="4"/>
      <c r="E2396" s="39"/>
      <c r="F2396" s="106"/>
      <c r="G2396" s="7"/>
    </row>
    <row r="2397" spans="3:7" x14ac:dyDescent="0.2">
      <c r="C2397" s="105"/>
      <c r="D2397" s="4"/>
      <c r="E2397" s="39"/>
      <c r="F2397" s="106"/>
      <c r="G2397" s="7"/>
    </row>
    <row r="2398" spans="3:7" x14ac:dyDescent="0.2">
      <c r="C2398" s="105"/>
      <c r="D2398" s="4"/>
      <c r="E2398" s="39"/>
      <c r="F2398" s="106"/>
      <c r="G2398" s="7"/>
    </row>
    <row r="2399" spans="3:7" x14ac:dyDescent="0.2">
      <c r="C2399" s="105"/>
      <c r="D2399" s="4"/>
      <c r="E2399" s="39"/>
      <c r="F2399" s="106"/>
      <c r="G2399" s="7"/>
    </row>
    <row r="2400" spans="3:7" x14ac:dyDescent="0.2">
      <c r="C2400" s="105"/>
      <c r="D2400" s="4"/>
      <c r="E2400" s="39"/>
      <c r="F2400" s="106"/>
      <c r="G2400" s="7"/>
    </row>
    <row r="2401" spans="3:7" x14ac:dyDescent="0.2">
      <c r="C2401" s="105"/>
      <c r="D2401" s="4"/>
      <c r="E2401" s="39"/>
      <c r="F2401" s="106"/>
      <c r="G2401" s="7"/>
    </row>
    <row r="2402" spans="3:7" x14ac:dyDescent="0.2">
      <c r="C2402" s="105"/>
      <c r="D2402" s="4"/>
      <c r="E2402" s="39"/>
      <c r="F2402" s="106"/>
      <c r="G2402" s="7"/>
    </row>
    <row r="2403" spans="3:7" x14ac:dyDescent="0.2">
      <c r="C2403" s="105"/>
      <c r="D2403" s="4"/>
      <c r="E2403" s="39"/>
      <c r="F2403" s="106"/>
      <c r="G2403" s="7"/>
    </row>
    <row r="2404" spans="3:7" x14ac:dyDescent="0.2">
      <c r="C2404" s="105"/>
      <c r="D2404" s="4"/>
      <c r="E2404" s="39"/>
      <c r="F2404" s="106"/>
      <c r="G2404" s="7"/>
    </row>
    <row r="2405" spans="3:7" x14ac:dyDescent="0.2">
      <c r="C2405" s="105"/>
      <c r="D2405" s="4"/>
      <c r="E2405" s="39"/>
      <c r="F2405" s="106"/>
      <c r="G2405" s="7"/>
    </row>
    <row r="2406" spans="3:7" x14ac:dyDescent="0.2">
      <c r="C2406" s="105"/>
      <c r="D2406" s="4"/>
      <c r="E2406" s="39"/>
      <c r="F2406" s="106"/>
      <c r="G2406" s="7"/>
    </row>
    <row r="2407" spans="3:7" x14ac:dyDescent="0.2">
      <c r="C2407" s="105"/>
      <c r="D2407" s="4"/>
      <c r="E2407" s="39"/>
      <c r="F2407" s="106"/>
      <c r="G2407" s="7"/>
    </row>
    <row r="2408" spans="3:7" x14ac:dyDescent="0.2">
      <c r="C2408" s="105"/>
      <c r="D2408" s="4"/>
      <c r="E2408" s="39"/>
      <c r="F2408" s="106"/>
      <c r="G2408" s="7"/>
    </row>
    <row r="2409" spans="3:7" x14ac:dyDescent="0.2">
      <c r="C2409" s="105"/>
      <c r="D2409" s="4"/>
      <c r="E2409" s="39"/>
      <c r="F2409" s="106"/>
      <c r="G2409" s="7"/>
    </row>
    <row r="2410" spans="3:7" x14ac:dyDescent="0.2">
      <c r="C2410" s="105"/>
      <c r="D2410" s="4"/>
      <c r="E2410" s="39"/>
      <c r="F2410" s="106"/>
      <c r="G2410" s="7"/>
    </row>
    <row r="2411" spans="3:7" x14ac:dyDescent="0.2">
      <c r="C2411" s="105"/>
      <c r="D2411" s="4"/>
      <c r="E2411" s="39"/>
      <c r="F2411" s="106"/>
      <c r="G2411" s="7"/>
    </row>
    <row r="2412" spans="3:7" x14ac:dyDescent="0.2">
      <c r="C2412" s="105"/>
      <c r="D2412" s="4"/>
      <c r="E2412" s="39"/>
      <c r="F2412" s="106"/>
      <c r="G2412" s="7"/>
    </row>
    <row r="2413" spans="3:7" x14ac:dyDescent="0.2">
      <c r="C2413" s="105"/>
      <c r="D2413" s="4"/>
      <c r="E2413" s="39"/>
      <c r="F2413" s="106"/>
      <c r="G2413" s="7"/>
    </row>
    <row r="2414" spans="3:7" x14ac:dyDescent="0.2">
      <c r="C2414" s="105"/>
      <c r="D2414" s="4"/>
      <c r="E2414" s="39"/>
      <c r="F2414" s="106"/>
      <c r="G2414" s="7"/>
    </row>
    <row r="2415" spans="3:7" x14ac:dyDescent="0.2">
      <c r="C2415" s="105"/>
      <c r="D2415" s="4"/>
      <c r="E2415" s="39"/>
      <c r="F2415" s="106"/>
      <c r="G2415" s="7"/>
    </row>
    <row r="2416" spans="3:7" x14ac:dyDescent="0.2">
      <c r="C2416" s="105"/>
      <c r="D2416" s="4"/>
      <c r="E2416" s="39"/>
      <c r="F2416" s="106"/>
      <c r="G2416" s="7"/>
    </row>
    <row r="2417" spans="3:7" x14ac:dyDescent="0.2">
      <c r="C2417" s="105"/>
      <c r="D2417" s="4"/>
      <c r="E2417" s="39"/>
      <c r="F2417" s="106"/>
      <c r="G2417" s="7"/>
    </row>
    <row r="2418" spans="3:7" x14ac:dyDescent="0.2">
      <c r="C2418" s="105"/>
      <c r="D2418" s="4"/>
      <c r="E2418" s="39"/>
      <c r="F2418" s="106"/>
      <c r="G2418" s="7"/>
    </row>
    <row r="2419" spans="3:7" x14ac:dyDescent="0.2">
      <c r="C2419" s="105"/>
      <c r="D2419" s="4"/>
      <c r="E2419" s="39"/>
      <c r="F2419" s="106"/>
      <c r="G2419" s="7"/>
    </row>
    <row r="2420" spans="3:7" x14ac:dyDescent="0.2">
      <c r="C2420" s="105"/>
      <c r="D2420" s="4"/>
      <c r="E2420" s="39"/>
      <c r="F2420" s="106"/>
      <c r="G2420" s="7"/>
    </row>
    <row r="2421" spans="3:7" x14ac:dyDescent="0.2">
      <c r="C2421" s="105"/>
      <c r="D2421" s="4"/>
      <c r="E2421" s="39"/>
      <c r="F2421" s="106"/>
      <c r="G2421" s="7"/>
    </row>
    <row r="2422" spans="3:7" x14ac:dyDescent="0.2">
      <c r="C2422" s="105"/>
      <c r="D2422" s="4"/>
      <c r="E2422" s="39"/>
      <c r="F2422" s="106"/>
      <c r="G2422" s="7"/>
    </row>
    <row r="2423" spans="3:7" x14ac:dyDescent="0.2">
      <c r="C2423" s="105"/>
      <c r="D2423" s="4"/>
      <c r="E2423" s="39"/>
      <c r="F2423" s="106"/>
      <c r="G2423" s="7"/>
    </row>
    <row r="2424" spans="3:7" x14ac:dyDescent="0.2">
      <c r="C2424" s="105"/>
      <c r="D2424" s="4"/>
      <c r="E2424" s="39"/>
      <c r="F2424" s="106"/>
      <c r="G2424" s="7"/>
    </row>
    <row r="2425" spans="3:7" x14ac:dyDescent="0.2">
      <c r="C2425" s="105"/>
      <c r="D2425" s="4"/>
      <c r="E2425" s="39"/>
      <c r="F2425" s="106"/>
      <c r="G2425" s="7"/>
    </row>
    <row r="2426" spans="3:7" x14ac:dyDescent="0.2">
      <c r="C2426" s="105"/>
      <c r="D2426" s="4"/>
      <c r="E2426" s="39"/>
      <c r="F2426" s="106"/>
      <c r="G2426" s="7"/>
    </row>
    <row r="2427" spans="3:7" x14ac:dyDescent="0.2">
      <c r="C2427" s="105"/>
      <c r="D2427" s="4"/>
      <c r="E2427" s="39"/>
      <c r="F2427" s="106"/>
      <c r="G2427" s="7"/>
    </row>
    <row r="2428" spans="3:7" x14ac:dyDescent="0.2">
      <c r="C2428" s="105"/>
      <c r="D2428" s="4"/>
      <c r="E2428" s="39"/>
      <c r="F2428" s="106"/>
      <c r="G2428" s="7"/>
    </row>
    <row r="2429" spans="3:7" x14ac:dyDescent="0.2">
      <c r="C2429" s="105"/>
      <c r="D2429" s="4"/>
      <c r="E2429" s="39"/>
      <c r="F2429" s="106"/>
      <c r="G2429" s="7"/>
    </row>
    <row r="2430" spans="3:7" x14ac:dyDescent="0.2">
      <c r="C2430" s="105"/>
      <c r="D2430" s="4"/>
      <c r="E2430" s="39"/>
      <c r="F2430" s="106"/>
      <c r="G2430" s="7"/>
    </row>
    <row r="2431" spans="3:7" x14ac:dyDescent="0.2">
      <c r="C2431" s="105"/>
      <c r="D2431" s="4"/>
      <c r="E2431" s="39"/>
      <c r="F2431" s="106"/>
      <c r="G2431" s="7"/>
    </row>
    <row r="2432" spans="3:7" x14ac:dyDescent="0.2">
      <c r="C2432" s="105"/>
      <c r="D2432" s="4"/>
      <c r="E2432" s="39"/>
      <c r="F2432" s="106"/>
      <c r="G2432" s="7"/>
    </row>
    <row r="2433" spans="3:7" x14ac:dyDescent="0.2">
      <c r="C2433" s="105"/>
      <c r="D2433" s="4"/>
      <c r="E2433" s="39"/>
      <c r="F2433" s="106"/>
      <c r="G2433" s="7"/>
    </row>
    <row r="2434" spans="3:7" x14ac:dyDescent="0.2">
      <c r="C2434" s="105"/>
      <c r="D2434" s="4"/>
      <c r="E2434" s="39"/>
      <c r="F2434" s="106"/>
      <c r="G2434" s="7"/>
    </row>
    <row r="2435" spans="3:7" x14ac:dyDescent="0.2">
      <c r="C2435" s="105"/>
      <c r="D2435" s="4"/>
      <c r="E2435" s="39"/>
      <c r="F2435" s="106"/>
      <c r="G2435" s="7"/>
    </row>
    <row r="2436" spans="3:7" x14ac:dyDescent="0.2">
      <c r="C2436" s="105"/>
      <c r="D2436" s="4"/>
      <c r="E2436" s="39"/>
      <c r="F2436" s="106"/>
      <c r="G2436" s="7"/>
    </row>
    <row r="2437" spans="3:7" x14ac:dyDescent="0.2">
      <c r="C2437" s="105"/>
      <c r="D2437" s="4"/>
      <c r="E2437" s="39"/>
      <c r="F2437" s="106"/>
      <c r="G2437" s="7"/>
    </row>
    <row r="2438" spans="3:7" x14ac:dyDescent="0.2">
      <c r="C2438" s="105"/>
      <c r="D2438" s="4"/>
      <c r="E2438" s="39"/>
      <c r="F2438" s="106"/>
      <c r="G2438" s="7"/>
    </row>
    <row r="2439" spans="3:7" x14ac:dyDescent="0.2">
      <c r="C2439" s="105"/>
      <c r="D2439" s="4"/>
      <c r="E2439" s="39"/>
      <c r="F2439" s="106"/>
      <c r="G2439" s="7"/>
    </row>
    <row r="2440" spans="3:7" x14ac:dyDescent="0.2">
      <c r="C2440" s="105"/>
      <c r="D2440" s="4"/>
      <c r="E2440" s="39"/>
      <c r="F2440" s="106"/>
      <c r="G2440" s="7"/>
    </row>
    <row r="2441" spans="3:7" x14ac:dyDescent="0.2">
      <c r="C2441" s="105"/>
      <c r="D2441" s="4"/>
      <c r="E2441" s="39"/>
      <c r="F2441" s="106"/>
      <c r="G2441" s="7"/>
    </row>
    <row r="2442" spans="3:7" x14ac:dyDescent="0.2">
      <c r="C2442" s="105"/>
      <c r="D2442" s="4"/>
      <c r="E2442" s="39"/>
      <c r="F2442" s="106"/>
      <c r="G2442" s="7"/>
    </row>
    <row r="2443" spans="3:7" x14ac:dyDescent="0.2">
      <c r="C2443" s="105"/>
      <c r="D2443" s="4"/>
      <c r="E2443" s="39"/>
      <c r="F2443" s="106"/>
      <c r="G2443" s="7"/>
    </row>
    <row r="2444" spans="3:7" x14ac:dyDescent="0.2">
      <c r="C2444" s="105"/>
      <c r="D2444" s="4"/>
      <c r="E2444" s="39"/>
      <c r="F2444" s="106"/>
      <c r="G2444" s="7"/>
    </row>
    <row r="2445" spans="3:7" x14ac:dyDescent="0.2">
      <c r="C2445" s="105"/>
      <c r="D2445" s="4"/>
      <c r="E2445" s="39"/>
      <c r="F2445" s="106"/>
      <c r="G2445" s="7"/>
    </row>
    <row r="2446" spans="3:7" x14ac:dyDescent="0.2">
      <c r="C2446" s="105"/>
      <c r="D2446" s="4"/>
      <c r="E2446" s="39"/>
      <c r="F2446" s="106"/>
      <c r="G2446" s="7"/>
    </row>
    <row r="2447" spans="3:7" x14ac:dyDescent="0.2">
      <c r="C2447" s="105"/>
      <c r="D2447" s="4"/>
      <c r="E2447" s="39"/>
      <c r="F2447" s="106"/>
      <c r="G2447" s="7"/>
    </row>
    <row r="2448" spans="3:7" x14ac:dyDescent="0.2">
      <c r="C2448" s="105"/>
      <c r="D2448" s="4"/>
      <c r="E2448" s="39"/>
      <c r="F2448" s="106"/>
      <c r="G2448" s="7"/>
    </row>
    <row r="2449" spans="3:7" x14ac:dyDescent="0.2">
      <c r="C2449" s="105"/>
      <c r="D2449" s="4"/>
      <c r="E2449" s="39"/>
      <c r="F2449" s="106"/>
      <c r="G2449" s="7"/>
    </row>
    <row r="2450" spans="3:7" x14ac:dyDescent="0.2">
      <c r="C2450" s="105"/>
      <c r="D2450" s="4"/>
      <c r="E2450" s="39"/>
      <c r="F2450" s="106"/>
      <c r="G2450" s="7"/>
    </row>
    <row r="2451" spans="3:7" x14ac:dyDescent="0.2">
      <c r="C2451" s="105"/>
      <c r="D2451" s="4"/>
      <c r="E2451" s="39"/>
      <c r="F2451" s="106"/>
      <c r="G2451" s="7"/>
    </row>
    <row r="2452" spans="3:7" x14ac:dyDescent="0.2">
      <c r="C2452" s="105"/>
      <c r="D2452" s="4"/>
      <c r="E2452" s="39"/>
      <c r="F2452" s="106"/>
      <c r="G2452" s="7"/>
    </row>
    <row r="2453" spans="3:7" x14ac:dyDescent="0.2">
      <c r="C2453" s="105"/>
      <c r="D2453" s="4"/>
      <c r="E2453" s="39"/>
      <c r="F2453" s="106"/>
      <c r="G2453" s="7"/>
    </row>
    <row r="2454" spans="3:7" x14ac:dyDescent="0.2">
      <c r="C2454" s="105"/>
      <c r="D2454" s="4"/>
      <c r="E2454" s="39"/>
      <c r="F2454" s="106"/>
      <c r="G2454" s="7"/>
    </row>
    <row r="2455" spans="3:7" x14ac:dyDescent="0.2">
      <c r="C2455" s="105"/>
      <c r="D2455" s="4"/>
      <c r="E2455" s="39"/>
      <c r="F2455" s="106"/>
      <c r="G2455" s="7"/>
    </row>
    <row r="2456" spans="3:7" x14ac:dyDescent="0.2">
      <c r="C2456" s="105"/>
      <c r="D2456" s="4"/>
      <c r="E2456" s="39"/>
      <c r="F2456" s="106"/>
      <c r="G2456" s="7"/>
    </row>
    <row r="2457" spans="3:7" x14ac:dyDescent="0.2">
      <c r="C2457" s="105"/>
      <c r="D2457" s="4"/>
      <c r="E2457" s="39"/>
      <c r="F2457" s="106"/>
      <c r="G2457" s="7"/>
    </row>
    <row r="2458" spans="3:7" x14ac:dyDescent="0.2">
      <c r="C2458" s="105"/>
      <c r="D2458" s="4"/>
      <c r="E2458" s="39"/>
      <c r="F2458" s="106"/>
      <c r="G2458" s="7"/>
    </row>
    <row r="2459" spans="3:7" x14ac:dyDescent="0.2">
      <c r="C2459" s="105"/>
      <c r="D2459" s="4"/>
      <c r="E2459" s="39"/>
      <c r="F2459" s="106"/>
      <c r="G2459" s="7"/>
    </row>
    <row r="2460" spans="3:7" x14ac:dyDescent="0.2">
      <c r="C2460" s="105"/>
      <c r="D2460" s="4"/>
      <c r="E2460" s="39"/>
      <c r="F2460" s="106"/>
      <c r="G2460" s="7"/>
    </row>
    <row r="2461" spans="3:7" x14ac:dyDescent="0.2">
      <c r="C2461" s="105"/>
      <c r="D2461" s="4"/>
      <c r="E2461" s="39"/>
      <c r="F2461" s="106"/>
      <c r="G2461" s="7"/>
    </row>
    <row r="2462" spans="3:7" x14ac:dyDescent="0.2">
      <c r="C2462" s="105"/>
      <c r="D2462" s="4"/>
      <c r="E2462" s="39"/>
      <c r="F2462" s="106"/>
      <c r="G2462" s="7"/>
    </row>
    <row r="2463" spans="3:7" x14ac:dyDescent="0.2">
      <c r="C2463" s="105"/>
      <c r="D2463" s="4"/>
      <c r="E2463" s="39"/>
      <c r="F2463" s="106"/>
      <c r="G2463" s="7"/>
    </row>
    <row r="2464" spans="3:7" x14ac:dyDescent="0.2">
      <c r="C2464" s="105"/>
      <c r="D2464" s="4"/>
      <c r="E2464" s="39"/>
      <c r="F2464" s="106"/>
      <c r="G2464" s="7"/>
    </row>
    <row r="2465" spans="3:7" x14ac:dyDescent="0.2">
      <c r="C2465" s="105"/>
      <c r="D2465" s="4"/>
      <c r="E2465" s="39"/>
      <c r="F2465" s="106"/>
      <c r="G2465" s="7"/>
    </row>
    <row r="2466" spans="3:7" x14ac:dyDescent="0.2">
      <c r="C2466" s="105"/>
      <c r="D2466" s="4"/>
      <c r="E2466" s="39"/>
      <c r="F2466" s="106"/>
      <c r="G2466" s="7"/>
    </row>
    <row r="2467" spans="3:7" x14ac:dyDescent="0.2">
      <c r="C2467" s="105"/>
      <c r="D2467" s="4"/>
      <c r="E2467" s="39"/>
      <c r="F2467" s="106"/>
      <c r="G2467" s="7"/>
    </row>
    <row r="2468" spans="3:7" x14ac:dyDescent="0.2">
      <c r="C2468" s="105"/>
      <c r="D2468" s="4"/>
      <c r="E2468" s="39"/>
      <c r="F2468" s="106"/>
      <c r="G2468" s="7"/>
    </row>
    <row r="2469" spans="3:7" x14ac:dyDescent="0.2">
      <c r="C2469" s="105"/>
      <c r="D2469" s="4"/>
      <c r="E2469" s="39"/>
      <c r="F2469" s="106"/>
      <c r="G2469" s="7"/>
    </row>
    <row r="2470" spans="3:7" x14ac:dyDescent="0.2">
      <c r="C2470" s="105"/>
      <c r="D2470" s="4"/>
      <c r="E2470" s="39"/>
      <c r="F2470" s="106"/>
      <c r="G2470" s="7"/>
    </row>
    <row r="2471" spans="3:7" x14ac:dyDescent="0.2">
      <c r="C2471" s="105"/>
      <c r="D2471" s="4"/>
      <c r="E2471" s="39"/>
      <c r="F2471" s="106"/>
      <c r="G2471" s="7"/>
    </row>
    <row r="2472" spans="3:7" x14ac:dyDescent="0.2">
      <c r="C2472" s="105"/>
      <c r="D2472" s="4"/>
      <c r="E2472" s="39"/>
      <c r="F2472" s="106"/>
      <c r="G2472" s="7"/>
    </row>
    <row r="2473" spans="3:7" x14ac:dyDescent="0.2">
      <c r="C2473" s="105"/>
      <c r="D2473" s="4"/>
      <c r="E2473" s="39"/>
      <c r="F2473" s="106"/>
      <c r="G2473" s="7"/>
    </row>
    <row r="2474" spans="3:7" x14ac:dyDescent="0.2">
      <c r="C2474" s="105"/>
      <c r="D2474" s="4"/>
      <c r="E2474" s="39"/>
      <c r="F2474" s="106"/>
      <c r="G2474" s="7"/>
    </row>
    <row r="2475" spans="3:7" x14ac:dyDescent="0.2">
      <c r="C2475" s="105"/>
      <c r="D2475" s="4"/>
      <c r="E2475" s="39"/>
      <c r="F2475" s="106"/>
      <c r="G2475" s="7"/>
    </row>
    <row r="2476" spans="3:7" x14ac:dyDescent="0.2">
      <c r="C2476" s="105"/>
      <c r="D2476" s="4"/>
      <c r="E2476" s="39"/>
      <c r="F2476" s="106"/>
      <c r="G2476" s="7"/>
    </row>
    <row r="2477" spans="3:7" x14ac:dyDescent="0.2">
      <c r="C2477" s="105"/>
      <c r="D2477" s="4"/>
      <c r="E2477" s="39"/>
      <c r="F2477" s="106"/>
      <c r="G2477" s="7"/>
    </row>
    <row r="2478" spans="3:7" x14ac:dyDescent="0.2">
      <c r="C2478" s="105"/>
      <c r="D2478" s="4"/>
      <c r="E2478" s="39"/>
      <c r="F2478" s="106"/>
      <c r="G2478" s="7"/>
    </row>
    <row r="2479" spans="3:7" x14ac:dyDescent="0.2">
      <c r="C2479" s="105"/>
      <c r="D2479" s="4"/>
      <c r="E2479" s="39"/>
      <c r="F2479" s="106"/>
      <c r="G2479" s="7"/>
    </row>
    <row r="2480" spans="3:7" x14ac:dyDescent="0.2">
      <c r="C2480" s="105"/>
      <c r="D2480" s="4"/>
      <c r="E2480" s="39"/>
      <c r="F2480" s="106"/>
      <c r="G2480" s="7"/>
    </row>
    <row r="2481" spans="3:7" x14ac:dyDescent="0.2">
      <c r="C2481" s="105"/>
      <c r="D2481" s="4"/>
      <c r="E2481" s="39"/>
      <c r="F2481" s="106"/>
      <c r="G2481" s="7"/>
    </row>
    <row r="2482" spans="3:7" x14ac:dyDescent="0.2">
      <c r="C2482" s="105"/>
      <c r="D2482" s="4"/>
      <c r="E2482" s="39"/>
      <c r="F2482" s="106"/>
      <c r="G2482" s="7"/>
    </row>
    <row r="2483" spans="3:7" x14ac:dyDescent="0.2">
      <c r="C2483" s="105"/>
      <c r="D2483" s="4"/>
      <c r="E2483" s="39"/>
      <c r="F2483" s="106"/>
      <c r="G2483" s="7"/>
    </row>
    <row r="2484" spans="3:7" x14ac:dyDescent="0.2">
      <c r="C2484" s="105"/>
      <c r="D2484" s="4"/>
      <c r="E2484" s="39"/>
      <c r="F2484" s="106"/>
      <c r="G2484" s="7"/>
    </row>
    <row r="2485" spans="3:7" x14ac:dyDescent="0.2">
      <c r="C2485" s="105"/>
      <c r="D2485" s="4"/>
      <c r="E2485" s="39"/>
      <c r="F2485" s="106"/>
      <c r="G2485" s="7"/>
    </row>
    <row r="2486" spans="3:7" x14ac:dyDescent="0.2">
      <c r="C2486" s="105"/>
      <c r="D2486" s="4"/>
      <c r="E2486" s="39"/>
      <c r="F2486" s="106"/>
      <c r="G2486" s="7"/>
    </row>
    <row r="2487" spans="3:7" x14ac:dyDescent="0.2">
      <c r="C2487" s="105"/>
      <c r="D2487" s="4"/>
      <c r="E2487" s="39"/>
      <c r="F2487" s="106"/>
      <c r="G2487" s="7"/>
    </row>
    <row r="2488" spans="3:7" x14ac:dyDescent="0.2">
      <c r="C2488" s="105"/>
      <c r="D2488" s="4"/>
      <c r="E2488" s="39"/>
      <c r="F2488" s="106"/>
      <c r="G2488" s="7"/>
    </row>
    <row r="2489" spans="3:7" x14ac:dyDescent="0.2">
      <c r="C2489" s="105"/>
      <c r="D2489" s="4"/>
      <c r="E2489" s="39"/>
      <c r="F2489" s="106"/>
      <c r="G2489" s="7"/>
    </row>
    <row r="2490" spans="3:7" x14ac:dyDescent="0.2">
      <c r="C2490" s="105"/>
      <c r="D2490" s="4"/>
      <c r="E2490" s="39"/>
      <c r="F2490" s="106"/>
      <c r="G2490" s="7"/>
    </row>
    <row r="2491" spans="3:7" x14ac:dyDescent="0.2">
      <c r="C2491" s="105"/>
      <c r="D2491" s="4"/>
      <c r="E2491" s="39"/>
      <c r="F2491" s="106"/>
      <c r="G2491" s="7"/>
    </row>
    <row r="2492" spans="3:7" x14ac:dyDescent="0.2">
      <c r="C2492" s="105"/>
      <c r="D2492" s="4"/>
      <c r="E2492" s="39"/>
      <c r="F2492" s="106"/>
      <c r="G2492" s="7"/>
    </row>
    <row r="2493" spans="3:7" x14ac:dyDescent="0.2">
      <c r="C2493" s="105"/>
      <c r="D2493" s="4"/>
      <c r="E2493" s="39"/>
      <c r="F2493" s="106"/>
      <c r="G2493" s="7"/>
    </row>
    <row r="2494" spans="3:7" x14ac:dyDescent="0.2">
      <c r="C2494" s="105"/>
      <c r="D2494" s="4"/>
      <c r="E2494" s="39"/>
      <c r="F2494" s="106"/>
      <c r="G2494" s="7"/>
    </row>
    <row r="2495" spans="3:7" x14ac:dyDescent="0.2">
      <c r="C2495" s="105"/>
      <c r="D2495" s="4"/>
      <c r="E2495" s="39"/>
      <c r="F2495" s="106"/>
      <c r="G2495" s="7"/>
    </row>
    <row r="2496" spans="3:7" x14ac:dyDescent="0.2">
      <c r="C2496" s="105"/>
      <c r="D2496" s="4"/>
      <c r="E2496" s="39"/>
      <c r="F2496" s="106"/>
      <c r="G2496" s="7"/>
    </row>
    <row r="2497" spans="3:7" x14ac:dyDescent="0.2">
      <c r="C2497" s="105"/>
      <c r="D2497" s="4"/>
      <c r="E2497" s="39"/>
      <c r="F2497" s="106"/>
      <c r="G2497" s="7"/>
    </row>
    <row r="2498" spans="3:7" x14ac:dyDescent="0.2">
      <c r="C2498" s="105"/>
      <c r="D2498" s="4"/>
      <c r="E2498" s="39"/>
      <c r="F2498" s="106"/>
      <c r="G2498" s="7"/>
    </row>
    <row r="2499" spans="3:7" x14ac:dyDescent="0.2">
      <c r="C2499" s="105"/>
      <c r="D2499" s="4"/>
      <c r="E2499" s="39"/>
      <c r="F2499" s="106"/>
      <c r="G2499" s="7"/>
    </row>
    <row r="2500" spans="3:7" x14ac:dyDescent="0.2">
      <c r="C2500" s="105"/>
      <c r="D2500" s="4"/>
      <c r="E2500" s="39"/>
      <c r="F2500" s="106"/>
      <c r="G2500" s="7"/>
    </row>
    <row r="2501" spans="3:7" x14ac:dyDescent="0.2">
      <c r="C2501" s="105"/>
      <c r="D2501" s="4"/>
      <c r="E2501" s="39"/>
      <c r="F2501" s="106"/>
      <c r="G2501" s="7"/>
    </row>
    <row r="2502" spans="3:7" x14ac:dyDescent="0.2">
      <c r="C2502" s="105"/>
      <c r="D2502" s="4"/>
      <c r="E2502" s="39"/>
      <c r="F2502" s="106"/>
      <c r="G2502" s="7"/>
    </row>
    <row r="2503" spans="3:7" x14ac:dyDescent="0.2">
      <c r="C2503" s="105"/>
      <c r="D2503" s="4"/>
      <c r="E2503" s="39"/>
      <c r="F2503" s="106"/>
      <c r="G2503" s="7"/>
    </row>
    <row r="2504" spans="3:7" x14ac:dyDescent="0.2">
      <c r="C2504" s="105"/>
      <c r="D2504" s="4"/>
      <c r="E2504" s="39"/>
      <c r="F2504" s="106"/>
      <c r="G2504" s="7"/>
    </row>
    <row r="2505" spans="3:7" x14ac:dyDescent="0.2">
      <c r="C2505" s="105"/>
      <c r="D2505" s="4"/>
      <c r="E2505" s="39"/>
      <c r="F2505" s="106"/>
      <c r="G2505" s="7"/>
    </row>
    <row r="2506" spans="3:7" x14ac:dyDescent="0.2">
      <c r="C2506" s="105"/>
      <c r="D2506" s="4"/>
      <c r="E2506" s="39"/>
      <c r="F2506" s="106"/>
      <c r="G2506" s="7"/>
    </row>
    <row r="2507" spans="3:7" x14ac:dyDescent="0.2">
      <c r="C2507" s="105"/>
      <c r="D2507" s="4"/>
      <c r="E2507" s="39"/>
      <c r="F2507" s="106"/>
      <c r="G2507" s="7"/>
    </row>
    <row r="2508" spans="3:7" x14ac:dyDescent="0.2">
      <c r="C2508" s="105"/>
      <c r="D2508" s="4"/>
      <c r="E2508" s="39"/>
      <c r="F2508" s="106"/>
      <c r="G2508" s="7"/>
    </row>
    <row r="2509" spans="3:7" x14ac:dyDescent="0.2">
      <c r="C2509" s="105"/>
      <c r="D2509" s="4"/>
      <c r="E2509" s="39"/>
      <c r="F2509" s="106"/>
      <c r="G2509" s="7"/>
    </row>
    <row r="2510" spans="3:7" x14ac:dyDescent="0.2">
      <c r="C2510" s="105"/>
      <c r="D2510" s="4"/>
      <c r="E2510" s="39"/>
      <c r="F2510" s="106"/>
      <c r="G2510" s="7"/>
    </row>
    <row r="2511" spans="3:7" x14ac:dyDescent="0.2">
      <c r="C2511" s="105"/>
      <c r="D2511" s="4"/>
      <c r="E2511" s="39"/>
      <c r="F2511" s="106"/>
      <c r="G2511" s="7"/>
    </row>
    <row r="2512" spans="3:7" x14ac:dyDescent="0.2">
      <c r="C2512" s="105"/>
      <c r="D2512" s="4"/>
      <c r="E2512" s="39"/>
      <c r="F2512" s="106"/>
      <c r="G2512" s="7"/>
    </row>
    <row r="2513" spans="3:7" x14ac:dyDescent="0.2">
      <c r="C2513" s="105"/>
      <c r="D2513" s="4"/>
      <c r="E2513" s="39"/>
      <c r="F2513" s="106"/>
      <c r="G2513" s="7"/>
    </row>
    <row r="2514" spans="3:7" x14ac:dyDescent="0.2">
      <c r="C2514" s="105"/>
      <c r="D2514" s="4"/>
      <c r="E2514" s="39"/>
      <c r="F2514" s="106"/>
      <c r="G2514" s="7"/>
    </row>
    <row r="2515" spans="3:7" x14ac:dyDescent="0.2">
      <c r="C2515" s="105"/>
      <c r="D2515" s="4"/>
      <c r="E2515" s="39"/>
      <c r="F2515" s="106"/>
      <c r="G2515" s="7"/>
    </row>
    <row r="2516" spans="3:7" x14ac:dyDescent="0.2">
      <c r="C2516" s="105"/>
      <c r="D2516" s="4"/>
      <c r="E2516" s="39"/>
      <c r="F2516" s="106"/>
      <c r="G2516" s="7"/>
    </row>
    <row r="2517" spans="3:7" x14ac:dyDescent="0.2">
      <c r="C2517" s="105"/>
      <c r="D2517" s="4"/>
      <c r="E2517" s="39"/>
      <c r="F2517" s="106"/>
      <c r="G2517" s="7"/>
    </row>
    <row r="2518" spans="3:7" x14ac:dyDescent="0.2">
      <c r="C2518" s="105"/>
      <c r="D2518" s="4"/>
      <c r="E2518" s="39"/>
      <c r="F2518" s="106"/>
      <c r="G2518" s="7"/>
    </row>
    <row r="2519" spans="3:7" x14ac:dyDescent="0.2">
      <c r="C2519" s="105"/>
      <c r="D2519" s="4"/>
      <c r="E2519" s="39"/>
      <c r="F2519" s="106"/>
      <c r="G2519" s="7"/>
    </row>
    <row r="2520" spans="3:7" x14ac:dyDescent="0.2">
      <c r="C2520" s="105"/>
      <c r="D2520" s="4"/>
      <c r="E2520" s="39"/>
      <c r="F2520" s="106"/>
      <c r="G2520" s="7"/>
    </row>
    <row r="2521" spans="3:7" x14ac:dyDescent="0.2">
      <c r="C2521" s="105"/>
      <c r="D2521" s="4"/>
      <c r="E2521" s="39"/>
      <c r="F2521" s="106"/>
      <c r="G2521" s="7"/>
    </row>
    <row r="2522" spans="3:7" x14ac:dyDescent="0.2">
      <c r="C2522" s="105"/>
      <c r="D2522" s="4"/>
      <c r="E2522" s="39"/>
      <c r="F2522" s="106"/>
      <c r="G2522" s="7"/>
    </row>
    <row r="2523" spans="3:7" x14ac:dyDescent="0.2">
      <c r="C2523" s="105"/>
      <c r="D2523" s="4"/>
      <c r="E2523" s="39"/>
      <c r="F2523" s="106"/>
      <c r="G2523" s="7"/>
    </row>
    <row r="2524" spans="3:7" x14ac:dyDescent="0.2">
      <c r="C2524" s="105"/>
      <c r="D2524" s="4"/>
      <c r="E2524" s="39"/>
      <c r="F2524" s="106"/>
      <c r="G2524" s="7"/>
    </row>
    <row r="2525" spans="3:7" x14ac:dyDescent="0.2">
      <c r="C2525" s="105"/>
      <c r="D2525" s="4"/>
      <c r="E2525" s="39"/>
      <c r="F2525" s="106"/>
      <c r="G2525" s="7"/>
    </row>
    <row r="2526" spans="3:7" x14ac:dyDescent="0.2">
      <c r="C2526" s="105"/>
      <c r="D2526" s="4"/>
      <c r="E2526" s="39"/>
      <c r="F2526" s="106"/>
      <c r="G2526" s="7"/>
    </row>
    <row r="2527" spans="3:7" x14ac:dyDescent="0.2">
      <c r="C2527" s="105"/>
      <c r="D2527" s="4"/>
      <c r="E2527" s="39"/>
      <c r="F2527" s="106"/>
      <c r="G2527" s="7"/>
    </row>
    <row r="2528" spans="3:7" x14ac:dyDescent="0.2">
      <c r="C2528" s="105"/>
      <c r="D2528" s="4"/>
      <c r="E2528" s="39"/>
      <c r="F2528" s="106"/>
      <c r="G2528" s="7"/>
    </row>
    <row r="2529" spans="3:7" x14ac:dyDescent="0.2">
      <c r="C2529" s="105"/>
      <c r="D2529" s="4"/>
      <c r="E2529" s="39"/>
      <c r="F2529" s="106"/>
      <c r="G2529" s="7"/>
    </row>
    <row r="2530" spans="3:7" x14ac:dyDescent="0.2">
      <c r="C2530" s="105"/>
      <c r="D2530" s="4"/>
      <c r="E2530" s="39"/>
      <c r="F2530" s="106"/>
      <c r="G2530" s="7"/>
    </row>
    <row r="2531" spans="3:7" x14ac:dyDescent="0.2">
      <c r="C2531" s="105"/>
      <c r="D2531" s="4"/>
      <c r="E2531" s="39"/>
      <c r="F2531" s="106"/>
      <c r="G2531" s="7"/>
    </row>
    <row r="2532" spans="3:7" x14ac:dyDescent="0.2">
      <c r="C2532" s="105"/>
      <c r="D2532" s="4"/>
      <c r="E2532" s="39"/>
      <c r="F2532" s="106"/>
      <c r="G2532" s="7"/>
    </row>
    <row r="2533" spans="3:7" x14ac:dyDescent="0.2">
      <c r="C2533" s="105"/>
      <c r="D2533" s="4"/>
      <c r="E2533" s="39"/>
      <c r="F2533" s="106"/>
      <c r="G2533" s="7"/>
    </row>
    <row r="2534" spans="3:7" x14ac:dyDescent="0.2">
      <c r="C2534" s="105"/>
      <c r="D2534" s="4"/>
      <c r="E2534" s="39"/>
      <c r="F2534" s="106"/>
      <c r="G2534" s="7"/>
    </row>
    <row r="2535" spans="3:7" x14ac:dyDescent="0.2">
      <c r="C2535" s="105"/>
      <c r="D2535" s="4"/>
      <c r="E2535" s="39"/>
      <c r="F2535" s="106"/>
      <c r="G2535" s="7"/>
    </row>
    <row r="2536" spans="3:7" x14ac:dyDescent="0.2">
      <c r="C2536" s="105"/>
      <c r="D2536" s="4"/>
      <c r="E2536" s="39"/>
      <c r="F2536" s="106"/>
      <c r="G2536" s="7"/>
    </row>
    <row r="2537" spans="3:7" x14ac:dyDescent="0.2">
      <c r="C2537" s="105"/>
      <c r="D2537" s="4"/>
      <c r="E2537" s="39"/>
      <c r="F2537" s="106"/>
      <c r="G2537" s="7"/>
    </row>
    <row r="2538" spans="3:7" x14ac:dyDescent="0.2">
      <c r="C2538" s="105"/>
      <c r="D2538" s="4"/>
      <c r="E2538" s="39"/>
      <c r="F2538" s="106"/>
      <c r="G2538" s="7"/>
    </row>
    <row r="2539" spans="3:7" x14ac:dyDescent="0.2">
      <c r="C2539" s="105"/>
      <c r="D2539" s="4"/>
      <c r="E2539" s="39"/>
      <c r="F2539" s="106"/>
      <c r="G2539" s="7"/>
    </row>
    <row r="2540" spans="3:7" x14ac:dyDescent="0.2">
      <c r="C2540" s="105"/>
      <c r="D2540" s="4"/>
      <c r="E2540" s="39"/>
      <c r="F2540" s="106"/>
      <c r="G2540" s="7"/>
    </row>
    <row r="2541" spans="3:7" x14ac:dyDescent="0.2">
      <c r="C2541" s="105"/>
      <c r="D2541" s="4"/>
      <c r="E2541" s="39"/>
      <c r="F2541" s="106"/>
      <c r="G2541" s="7"/>
    </row>
    <row r="2542" spans="3:7" x14ac:dyDescent="0.2">
      <c r="C2542" s="105"/>
      <c r="D2542" s="4"/>
      <c r="E2542" s="39"/>
      <c r="F2542" s="106"/>
      <c r="G2542" s="7"/>
    </row>
    <row r="2543" spans="3:7" x14ac:dyDescent="0.2">
      <c r="C2543" s="105"/>
      <c r="D2543" s="4"/>
      <c r="E2543" s="39"/>
      <c r="F2543" s="106"/>
      <c r="G2543" s="7"/>
    </row>
    <row r="2544" spans="3:7" x14ac:dyDescent="0.2">
      <c r="C2544" s="105"/>
      <c r="D2544" s="4"/>
      <c r="E2544" s="39"/>
      <c r="F2544" s="106"/>
      <c r="G2544" s="7"/>
    </row>
    <row r="2545" spans="3:7" x14ac:dyDescent="0.2">
      <c r="C2545" s="105"/>
      <c r="D2545" s="4"/>
      <c r="E2545" s="39"/>
      <c r="F2545" s="106"/>
      <c r="G2545" s="7"/>
    </row>
    <row r="2546" spans="3:7" x14ac:dyDescent="0.2">
      <c r="C2546" s="105"/>
      <c r="D2546" s="4"/>
      <c r="E2546" s="39"/>
      <c r="F2546" s="106"/>
      <c r="G2546" s="7"/>
    </row>
    <row r="2547" spans="3:7" x14ac:dyDescent="0.2">
      <c r="C2547" s="105"/>
      <c r="D2547" s="4"/>
      <c r="E2547" s="39"/>
      <c r="F2547" s="106"/>
      <c r="G2547" s="7"/>
    </row>
    <row r="2548" spans="3:7" x14ac:dyDescent="0.2">
      <c r="C2548" s="105"/>
      <c r="D2548" s="4"/>
      <c r="E2548" s="39"/>
      <c r="F2548" s="106"/>
      <c r="G2548" s="7"/>
    </row>
    <row r="2549" spans="3:7" x14ac:dyDescent="0.2">
      <c r="C2549" s="105"/>
      <c r="D2549" s="4"/>
      <c r="E2549" s="39"/>
      <c r="F2549" s="106"/>
      <c r="G2549" s="7"/>
    </row>
    <row r="2550" spans="3:7" x14ac:dyDescent="0.2">
      <c r="C2550" s="105"/>
      <c r="D2550" s="4"/>
      <c r="E2550" s="39"/>
      <c r="F2550" s="106"/>
      <c r="G2550" s="7"/>
    </row>
    <row r="2551" spans="3:7" x14ac:dyDescent="0.2">
      <c r="C2551" s="105"/>
      <c r="D2551" s="4"/>
      <c r="E2551" s="39"/>
      <c r="F2551" s="106"/>
      <c r="G2551" s="7"/>
    </row>
    <row r="2552" spans="3:7" x14ac:dyDescent="0.2">
      <c r="C2552" s="105"/>
      <c r="D2552" s="4"/>
      <c r="E2552" s="39"/>
      <c r="F2552" s="106"/>
      <c r="G2552" s="7"/>
    </row>
    <row r="2553" spans="3:7" x14ac:dyDescent="0.2">
      <c r="C2553" s="105"/>
      <c r="D2553" s="4"/>
      <c r="E2553" s="39"/>
      <c r="F2553" s="106"/>
      <c r="G2553" s="7"/>
    </row>
    <row r="2554" spans="3:7" x14ac:dyDescent="0.2">
      <c r="C2554" s="105"/>
      <c r="D2554" s="4"/>
      <c r="E2554" s="39"/>
      <c r="F2554" s="106"/>
      <c r="G2554" s="7"/>
    </row>
    <row r="2555" spans="3:7" x14ac:dyDescent="0.2">
      <c r="C2555" s="105"/>
      <c r="D2555" s="4"/>
      <c r="E2555" s="39"/>
      <c r="F2555" s="106"/>
      <c r="G2555" s="7"/>
    </row>
    <row r="2556" spans="3:7" x14ac:dyDescent="0.2">
      <c r="C2556" s="105"/>
      <c r="D2556" s="4"/>
      <c r="E2556" s="39"/>
      <c r="F2556" s="106"/>
      <c r="G2556" s="7"/>
    </row>
    <row r="2557" spans="3:7" x14ac:dyDescent="0.2">
      <c r="C2557" s="105"/>
      <c r="D2557" s="4"/>
      <c r="E2557" s="39"/>
      <c r="F2557" s="106"/>
      <c r="G2557" s="7"/>
    </row>
    <row r="2558" spans="3:7" x14ac:dyDescent="0.2">
      <c r="C2558" s="105"/>
      <c r="D2558" s="4"/>
      <c r="E2558" s="39"/>
      <c r="F2558" s="106"/>
      <c r="G2558" s="7"/>
    </row>
    <row r="2559" spans="3:7" x14ac:dyDescent="0.2">
      <c r="C2559" s="105"/>
      <c r="D2559" s="4"/>
      <c r="E2559" s="39"/>
      <c r="F2559" s="106"/>
      <c r="G2559" s="7"/>
    </row>
    <row r="2560" spans="3:7" x14ac:dyDescent="0.2">
      <c r="C2560" s="105"/>
      <c r="D2560" s="4"/>
      <c r="E2560" s="39"/>
      <c r="F2560" s="106"/>
      <c r="G2560" s="7"/>
    </row>
    <row r="2561" spans="3:7" x14ac:dyDescent="0.2">
      <c r="C2561" s="105"/>
      <c r="D2561" s="4"/>
      <c r="E2561" s="39"/>
      <c r="F2561" s="106"/>
      <c r="G2561" s="7"/>
    </row>
    <row r="2562" spans="3:7" x14ac:dyDescent="0.2">
      <c r="C2562" s="105"/>
      <c r="D2562" s="4"/>
      <c r="E2562" s="39"/>
      <c r="F2562" s="106"/>
      <c r="G2562" s="7"/>
    </row>
    <row r="2563" spans="3:7" x14ac:dyDescent="0.2">
      <c r="C2563" s="105"/>
      <c r="D2563" s="4"/>
      <c r="E2563" s="39"/>
      <c r="F2563" s="106"/>
      <c r="G2563" s="7"/>
    </row>
    <row r="2564" spans="3:7" x14ac:dyDescent="0.2">
      <c r="C2564" s="105"/>
      <c r="D2564" s="4"/>
      <c r="E2564" s="39"/>
      <c r="F2564" s="106"/>
      <c r="G2564" s="7"/>
    </row>
    <row r="2565" spans="3:7" x14ac:dyDescent="0.2">
      <c r="C2565" s="105"/>
      <c r="D2565" s="4"/>
      <c r="E2565" s="39"/>
      <c r="F2565" s="106"/>
      <c r="G2565" s="7"/>
    </row>
    <row r="2566" spans="3:7" x14ac:dyDescent="0.2">
      <c r="C2566" s="105"/>
      <c r="D2566" s="4"/>
      <c r="E2566" s="39"/>
      <c r="F2566" s="106"/>
      <c r="G2566" s="7"/>
    </row>
    <row r="2567" spans="3:7" x14ac:dyDescent="0.2">
      <c r="C2567" s="105"/>
      <c r="D2567" s="4"/>
      <c r="E2567" s="39"/>
      <c r="F2567" s="106"/>
      <c r="G2567" s="7"/>
    </row>
    <row r="2568" spans="3:7" x14ac:dyDescent="0.2">
      <c r="C2568" s="105"/>
      <c r="D2568" s="4"/>
      <c r="E2568" s="39"/>
      <c r="F2568" s="106"/>
      <c r="G2568" s="7"/>
    </row>
    <row r="2569" spans="3:7" x14ac:dyDescent="0.2">
      <c r="C2569" s="105"/>
      <c r="D2569" s="4"/>
      <c r="E2569" s="39"/>
      <c r="F2569" s="106"/>
      <c r="G2569" s="7"/>
    </row>
    <row r="2570" spans="3:7" x14ac:dyDescent="0.2">
      <c r="C2570" s="105"/>
      <c r="D2570" s="4"/>
      <c r="E2570" s="39"/>
      <c r="F2570" s="106"/>
      <c r="G2570" s="7"/>
    </row>
    <row r="2571" spans="3:7" x14ac:dyDescent="0.2">
      <c r="C2571" s="105"/>
      <c r="D2571" s="4"/>
      <c r="E2571" s="39"/>
      <c r="F2571" s="106"/>
      <c r="G2571" s="7"/>
    </row>
    <row r="2572" spans="3:7" x14ac:dyDescent="0.2">
      <c r="C2572" s="105"/>
      <c r="D2572" s="4"/>
      <c r="E2572" s="39"/>
      <c r="F2572" s="106"/>
      <c r="G2572" s="7"/>
    </row>
    <row r="2573" spans="3:7" x14ac:dyDescent="0.2">
      <c r="C2573" s="105"/>
      <c r="D2573" s="4"/>
      <c r="E2573" s="39"/>
      <c r="F2573" s="106"/>
      <c r="G2573" s="7"/>
    </row>
    <row r="2574" spans="3:7" x14ac:dyDescent="0.2">
      <c r="C2574" s="105"/>
      <c r="D2574" s="4"/>
      <c r="E2574" s="39"/>
      <c r="F2574" s="106"/>
      <c r="G2574" s="7"/>
    </row>
    <row r="2575" spans="3:7" x14ac:dyDescent="0.2">
      <c r="C2575" s="105"/>
      <c r="D2575" s="4"/>
      <c r="E2575" s="39"/>
      <c r="F2575" s="106"/>
      <c r="G2575" s="7"/>
    </row>
    <row r="2576" spans="3:7" x14ac:dyDescent="0.2">
      <c r="C2576" s="105"/>
      <c r="D2576" s="4"/>
      <c r="E2576" s="39"/>
      <c r="F2576" s="106"/>
      <c r="G2576" s="7"/>
    </row>
    <row r="2577" spans="3:7" x14ac:dyDescent="0.2">
      <c r="C2577" s="105"/>
      <c r="D2577" s="4"/>
      <c r="E2577" s="39"/>
      <c r="F2577" s="106"/>
      <c r="G2577" s="7"/>
    </row>
    <row r="2578" spans="3:7" x14ac:dyDescent="0.2">
      <c r="C2578" s="105"/>
      <c r="D2578" s="4"/>
      <c r="E2578" s="39"/>
      <c r="F2578" s="106"/>
      <c r="G2578" s="7"/>
    </row>
    <row r="2579" spans="3:7" x14ac:dyDescent="0.2">
      <c r="C2579" s="105"/>
      <c r="D2579" s="4"/>
      <c r="E2579" s="39"/>
      <c r="F2579" s="106"/>
      <c r="G2579" s="7"/>
    </row>
    <row r="2580" spans="3:7" x14ac:dyDescent="0.2">
      <c r="C2580" s="105"/>
      <c r="D2580" s="4"/>
      <c r="E2580" s="39"/>
      <c r="F2580" s="106"/>
      <c r="G2580" s="7"/>
    </row>
    <row r="2581" spans="3:7" x14ac:dyDescent="0.2">
      <c r="C2581" s="105"/>
      <c r="D2581" s="4"/>
      <c r="E2581" s="39"/>
      <c r="F2581" s="106"/>
      <c r="G2581" s="7"/>
    </row>
    <row r="2582" spans="3:7" x14ac:dyDescent="0.2">
      <c r="C2582" s="105"/>
      <c r="D2582" s="4"/>
      <c r="E2582" s="39"/>
      <c r="F2582" s="106"/>
      <c r="G2582" s="7"/>
    </row>
    <row r="2583" spans="3:7" x14ac:dyDescent="0.2">
      <c r="C2583" s="105"/>
      <c r="D2583" s="4"/>
      <c r="E2583" s="39"/>
      <c r="F2583" s="106"/>
      <c r="G2583" s="7"/>
    </row>
    <row r="2584" spans="3:7" x14ac:dyDescent="0.2">
      <c r="C2584" s="105"/>
      <c r="D2584" s="4"/>
      <c r="E2584" s="39"/>
      <c r="F2584" s="106"/>
      <c r="G2584" s="7"/>
    </row>
    <row r="2585" spans="3:7" x14ac:dyDescent="0.2">
      <c r="C2585" s="105"/>
      <c r="D2585" s="4"/>
      <c r="E2585" s="39"/>
      <c r="F2585" s="106"/>
      <c r="G2585" s="7"/>
    </row>
    <row r="2586" spans="3:7" x14ac:dyDescent="0.2">
      <c r="C2586" s="105"/>
      <c r="D2586" s="4"/>
      <c r="E2586" s="39"/>
      <c r="F2586" s="106"/>
      <c r="G2586" s="7"/>
    </row>
    <row r="2587" spans="3:7" x14ac:dyDescent="0.2">
      <c r="C2587" s="105"/>
      <c r="D2587" s="4"/>
      <c r="E2587" s="39"/>
      <c r="F2587" s="106"/>
      <c r="G2587" s="7"/>
    </row>
    <row r="2588" spans="3:7" x14ac:dyDescent="0.2">
      <c r="C2588" s="105"/>
      <c r="D2588" s="4"/>
      <c r="E2588" s="39"/>
      <c r="F2588" s="106"/>
      <c r="G2588" s="7"/>
    </row>
    <row r="2589" spans="3:7" x14ac:dyDescent="0.2">
      <c r="C2589" s="105"/>
      <c r="D2589" s="4"/>
      <c r="E2589" s="39"/>
      <c r="F2589" s="106"/>
      <c r="G2589" s="7"/>
    </row>
    <row r="2590" spans="3:7" x14ac:dyDescent="0.2">
      <c r="C2590" s="105"/>
      <c r="D2590" s="4"/>
      <c r="E2590" s="39"/>
      <c r="F2590" s="106"/>
      <c r="G2590" s="7"/>
    </row>
    <row r="2591" spans="3:7" x14ac:dyDescent="0.2">
      <c r="C2591" s="105"/>
      <c r="D2591" s="4"/>
      <c r="E2591" s="39"/>
      <c r="F2591" s="106"/>
      <c r="G2591" s="7"/>
    </row>
    <row r="2592" spans="3:7" x14ac:dyDescent="0.2">
      <c r="C2592" s="105"/>
      <c r="D2592" s="4"/>
      <c r="E2592" s="39"/>
      <c r="F2592" s="106"/>
      <c r="G2592" s="7"/>
    </row>
    <row r="2593" spans="3:7" x14ac:dyDescent="0.2">
      <c r="C2593" s="105"/>
      <c r="D2593" s="4"/>
      <c r="E2593" s="39"/>
      <c r="F2593" s="106"/>
      <c r="G2593" s="7"/>
    </row>
    <row r="2594" spans="3:7" x14ac:dyDescent="0.2">
      <c r="C2594" s="105"/>
      <c r="D2594" s="4"/>
      <c r="E2594" s="39"/>
      <c r="F2594" s="106"/>
      <c r="G2594" s="7"/>
    </row>
    <row r="2595" spans="3:7" x14ac:dyDescent="0.2">
      <c r="C2595" s="105"/>
      <c r="D2595" s="4"/>
      <c r="E2595" s="39"/>
      <c r="F2595" s="106"/>
      <c r="G2595" s="7"/>
    </row>
    <row r="2596" spans="3:7" x14ac:dyDescent="0.2">
      <c r="C2596" s="105"/>
      <c r="D2596" s="4"/>
      <c r="E2596" s="39"/>
      <c r="F2596" s="106"/>
      <c r="G2596" s="7"/>
    </row>
    <row r="2597" spans="3:7" x14ac:dyDescent="0.2">
      <c r="C2597" s="105"/>
      <c r="D2597" s="4"/>
      <c r="E2597" s="39"/>
      <c r="F2597" s="106"/>
      <c r="G2597" s="7"/>
    </row>
    <row r="2598" spans="3:7" x14ac:dyDescent="0.2">
      <c r="C2598" s="105"/>
      <c r="D2598" s="4"/>
      <c r="E2598" s="39"/>
      <c r="F2598" s="106"/>
      <c r="G2598" s="7"/>
    </row>
    <row r="2599" spans="3:7" x14ac:dyDescent="0.2">
      <c r="C2599" s="105"/>
      <c r="D2599" s="4"/>
      <c r="E2599" s="39"/>
      <c r="F2599" s="106"/>
      <c r="G2599" s="7"/>
    </row>
    <row r="2600" spans="3:7" x14ac:dyDescent="0.2">
      <c r="C2600" s="105"/>
      <c r="D2600" s="4"/>
      <c r="E2600" s="39"/>
      <c r="F2600" s="106"/>
      <c r="G2600" s="7"/>
    </row>
    <row r="2601" spans="3:7" x14ac:dyDescent="0.2">
      <c r="C2601" s="105"/>
      <c r="D2601" s="4"/>
      <c r="E2601" s="39"/>
      <c r="F2601" s="106"/>
      <c r="G2601" s="7"/>
    </row>
    <row r="2602" spans="3:7" x14ac:dyDescent="0.2">
      <c r="C2602" s="105"/>
      <c r="D2602" s="4"/>
      <c r="E2602" s="39"/>
      <c r="F2602" s="106"/>
      <c r="G2602" s="7"/>
    </row>
    <row r="2603" spans="3:7" x14ac:dyDescent="0.2">
      <c r="C2603" s="105"/>
      <c r="D2603" s="4"/>
      <c r="E2603" s="39"/>
      <c r="F2603" s="106"/>
      <c r="G2603" s="7"/>
    </row>
    <row r="2604" spans="3:7" x14ac:dyDescent="0.2">
      <c r="C2604" s="105"/>
      <c r="D2604" s="4"/>
      <c r="E2604" s="39"/>
      <c r="F2604" s="106"/>
      <c r="G2604" s="7"/>
    </row>
    <row r="2605" spans="3:7" x14ac:dyDescent="0.2">
      <c r="C2605" s="105"/>
      <c r="D2605" s="4"/>
      <c r="E2605" s="39"/>
      <c r="F2605" s="106"/>
      <c r="G2605" s="7"/>
    </row>
    <row r="2606" spans="3:7" x14ac:dyDescent="0.2">
      <c r="C2606" s="105"/>
      <c r="D2606" s="4"/>
      <c r="E2606" s="39"/>
      <c r="F2606" s="106"/>
      <c r="G2606" s="7"/>
    </row>
    <row r="2607" spans="3:7" x14ac:dyDescent="0.2">
      <c r="C2607" s="105"/>
      <c r="D2607" s="4"/>
      <c r="E2607" s="39"/>
      <c r="F2607" s="106"/>
      <c r="G2607" s="7"/>
    </row>
    <row r="2608" spans="3:7" x14ac:dyDescent="0.2">
      <c r="C2608" s="105"/>
      <c r="D2608" s="4"/>
      <c r="E2608" s="39"/>
      <c r="F2608" s="106"/>
      <c r="G2608" s="7"/>
    </row>
    <row r="2609" spans="3:7" x14ac:dyDescent="0.2">
      <c r="C2609" s="105"/>
      <c r="D2609" s="4"/>
      <c r="E2609" s="39"/>
      <c r="F2609" s="106"/>
      <c r="G2609" s="7"/>
    </row>
    <row r="2610" spans="3:7" x14ac:dyDescent="0.2">
      <c r="C2610" s="105"/>
      <c r="D2610" s="4"/>
      <c r="E2610" s="39"/>
      <c r="F2610" s="106"/>
      <c r="G2610" s="7"/>
    </row>
    <row r="2611" spans="3:7" x14ac:dyDescent="0.2">
      <c r="C2611" s="105"/>
      <c r="D2611" s="4"/>
      <c r="E2611" s="39"/>
      <c r="F2611" s="106"/>
      <c r="G2611" s="7"/>
    </row>
    <row r="2612" spans="3:7" x14ac:dyDescent="0.2">
      <c r="C2612" s="105"/>
      <c r="D2612" s="4"/>
      <c r="E2612" s="39"/>
      <c r="F2612" s="106"/>
      <c r="G2612" s="7"/>
    </row>
    <row r="2613" spans="3:7" x14ac:dyDescent="0.2">
      <c r="C2613" s="105"/>
      <c r="D2613" s="4"/>
      <c r="E2613" s="39"/>
      <c r="F2613" s="106"/>
      <c r="G2613" s="7"/>
    </row>
    <row r="2614" spans="3:7" x14ac:dyDescent="0.2">
      <c r="C2614" s="105"/>
      <c r="D2614" s="4"/>
      <c r="E2614" s="39"/>
      <c r="F2614" s="106"/>
      <c r="G2614" s="7"/>
    </row>
    <row r="2615" spans="3:7" x14ac:dyDescent="0.2">
      <c r="C2615" s="105"/>
      <c r="D2615" s="4"/>
      <c r="E2615" s="39"/>
      <c r="F2615" s="106"/>
      <c r="G2615" s="7"/>
    </row>
    <row r="2616" spans="3:7" x14ac:dyDescent="0.2">
      <c r="C2616" s="105"/>
      <c r="D2616" s="4"/>
      <c r="E2616" s="39"/>
      <c r="F2616" s="106"/>
      <c r="G2616" s="7"/>
    </row>
    <row r="2617" spans="3:7" x14ac:dyDescent="0.2">
      <c r="C2617" s="105"/>
      <c r="D2617" s="4"/>
      <c r="E2617" s="39"/>
      <c r="F2617" s="106"/>
      <c r="G2617" s="7"/>
    </row>
    <row r="2618" spans="3:7" x14ac:dyDescent="0.2">
      <c r="C2618" s="105"/>
      <c r="D2618" s="4"/>
      <c r="E2618" s="39"/>
      <c r="F2618" s="106"/>
      <c r="G2618" s="7"/>
    </row>
    <row r="2619" spans="3:7" x14ac:dyDescent="0.2">
      <c r="C2619" s="105"/>
      <c r="D2619" s="4"/>
      <c r="E2619" s="39"/>
      <c r="F2619" s="106"/>
      <c r="G2619" s="7"/>
    </row>
    <row r="2620" spans="3:7" x14ac:dyDescent="0.2">
      <c r="C2620" s="105"/>
      <c r="D2620" s="4"/>
      <c r="E2620" s="39"/>
      <c r="F2620" s="106"/>
      <c r="G2620" s="7"/>
    </row>
    <row r="2621" spans="3:7" x14ac:dyDescent="0.2">
      <c r="C2621" s="105"/>
      <c r="D2621" s="4"/>
      <c r="E2621" s="39"/>
      <c r="F2621" s="106"/>
      <c r="G2621" s="7"/>
    </row>
    <row r="2622" spans="3:7" x14ac:dyDescent="0.2">
      <c r="C2622" s="105"/>
      <c r="D2622" s="4"/>
      <c r="E2622" s="39"/>
      <c r="F2622" s="106"/>
      <c r="G2622" s="7"/>
    </row>
    <row r="2623" spans="3:7" x14ac:dyDescent="0.2">
      <c r="C2623" s="105"/>
      <c r="D2623" s="4"/>
      <c r="E2623" s="39"/>
      <c r="F2623" s="106"/>
      <c r="G2623" s="7"/>
    </row>
    <row r="2624" spans="3:7" x14ac:dyDescent="0.2">
      <c r="C2624" s="105"/>
      <c r="D2624" s="4"/>
      <c r="E2624" s="39"/>
      <c r="F2624" s="106"/>
      <c r="G2624" s="7"/>
    </row>
    <row r="2625" spans="3:7" x14ac:dyDescent="0.2">
      <c r="C2625" s="105"/>
      <c r="D2625" s="4"/>
      <c r="E2625" s="39"/>
      <c r="F2625" s="106"/>
      <c r="G2625" s="7"/>
    </row>
    <row r="2626" spans="3:7" x14ac:dyDescent="0.2">
      <c r="C2626" s="105"/>
      <c r="D2626" s="4"/>
      <c r="E2626" s="39"/>
      <c r="F2626" s="106"/>
      <c r="G2626" s="7"/>
    </row>
    <row r="2627" spans="3:7" x14ac:dyDescent="0.2">
      <c r="C2627" s="105"/>
      <c r="D2627" s="4"/>
      <c r="E2627" s="39"/>
      <c r="F2627" s="106"/>
      <c r="G2627" s="7"/>
    </row>
    <row r="2628" spans="3:7" x14ac:dyDescent="0.2">
      <c r="C2628" s="105"/>
      <c r="D2628" s="4"/>
      <c r="E2628" s="39"/>
      <c r="F2628" s="106"/>
      <c r="G2628" s="7"/>
    </row>
    <row r="2629" spans="3:7" x14ac:dyDescent="0.2">
      <c r="C2629" s="105"/>
      <c r="D2629" s="4"/>
      <c r="E2629" s="39"/>
      <c r="F2629" s="106"/>
      <c r="G2629" s="7"/>
    </row>
    <row r="2630" spans="3:7" x14ac:dyDescent="0.2">
      <c r="C2630" s="105"/>
      <c r="D2630" s="4"/>
      <c r="E2630" s="39"/>
      <c r="F2630" s="106"/>
      <c r="G2630" s="7"/>
    </row>
    <row r="2631" spans="3:7" x14ac:dyDescent="0.2">
      <c r="C2631" s="105"/>
      <c r="D2631" s="4"/>
      <c r="E2631" s="39"/>
      <c r="F2631" s="106"/>
      <c r="G2631" s="7"/>
    </row>
    <row r="2632" spans="3:7" x14ac:dyDescent="0.2">
      <c r="C2632" s="105"/>
      <c r="D2632" s="4"/>
      <c r="E2632" s="39"/>
      <c r="F2632" s="106"/>
      <c r="G2632" s="7"/>
    </row>
    <row r="2633" spans="3:7" x14ac:dyDescent="0.2">
      <c r="C2633" s="105"/>
      <c r="D2633" s="4"/>
      <c r="E2633" s="39"/>
      <c r="F2633" s="106"/>
      <c r="G2633" s="7"/>
    </row>
    <row r="2634" spans="3:7" x14ac:dyDescent="0.2">
      <c r="C2634" s="105"/>
      <c r="D2634" s="4"/>
      <c r="E2634" s="39"/>
      <c r="F2634" s="106"/>
      <c r="G2634" s="7"/>
    </row>
    <row r="2635" spans="3:7" x14ac:dyDescent="0.2">
      <c r="C2635" s="105"/>
      <c r="D2635" s="4"/>
      <c r="E2635" s="39"/>
      <c r="F2635" s="106"/>
      <c r="G2635" s="7"/>
    </row>
    <row r="2636" spans="3:7" x14ac:dyDescent="0.2">
      <c r="C2636" s="105"/>
      <c r="D2636" s="4"/>
      <c r="E2636" s="39"/>
      <c r="F2636" s="106"/>
      <c r="G2636" s="7"/>
    </row>
    <row r="2637" spans="3:7" x14ac:dyDescent="0.2">
      <c r="C2637" s="105"/>
      <c r="D2637" s="4"/>
      <c r="E2637" s="39"/>
      <c r="F2637" s="106"/>
      <c r="G2637" s="7"/>
    </row>
    <row r="2638" spans="3:7" x14ac:dyDescent="0.2">
      <c r="C2638" s="105"/>
      <c r="D2638" s="4"/>
      <c r="E2638" s="39"/>
      <c r="F2638" s="106"/>
      <c r="G2638" s="7"/>
    </row>
    <row r="2639" spans="3:7" x14ac:dyDescent="0.2">
      <c r="C2639" s="105"/>
      <c r="D2639" s="4"/>
      <c r="E2639" s="39"/>
      <c r="F2639" s="106"/>
      <c r="G2639" s="7"/>
    </row>
    <row r="2640" spans="3:7" x14ac:dyDescent="0.2">
      <c r="C2640" s="105"/>
      <c r="D2640" s="4"/>
      <c r="E2640" s="39"/>
      <c r="F2640" s="106"/>
      <c r="G2640" s="7"/>
    </row>
    <row r="2641" spans="3:7" x14ac:dyDescent="0.2">
      <c r="C2641" s="105"/>
      <c r="D2641" s="4"/>
      <c r="E2641" s="39"/>
      <c r="F2641" s="106"/>
      <c r="G2641" s="7"/>
    </row>
    <row r="2642" spans="3:7" x14ac:dyDescent="0.2">
      <c r="C2642" s="105"/>
      <c r="D2642" s="4"/>
      <c r="E2642" s="39"/>
      <c r="F2642" s="106"/>
      <c r="G2642" s="7"/>
    </row>
    <row r="2643" spans="3:7" x14ac:dyDescent="0.2">
      <c r="C2643" s="105"/>
      <c r="D2643" s="4"/>
      <c r="E2643" s="39"/>
      <c r="F2643" s="106"/>
      <c r="G2643" s="7"/>
    </row>
    <row r="2644" spans="3:7" x14ac:dyDescent="0.2">
      <c r="C2644" s="105"/>
      <c r="D2644" s="4"/>
      <c r="E2644" s="39"/>
      <c r="F2644" s="106"/>
      <c r="G2644" s="7"/>
    </row>
    <row r="2645" spans="3:7" x14ac:dyDescent="0.2">
      <c r="C2645" s="105"/>
      <c r="D2645" s="4"/>
      <c r="E2645" s="39"/>
      <c r="F2645" s="106"/>
      <c r="G2645" s="7"/>
    </row>
    <row r="2646" spans="3:7" x14ac:dyDescent="0.2">
      <c r="C2646" s="105"/>
      <c r="D2646" s="4"/>
      <c r="E2646" s="39"/>
      <c r="F2646" s="106"/>
      <c r="G2646" s="7"/>
    </row>
    <row r="2647" spans="3:7" x14ac:dyDescent="0.2">
      <c r="C2647" s="105"/>
      <c r="D2647" s="4"/>
      <c r="E2647" s="39"/>
      <c r="F2647" s="106"/>
      <c r="G2647" s="7"/>
    </row>
    <row r="2648" spans="3:7" x14ac:dyDescent="0.2">
      <c r="C2648" s="105"/>
      <c r="D2648" s="4"/>
      <c r="E2648" s="39"/>
      <c r="F2648" s="106"/>
      <c r="G2648" s="7"/>
    </row>
    <row r="2649" spans="3:7" x14ac:dyDescent="0.2">
      <c r="C2649" s="105"/>
      <c r="D2649" s="4"/>
      <c r="E2649" s="39"/>
      <c r="F2649" s="106"/>
      <c r="G2649" s="7"/>
    </row>
    <row r="2650" spans="3:7" x14ac:dyDescent="0.2">
      <c r="C2650" s="105"/>
      <c r="D2650" s="4"/>
      <c r="E2650" s="39"/>
      <c r="F2650" s="106"/>
      <c r="G2650" s="7"/>
    </row>
    <row r="2651" spans="3:7" x14ac:dyDescent="0.2">
      <c r="C2651" s="105"/>
      <c r="D2651" s="4"/>
      <c r="E2651" s="39"/>
      <c r="F2651" s="106"/>
      <c r="G2651" s="7"/>
    </row>
    <row r="2652" spans="3:7" x14ac:dyDescent="0.2">
      <c r="C2652" s="105"/>
      <c r="D2652" s="4"/>
      <c r="E2652" s="39"/>
      <c r="F2652" s="106"/>
      <c r="G2652" s="7"/>
    </row>
    <row r="2653" spans="3:7" x14ac:dyDescent="0.2">
      <c r="C2653" s="105"/>
      <c r="D2653" s="4"/>
      <c r="E2653" s="39"/>
      <c r="F2653" s="106"/>
      <c r="G2653" s="7"/>
    </row>
    <row r="2654" spans="3:7" x14ac:dyDescent="0.2">
      <c r="C2654" s="105"/>
      <c r="D2654" s="4"/>
      <c r="E2654" s="39"/>
      <c r="F2654" s="106"/>
      <c r="G2654" s="7"/>
    </row>
    <row r="2655" spans="3:7" x14ac:dyDescent="0.2">
      <c r="C2655" s="105"/>
      <c r="D2655" s="4"/>
      <c r="E2655" s="39"/>
      <c r="F2655" s="106"/>
      <c r="G2655" s="7"/>
    </row>
    <row r="2656" spans="3:7" x14ac:dyDescent="0.2">
      <c r="C2656" s="105"/>
      <c r="D2656" s="4"/>
      <c r="E2656" s="39"/>
      <c r="F2656" s="106"/>
      <c r="G2656" s="7"/>
    </row>
    <row r="2657" spans="3:7" x14ac:dyDescent="0.2">
      <c r="C2657" s="105"/>
      <c r="D2657" s="4"/>
      <c r="E2657" s="39"/>
      <c r="F2657" s="106"/>
      <c r="G2657" s="7"/>
    </row>
    <row r="2658" spans="3:7" x14ac:dyDescent="0.2">
      <c r="C2658" s="105"/>
      <c r="D2658" s="4"/>
      <c r="E2658" s="39"/>
      <c r="F2658" s="106"/>
      <c r="G2658" s="7"/>
    </row>
    <row r="2659" spans="3:7" x14ac:dyDescent="0.2">
      <c r="C2659" s="105"/>
      <c r="D2659" s="4"/>
      <c r="E2659" s="39"/>
      <c r="F2659" s="106"/>
      <c r="G2659" s="7"/>
    </row>
    <row r="2660" spans="3:7" x14ac:dyDescent="0.2">
      <c r="C2660" s="105"/>
      <c r="D2660" s="4"/>
      <c r="E2660" s="39"/>
      <c r="F2660" s="106"/>
      <c r="G2660" s="7"/>
    </row>
    <row r="2661" spans="3:7" x14ac:dyDescent="0.2">
      <c r="C2661" s="105"/>
      <c r="D2661" s="4"/>
      <c r="E2661" s="39"/>
      <c r="F2661" s="106"/>
      <c r="G2661" s="7"/>
    </row>
    <row r="2662" spans="3:7" x14ac:dyDescent="0.2">
      <c r="C2662" s="105"/>
      <c r="D2662" s="4"/>
      <c r="E2662" s="39"/>
      <c r="F2662" s="106"/>
      <c r="G2662" s="7"/>
    </row>
    <row r="2663" spans="3:7" x14ac:dyDescent="0.2">
      <c r="C2663" s="105"/>
      <c r="D2663" s="4"/>
      <c r="E2663" s="39"/>
      <c r="F2663" s="106"/>
      <c r="G2663" s="7"/>
    </row>
    <row r="2664" spans="3:7" x14ac:dyDescent="0.2">
      <c r="C2664" s="105"/>
      <c r="D2664" s="4"/>
      <c r="E2664" s="39"/>
      <c r="F2664" s="106"/>
      <c r="G2664" s="7"/>
    </row>
    <row r="2665" spans="3:7" x14ac:dyDescent="0.2">
      <c r="C2665" s="105"/>
      <c r="D2665" s="4"/>
      <c r="E2665" s="39"/>
      <c r="F2665" s="106"/>
      <c r="G2665" s="7"/>
    </row>
    <row r="2666" spans="3:7" x14ac:dyDescent="0.2">
      <c r="C2666" s="105"/>
      <c r="D2666" s="4"/>
      <c r="E2666" s="39"/>
      <c r="F2666" s="106"/>
      <c r="G2666" s="7"/>
    </row>
    <row r="2667" spans="3:7" x14ac:dyDescent="0.2">
      <c r="C2667" s="105"/>
      <c r="D2667" s="4"/>
      <c r="E2667" s="39"/>
      <c r="F2667" s="106"/>
      <c r="G2667" s="7"/>
    </row>
    <row r="2668" spans="3:7" x14ac:dyDescent="0.2">
      <c r="C2668" s="105"/>
      <c r="D2668" s="4"/>
      <c r="E2668" s="39"/>
      <c r="F2668" s="106"/>
      <c r="G2668" s="7"/>
    </row>
    <row r="2669" spans="3:7" x14ac:dyDescent="0.2">
      <c r="C2669" s="105"/>
      <c r="D2669" s="4"/>
      <c r="E2669" s="39"/>
      <c r="F2669" s="106"/>
      <c r="G2669" s="7"/>
    </row>
    <row r="2670" spans="3:7" x14ac:dyDescent="0.2">
      <c r="C2670" s="105"/>
      <c r="D2670" s="4"/>
      <c r="E2670" s="39"/>
      <c r="F2670" s="106"/>
      <c r="G2670" s="7"/>
    </row>
    <row r="2671" spans="3:7" x14ac:dyDescent="0.2">
      <c r="C2671" s="105"/>
      <c r="D2671" s="4"/>
      <c r="E2671" s="39"/>
      <c r="F2671" s="106"/>
      <c r="G2671" s="7"/>
    </row>
    <row r="2672" spans="3:7" x14ac:dyDescent="0.2">
      <c r="C2672" s="105"/>
      <c r="D2672" s="4"/>
      <c r="E2672" s="39"/>
      <c r="F2672" s="106"/>
      <c r="G2672" s="7"/>
    </row>
    <row r="2673" spans="3:7" x14ac:dyDescent="0.2">
      <c r="C2673" s="105"/>
      <c r="D2673" s="4"/>
      <c r="E2673" s="39"/>
      <c r="F2673" s="106"/>
      <c r="G2673" s="7"/>
    </row>
    <row r="2674" spans="3:7" x14ac:dyDescent="0.2">
      <c r="C2674" s="105"/>
      <c r="D2674" s="4"/>
      <c r="E2674" s="39"/>
      <c r="F2674" s="106"/>
      <c r="G2674" s="7"/>
    </row>
    <row r="2675" spans="3:7" x14ac:dyDescent="0.2">
      <c r="C2675" s="105"/>
      <c r="D2675" s="4"/>
      <c r="E2675" s="39"/>
      <c r="F2675" s="106"/>
      <c r="G2675" s="7"/>
    </row>
    <row r="2676" spans="3:7" x14ac:dyDescent="0.2">
      <c r="C2676" s="105"/>
      <c r="D2676" s="4"/>
      <c r="E2676" s="39"/>
      <c r="F2676" s="106"/>
      <c r="G2676" s="7"/>
    </row>
    <row r="2677" spans="3:7" x14ac:dyDescent="0.2">
      <c r="C2677" s="105"/>
      <c r="D2677" s="4"/>
      <c r="E2677" s="39"/>
      <c r="F2677" s="106"/>
      <c r="G2677" s="7"/>
    </row>
    <row r="2678" spans="3:7" x14ac:dyDescent="0.2">
      <c r="C2678" s="105"/>
      <c r="D2678" s="4"/>
      <c r="E2678" s="39"/>
      <c r="F2678" s="106"/>
      <c r="G2678" s="7"/>
    </row>
    <row r="2679" spans="3:7" x14ac:dyDescent="0.2">
      <c r="C2679" s="105"/>
      <c r="D2679" s="4"/>
      <c r="E2679" s="39"/>
      <c r="F2679" s="106"/>
      <c r="G2679" s="7"/>
    </row>
    <row r="2680" spans="3:7" x14ac:dyDescent="0.2">
      <c r="C2680" s="105"/>
      <c r="D2680" s="4"/>
      <c r="E2680" s="39"/>
      <c r="F2680" s="106"/>
      <c r="G2680" s="7"/>
    </row>
    <row r="2681" spans="3:7" x14ac:dyDescent="0.2">
      <c r="C2681" s="105"/>
      <c r="D2681" s="4"/>
      <c r="E2681" s="39"/>
      <c r="F2681" s="106"/>
      <c r="G2681" s="7"/>
    </row>
    <row r="2682" spans="3:7" x14ac:dyDescent="0.2">
      <c r="C2682" s="105"/>
      <c r="D2682" s="4"/>
      <c r="E2682" s="39"/>
      <c r="F2682" s="106"/>
      <c r="G2682" s="7"/>
    </row>
    <row r="2683" spans="3:7" x14ac:dyDescent="0.2">
      <c r="C2683" s="105"/>
      <c r="D2683" s="4"/>
      <c r="E2683" s="39"/>
      <c r="F2683" s="106"/>
      <c r="G2683" s="7"/>
    </row>
    <row r="2684" spans="3:7" x14ac:dyDescent="0.2">
      <c r="C2684" s="105"/>
      <c r="D2684" s="4"/>
      <c r="E2684" s="39"/>
      <c r="F2684" s="106"/>
      <c r="G2684" s="7"/>
    </row>
    <row r="2685" spans="3:7" x14ac:dyDescent="0.2">
      <c r="C2685" s="105"/>
      <c r="D2685" s="4"/>
      <c r="E2685" s="39"/>
      <c r="F2685" s="106"/>
      <c r="G2685" s="7"/>
    </row>
    <row r="2686" spans="3:7" x14ac:dyDescent="0.2">
      <c r="C2686" s="105"/>
      <c r="D2686" s="4"/>
      <c r="E2686" s="39"/>
      <c r="F2686" s="106"/>
      <c r="G2686" s="7"/>
    </row>
    <row r="2687" spans="3:7" x14ac:dyDescent="0.2">
      <c r="C2687" s="105"/>
      <c r="D2687" s="4"/>
      <c r="E2687" s="39"/>
      <c r="F2687" s="106"/>
      <c r="G2687" s="7"/>
    </row>
    <row r="2688" spans="3:7" x14ac:dyDescent="0.2">
      <c r="C2688" s="105"/>
      <c r="D2688" s="4"/>
      <c r="E2688" s="39"/>
      <c r="F2688" s="106"/>
      <c r="G2688" s="7"/>
    </row>
    <row r="2689" spans="3:7" x14ac:dyDescent="0.2">
      <c r="C2689" s="105"/>
      <c r="D2689" s="4"/>
      <c r="E2689" s="39"/>
      <c r="F2689" s="106"/>
      <c r="G2689" s="7"/>
    </row>
    <row r="2690" spans="3:7" x14ac:dyDescent="0.2">
      <c r="C2690" s="105"/>
      <c r="D2690" s="4"/>
      <c r="E2690" s="39"/>
      <c r="F2690" s="106"/>
      <c r="G2690" s="7"/>
    </row>
    <row r="2691" spans="3:7" x14ac:dyDescent="0.2">
      <c r="C2691" s="105"/>
      <c r="D2691" s="4"/>
      <c r="E2691" s="39"/>
      <c r="F2691" s="106"/>
      <c r="G2691" s="7"/>
    </row>
    <row r="2692" spans="3:7" x14ac:dyDescent="0.2">
      <c r="C2692" s="105"/>
      <c r="D2692" s="4"/>
      <c r="E2692" s="39"/>
      <c r="F2692" s="106"/>
      <c r="G2692" s="7"/>
    </row>
    <row r="2693" spans="3:7" x14ac:dyDescent="0.2">
      <c r="C2693" s="105"/>
      <c r="D2693" s="4"/>
      <c r="E2693" s="39"/>
      <c r="F2693" s="106"/>
      <c r="G2693" s="7"/>
    </row>
    <row r="2694" spans="3:7" x14ac:dyDescent="0.2">
      <c r="C2694" s="105"/>
      <c r="D2694" s="4"/>
      <c r="E2694" s="39"/>
      <c r="F2694" s="106"/>
      <c r="G2694" s="7"/>
    </row>
    <row r="2695" spans="3:7" x14ac:dyDescent="0.2">
      <c r="C2695" s="105"/>
      <c r="D2695" s="4"/>
      <c r="E2695" s="39"/>
      <c r="F2695" s="106"/>
      <c r="G2695" s="7"/>
    </row>
    <row r="2696" spans="3:7" x14ac:dyDescent="0.2">
      <c r="C2696" s="105"/>
      <c r="D2696" s="4"/>
      <c r="E2696" s="39"/>
      <c r="F2696" s="106"/>
      <c r="G2696" s="7"/>
    </row>
    <row r="2697" spans="3:7" x14ac:dyDescent="0.2">
      <c r="C2697" s="105"/>
      <c r="D2697" s="4"/>
      <c r="E2697" s="39"/>
      <c r="F2697" s="106"/>
      <c r="G2697" s="7"/>
    </row>
    <row r="2698" spans="3:7" x14ac:dyDescent="0.2">
      <c r="C2698" s="105"/>
      <c r="D2698" s="4"/>
      <c r="E2698" s="39"/>
      <c r="F2698" s="106"/>
      <c r="G2698" s="7"/>
    </row>
    <row r="2699" spans="3:7" x14ac:dyDescent="0.2">
      <c r="C2699" s="105"/>
      <c r="D2699" s="4"/>
      <c r="E2699" s="39"/>
      <c r="F2699" s="106"/>
      <c r="G2699" s="7"/>
    </row>
    <row r="2700" spans="3:7" x14ac:dyDescent="0.2">
      <c r="C2700" s="105"/>
      <c r="D2700" s="4"/>
      <c r="E2700" s="39"/>
      <c r="F2700" s="106"/>
      <c r="G2700" s="7"/>
    </row>
    <row r="2701" spans="3:7" x14ac:dyDescent="0.2">
      <c r="C2701" s="105"/>
      <c r="D2701" s="4"/>
      <c r="E2701" s="39"/>
      <c r="F2701" s="106"/>
      <c r="G2701" s="7"/>
    </row>
    <row r="2702" spans="3:7" x14ac:dyDescent="0.2">
      <c r="C2702" s="105"/>
      <c r="D2702" s="4"/>
      <c r="E2702" s="39"/>
      <c r="F2702" s="106"/>
      <c r="G2702" s="7"/>
    </row>
    <row r="2703" spans="3:7" x14ac:dyDescent="0.2">
      <c r="C2703" s="105"/>
      <c r="D2703" s="4"/>
      <c r="E2703" s="39"/>
      <c r="F2703" s="106"/>
      <c r="G2703" s="7"/>
    </row>
    <row r="2704" spans="3:7" x14ac:dyDescent="0.2">
      <c r="C2704" s="105"/>
      <c r="D2704" s="4"/>
      <c r="E2704" s="39"/>
      <c r="F2704" s="106"/>
      <c r="G2704" s="7"/>
    </row>
    <row r="2705" spans="3:7" x14ac:dyDescent="0.2">
      <c r="C2705" s="105"/>
      <c r="D2705" s="4"/>
      <c r="E2705" s="39"/>
      <c r="F2705" s="106"/>
      <c r="G2705" s="7"/>
    </row>
    <row r="2706" spans="3:7" x14ac:dyDescent="0.2">
      <c r="C2706" s="105"/>
      <c r="D2706" s="4"/>
      <c r="E2706" s="39"/>
      <c r="F2706" s="106"/>
      <c r="G2706" s="7"/>
    </row>
    <row r="2707" spans="3:7" x14ac:dyDescent="0.2">
      <c r="C2707" s="105"/>
      <c r="D2707" s="4"/>
      <c r="E2707" s="39"/>
      <c r="F2707" s="106"/>
      <c r="G2707" s="7"/>
    </row>
    <row r="2708" spans="3:7" x14ac:dyDescent="0.2">
      <c r="C2708" s="105"/>
      <c r="D2708" s="4"/>
      <c r="E2708" s="39"/>
      <c r="F2708" s="106"/>
      <c r="G2708" s="7"/>
    </row>
    <row r="2709" spans="3:7" x14ac:dyDescent="0.2">
      <c r="C2709" s="105"/>
      <c r="D2709" s="4"/>
      <c r="E2709" s="39"/>
      <c r="F2709" s="106"/>
      <c r="G2709" s="7"/>
    </row>
    <row r="2710" spans="3:7" x14ac:dyDescent="0.2">
      <c r="C2710" s="105"/>
      <c r="D2710" s="4"/>
      <c r="E2710" s="39"/>
      <c r="F2710" s="106"/>
      <c r="G2710" s="7"/>
    </row>
    <row r="2711" spans="3:7" x14ac:dyDescent="0.2">
      <c r="C2711" s="105"/>
      <c r="D2711" s="4"/>
      <c r="E2711" s="39"/>
      <c r="F2711" s="106"/>
      <c r="G2711" s="7"/>
    </row>
    <row r="2712" spans="3:7" x14ac:dyDescent="0.2">
      <c r="C2712" s="105"/>
      <c r="D2712" s="4"/>
      <c r="E2712" s="39"/>
      <c r="F2712" s="106"/>
      <c r="G2712" s="7"/>
    </row>
    <row r="2713" spans="3:7" x14ac:dyDescent="0.2">
      <c r="C2713" s="105"/>
      <c r="D2713" s="4"/>
      <c r="E2713" s="39"/>
      <c r="F2713" s="106"/>
      <c r="G2713" s="7"/>
    </row>
    <row r="2714" spans="3:7" x14ac:dyDescent="0.2">
      <c r="C2714" s="105"/>
      <c r="D2714" s="4"/>
      <c r="E2714" s="39"/>
      <c r="F2714" s="106"/>
      <c r="G2714" s="7"/>
    </row>
    <row r="2715" spans="3:7" x14ac:dyDescent="0.2">
      <c r="C2715" s="105"/>
      <c r="D2715" s="4"/>
      <c r="E2715" s="39"/>
      <c r="F2715" s="106"/>
      <c r="G2715" s="7"/>
    </row>
    <row r="2716" spans="3:7" x14ac:dyDescent="0.2">
      <c r="C2716" s="105"/>
      <c r="D2716" s="4"/>
      <c r="E2716" s="39"/>
      <c r="F2716" s="106"/>
      <c r="G2716" s="7"/>
    </row>
    <row r="2717" spans="3:7" x14ac:dyDescent="0.2">
      <c r="C2717" s="105"/>
      <c r="D2717" s="4"/>
      <c r="E2717" s="39"/>
      <c r="F2717" s="106"/>
      <c r="G2717" s="7"/>
    </row>
    <row r="2718" spans="3:7" x14ac:dyDescent="0.2">
      <c r="C2718" s="105"/>
      <c r="D2718" s="4"/>
      <c r="E2718" s="39"/>
      <c r="F2718" s="106"/>
      <c r="G2718" s="7"/>
    </row>
    <row r="2719" spans="3:7" x14ac:dyDescent="0.2">
      <c r="C2719" s="105"/>
      <c r="D2719" s="4"/>
      <c r="E2719" s="39"/>
      <c r="F2719" s="106"/>
      <c r="G2719" s="7"/>
    </row>
    <row r="2720" spans="3:7" x14ac:dyDescent="0.2">
      <c r="C2720" s="105"/>
      <c r="D2720" s="4"/>
      <c r="E2720" s="39"/>
      <c r="F2720" s="106"/>
      <c r="G2720" s="7"/>
    </row>
    <row r="2721" spans="3:7" x14ac:dyDescent="0.2">
      <c r="C2721" s="105"/>
      <c r="D2721" s="4"/>
      <c r="E2721" s="39"/>
      <c r="F2721" s="106"/>
      <c r="G2721" s="7"/>
    </row>
    <row r="2722" spans="3:7" x14ac:dyDescent="0.2">
      <c r="C2722" s="105"/>
      <c r="D2722" s="4"/>
      <c r="E2722" s="39"/>
      <c r="F2722" s="106"/>
      <c r="G2722" s="7"/>
    </row>
    <row r="2723" spans="3:7" x14ac:dyDescent="0.2">
      <c r="C2723" s="105"/>
      <c r="D2723" s="4"/>
      <c r="E2723" s="39"/>
      <c r="F2723" s="106"/>
      <c r="G2723" s="7"/>
    </row>
    <row r="2724" spans="3:7" x14ac:dyDescent="0.2">
      <c r="C2724" s="105"/>
      <c r="D2724" s="4"/>
      <c r="E2724" s="39"/>
      <c r="F2724" s="106"/>
      <c r="G2724" s="7"/>
    </row>
    <row r="2725" spans="3:7" x14ac:dyDescent="0.2">
      <c r="C2725" s="105"/>
      <c r="D2725" s="4"/>
      <c r="E2725" s="39"/>
      <c r="F2725" s="106"/>
      <c r="G2725" s="7"/>
    </row>
    <row r="2726" spans="3:7" x14ac:dyDescent="0.2">
      <c r="C2726" s="105"/>
      <c r="D2726" s="4"/>
      <c r="E2726" s="39"/>
      <c r="F2726" s="106"/>
      <c r="G2726" s="7"/>
    </row>
    <row r="2727" spans="3:7" x14ac:dyDescent="0.2">
      <c r="C2727" s="105"/>
      <c r="D2727" s="4"/>
      <c r="E2727" s="39"/>
      <c r="F2727" s="106"/>
      <c r="G2727" s="7"/>
    </row>
    <row r="2728" spans="3:7" x14ac:dyDescent="0.2">
      <c r="C2728" s="105"/>
      <c r="D2728" s="4"/>
      <c r="E2728" s="39"/>
      <c r="F2728" s="106"/>
      <c r="G2728" s="7"/>
    </row>
    <row r="2729" spans="3:7" x14ac:dyDescent="0.2">
      <c r="C2729" s="105"/>
      <c r="D2729" s="4"/>
      <c r="E2729" s="39"/>
      <c r="F2729" s="106"/>
      <c r="G2729" s="7"/>
    </row>
    <row r="2730" spans="3:7" x14ac:dyDescent="0.2">
      <c r="C2730" s="105"/>
      <c r="D2730" s="4"/>
      <c r="E2730" s="39"/>
      <c r="F2730" s="106"/>
      <c r="G2730" s="7"/>
    </row>
    <row r="2731" spans="3:7" x14ac:dyDescent="0.2">
      <c r="C2731" s="105"/>
      <c r="D2731" s="4"/>
      <c r="E2731" s="39"/>
      <c r="F2731" s="106"/>
      <c r="G2731" s="7"/>
    </row>
    <row r="2732" spans="3:7" x14ac:dyDescent="0.2">
      <c r="C2732" s="105"/>
      <c r="D2732" s="4"/>
      <c r="E2732" s="39"/>
      <c r="F2732" s="106"/>
      <c r="G2732" s="7"/>
    </row>
    <row r="2733" spans="3:7" x14ac:dyDescent="0.2">
      <c r="C2733" s="105"/>
      <c r="D2733" s="4"/>
      <c r="E2733" s="39"/>
      <c r="F2733" s="106"/>
      <c r="G2733" s="7"/>
    </row>
    <row r="2734" spans="3:7" x14ac:dyDescent="0.2">
      <c r="C2734" s="105"/>
      <c r="D2734" s="4"/>
      <c r="E2734" s="39"/>
      <c r="F2734" s="106"/>
      <c r="G2734" s="7"/>
    </row>
    <row r="2735" spans="3:7" x14ac:dyDescent="0.2">
      <c r="C2735" s="105"/>
      <c r="D2735" s="4"/>
      <c r="E2735" s="39"/>
      <c r="F2735" s="106"/>
      <c r="G2735" s="7"/>
    </row>
    <row r="2736" spans="3:7" x14ac:dyDescent="0.2">
      <c r="C2736" s="105"/>
      <c r="D2736" s="4"/>
      <c r="E2736" s="39"/>
      <c r="F2736" s="106"/>
      <c r="G2736" s="7"/>
    </row>
    <row r="2737" spans="3:7" x14ac:dyDescent="0.2">
      <c r="C2737" s="105"/>
      <c r="D2737" s="4"/>
      <c r="E2737" s="39"/>
      <c r="F2737" s="106"/>
      <c r="G2737" s="7"/>
    </row>
    <row r="2738" spans="3:7" x14ac:dyDescent="0.2">
      <c r="C2738" s="105"/>
      <c r="D2738" s="4"/>
      <c r="E2738" s="39"/>
      <c r="F2738" s="106"/>
      <c r="G2738" s="7"/>
    </row>
    <row r="2739" spans="3:7" x14ac:dyDescent="0.2">
      <c r="C2739" s="105"/>
      <c r="D2739" s="4"/>
      <c r="E2739" s="39"/>
      <c r="F2739" s="106"/>
      <c r="G2739" s="7"/>
    </row>
    <row r="2740" spans="3:7" x14ac:dyDescent="0.2">
      <c r="C2740" s="105"/>
      <c r="D2740" s="4"/>
      <c r="E2740" s="39"/>
      <c r="F2740" s="106"/>
      <c r="G2740" s="7"/>
    </row>
    <row r="2741" spans="3:7" x14ac:dyDescent="0.2">
      <c r="C2741" s="105"/>
      <c r="D2741" s="4"/>
      <c r="E2741" s="39"/>
      <c r="F2741" s="106"/>
      <c r="G2741" s="7"/>
    </row>
    <row r="2742" spans="3:7" x14ac:dyDescent="0.2">
      <c r="C2742" s="105"/>
      <c r="D2742" s="4"/>
      <c r="E2742" s="39"/>
      <c r="F2742" s="106"/>
      <c r="G2742" s="7"/>
    </row>
    <row r="2743" spans="3:7" x14ac:dyDescent="0.2">
      <c r="C2743" s="105"/>
      <c r="D2743" s="4"/>
      <c r="E2743" s="39"/>
      <c r="F2743" s="106"/>
      <c r="G2743" s="7"/>
    </row>
    <row r="2744" spans="3:7" x14ac:dyDescent="0.2">
      <c r="C2744" s="105"/>
      <c r="D2744" s="4"/>
      <c r="E2744" s="39"/>
      <c r="F2744" s="106"/>
      <c r="G2744" s="7"/>
    </row>
    <row r="2745" spans="3:7" x14ac:dyDescent="0.2">
      <c r="C2745" s="105"/>
      <c r="D2745" s="4"/>
      <c r="E2745" s="39"/>
      <c r="F2745" s="106"/>
      <c r="G2745" s="7"/>
    </row>
    <row r="2746" spans="3:7" x14ac:dyDescent="0.2">
      <c r="C2746" s="105"/>
      <c r="D2746" s="4"/>
      <c r="E2746" s="39"/>
      <c r="F2746" s="106"/>
      <c r="G2746" s="7"/>
    </row>
    <row r="2747" spans="3:7" x14ac:dyDescent="0.2">
      <c r="C2747" s="105"/>
      <c r="D2747" s="4"/>
      <c r="E2747" s="39"/>
      <c r="F2747" s="106"/>
      <c r="G2747" s="7"/>
    </row>
    <row r="2748" spans="3:7" x14ac:dyDescent="0.2">
      <c r="C2748" s="105"/>
      <c r="D2748" s="4"/>
      <c r="E2748" s="39"/>
      <c r="F2748" s="106"/>
      <c r="G2748" s="7"/>
    </row>
    <row r="2749" spans="3:7" x14ac:dyDescent="0.2">
      <c r="C2749" s="105"/>
      <c r="D2749" s="4"/>
      <c r="E2749" s="39"/>
      <c r="F2749" s="106"/>
      <c r="G2749" s="7"/>
    </row>
    <row r="2750" spans="3:7" x14ac:dyDescent="0.2">
      <c r="C2750" s="105"/>
      <c r="D2750" s="4"/>
      <c r="E2750" s="39"/>
      <c r="F2750" s="106"/>
      <c r="G2750" s="7"/>
    </row>
    <row r="2751" spans="3:7" x14ac:dyDescent="0.2">
      <c r="C2751" s="105"/>
      <c r="D2751" s="4"/>
      <c r="E2751" s="39"/>
      <c r="F2751" s="106"/>
      <c r="G2751" s="7"/>
    </row>
    <row r="2752" spans="3:7" x14ac:dyDescent="0.2">
      <c r="C2752" s="105"/>
      <c r="D2752" s="4"/>
      <c r="E2752" s="39"/>
      <c r="F2752" s="106"/>
      <c r="G2752" s="7"/>
    </row>
    <row r="2753" spans="3:7" x14ac:dyDescent="0.2">
      <c r="C2753" s="105"/>
      <c r="D2753" s="4"/>
      <c r="E2753" s="39"/>
      <c r="F2753" s="106"/>
      <c r="G2753" s="7"/>
    </row>
    <row r="2754" spans="3:7" x14ac:dyDescent="0.2">
      <c r="C2754" s="105"/>
      <c r="D2754" s="4"/>
      <c r="E2754" s="39"/>
      <c r="F2754" s="106"/>
      <c r="G2754" s="7"/>
    </row>
    <row r="2755" spans="3:7" x14ac:dyDescent="0.2">
      <c r="C2755" s="105"/>
      <c r="D2755" s="4"/>
      <c r="E2755" s="39"/>
      <c r="F2755" s="106"/>
      <c r="G2755" s="7"/>
    </row>
    <row r="2756" spans="3:7" x14ac:dyDescent="0.2">
      <c r="C2756" s="105"/>
      <c r="D2756" s="4"/>
      <c r="E2756" s="39"/>
      <c r="F2756" s="106"/>
      <c r="G2756" s="7"/>
    </row>
    <row r="2757" spans="3:7" x14ac:dyDescent="0.2">
      <c r="C2757" s="105"/>
      <c r="D2757" s="4"/>
      <c r="E2757" s="39"/>
      <c r="F2757" s="106"/>
      <c r="G2757" s="7"/>
    </row>
    <row r="2758" spans="3:7" x14ac:dyDescent="0.2">
      <c r="C2758" s="105"/>
      <c r="D2758" s="4"/>
      <c r="E2758" s="39"/>
      <c r="F2758" s="106"/>
      <c r="G2758" s="7"/>
    </row>
    <row r="2759" spans="3:7" x14ac:dyDescent="0.2">
      <c r="C2759" s="105"/>
      <c r="D2759" s="4"/>
      <c r="E2759" s="39"/>
      <c r="F2759" s="106"/>
      <c r="G2759" s="7"/>
    </row>
    <row r="2760" spans="3:7" x14ac:dyDescent="0.2">
      <c r="C2760" s="105"/>
      <c r="D2760" s="4"/>
      <c r="E2760" s="39"/>
      <c r="F2760" s="106"/>
      <c r="G2760" s="7"/>
    </row>
    <row r="2761" spans="3:7" x14ac:dyDescent="0.2">
      <c r="C2761" s="105"/>
      <c r="D2761" s="4"/>
      <c r="E2761" s="39"/>
      <c r="F2761" s="106"/>
      <c r="G2761" s="7"/>
    </row>
    <row r="2762" spans="3:7" x14ac:dyDescent="0.2">
      <c r="C2762" s="105"/>
      <c r="D2762" s="4"/>
      <c r="E2762" s="39"/>
      <c r="F2762" s="106"/>
      <c r="G2762" s="7"/>
    </row>
    <row r="2763" spans="3:7" x14ac:dyDescent="0.2">
      <c r="C2763" s="105"/>
      <c r="D2763" s="4"/>
      <c r="E2763" s="39"/>
      <c r="F2763" s="106"/>
      <c r="G2763" s="7"/>
    </row>
    <row r="2764" spans="3:7" x14ac:dyDescent="0.2">
      <c r="C2764" s="105"/>
      <c r="D2764" s="4"/>
      <c r="E2764" s="39"/>
      <c r="F2764" s="106"/>
      <c r="G2764" s="7"/>
    </row>
    <row r="2765" spans="3:7" x14ac:dyDescent="0.2">
      <c r="C2765" s="105"/>
      <c r="D2765" s="4"/>
      <c r="E2765" s="39"/>
      <c r="F2765" s="106"/>
      <c r="G2765" s="7"/>
    </row>
    <row r="2766" spans="3:7" x14ac:dyDescent="0.2">
      <c r="C2766" s="105"/>
      <c r="D2766" s="4"/>
      <c r="E2766" s="39"/>
      <c r="F2766" s="106"/>
      <c r="G2766" s="7"/>
    </row>
    <row r="2767" spans="3:7" x14ac:dyDescent="0.2">
      <c r="C2767" s="105"/>
      <c r="D2767" s="4"/>
      <c r="E2767" s="39"/>
      <c r="F2767" s="106"/>
      <c r="G2767" s="7"/>
    </row>
    <row r="2768" spans="3:7" x14ac:dyDescent="0.2">
      <c r="C2768" s="105"/>
      <c r="D2768" s="4"/>
      <c r="E2768" s="39"/>
      <c r="F2768" s="106"/>
      <c r="G2768" s="7"/>
    </row>
    <row r="2769" spans="3:7" x14ac:dyDescent="0.2">
      <c r="C2769" s="105"/>
      <c r="D2769" s="4"/>
      <c r="E2769" s="39"/>
      <c r="F2769" s="106"/>
      <c r="G2769" s="7"/>
    </row>
    <row r="2770" spans="3:7" x14ac:dyDescent="0.2">
      <c r="C2770" s="105"/>
      <c r="D2770" s="4"/>
      <c r="E2770" s="39"/>
      <c r="F2770" s="106"/>
      <c r="G2770" s="7"/>
    </row>
    <row r="2771" spans="3:7" x14ac:dyDescent="0.2">
      <c r="C2771" s="105"/>
      <c r="D2771" s="4"/>
      <c r="E2771" s="39"/>
      <c r="F2771" s="106"/>
      <c r="G2771" s="7"/>
    </row>
    <row r="2772" spans="3:7" x14ac:dyDescent="0.2">
      <c r="C2772" s="105"/>
      <c r="D2772" s="4"/>
      <c r="E2772" s="39"/>
      <c r="F2772" s="106"/>
      <c r="G2772" s="7"/>
    </row>
    <row r="2773" spans="3:7" x14ac:dyDescent="0.2">
      <c r="C2773" s="105"/>
      <c r="D2773" s="4"/>
      <c r="E2773" s="39"/>
      <c r="F2773" s="106"/>
      <c r="G2773" s="7"/>
    </row>
    <row r="2774" spans="3:7" x14ac:dyDescent="0.2">
      <c r="C2774" s="105"/>
      <c r="D2774" s="4"/>
      <c r="E2774" s="39"/>
      <c r="F2774" s="106"/>
      <c r="G2774" s="7"/>
    </row>
    <row r="2775" spans="3:7" x14ac:dyDescent="0.2">
      <c r="C2775" s="105"/>
      <c r="D2775" s="4"/>
      <c r="E2775" s="39"/>
      <c r="F2775" s="106"/>
      <c r="G2775" s="7"/>
    </row>
    <row r="2776" spans="3:7" x14ac:dyDescent="0.2">
      <c r="C2776" s="105"/>
      <c r="D2776" s="4"/>
      <c r="E2776" s="39"/>
      <c r="F2776" s="106"/>
      <c r="G2776" s="7"/>
    </row>
    <row r="2777" spans="3:7" x14ac:dyDescent="0.2">
      <c r="C2777" s="105"/>
      <c r="D2777" s="4"/>
      <c r="E2777" s="39"/>
      <c r="F2777" s="106"/>
      <c r="G2777" s="7"/>
    </row>
    <row r="2778" spans="3:7" x14ac:dyDescent="0.2">
      <c r="C2778" s="105"/>
      <c r="D2778" s="4"/>
      <c r="E2778" s="39"/>
      <c r="F2778" s="106"/>
      <c r="G2778" s="7"/>
    </row>
    <row r="2779" spans="3:7" x14ac:dyDescent="0.2">
      <c r="C2779" s="105"/>
      <c r="D2779" s="4"/>
      <c r="E2779" s="39"/>
      <c r="F2779" s="106"/>
      <c r="G2779" s="7"/>
    </row>
    <row r="2780" spans="3:7" x14ac:dyDescent="0.2">
      <c r="C2780" s="105"/>
      <c r="D2780" s="4"/>
      <c r="E2780" s="39"/>
      <c r="F2780" s="106"/>
      <c r="G2780" s="7"/>
    </row>
    <row r="2781" spans="3:7" x14ac:dyDescent="0.2">
      <c r="C2781" s="105"/>
      <c r="D2781" s="4"/>
      <c r="E2781" s="39"/>
      <c r="F2781" s="106"/>
      <c r="G2781" s="7"/>
    </row>
    <row r="2782" spans="3:7" x14ac:dyDescent="0.2">
      <c r="C2782" s="105"/>
      <c r="D2782" s="4"/>
      <c r="E2782" s="39"/>
      <c r="F2782" s="106"/>
      <c r="G2782" s="7"/>
    </row>
    <row r="2783" spans="3:7" x14ac:dyDescent="0.2">
      <c r="C2783" s="105"/>
      <c r="D2783" s="4"/>
      <c r="E2783" s="39"/>
      <c r="F2783" s="106"/>
      <c r="G2783" s="7"/>
    </row>
    <row r="2784" spans="3:7" x14ac:dyDescent="0.2">
      <c r="C2784" s="105"/>
      <c r="D2784" s="4"/>
      <c r="E2784" s="39"/>
      <c r="F2784" s="106"/>
      <c r="G2784" s="7"/>
    </row>
    <row r="2785" spans="3:7" x14ac:dyDescent="0.2">
      <c r="C2785" s="105"/>
      <c r="D2785" s="4"/>
      <c r="E2785" s="39"/>
      <c r="F2785" s="106"/>
      <c r="G2785" s="7"/>
    </row>
    <row r="2786" spans="3:7" x14ac:dyDescent="0.2">
      <c r="C2786" s="105"/>
      <c r="D2786" s="4"/>
      <c r="E2786" s="39"/>
      <c r="F2786" s="106"/>
      <c r="G2786" s="7"/>
    </row>
    <row r="2787" spans="3:7" x14ac:dyDescent="0.2">
      <c r="C2787" s="105"/>
      <c r="D2787" s="4"/>
      <c r="E2787" s="39"/>
      <c r="F2787" s="106"/>
      <c r="G2787" s="7"/>
    </row>
    <row r="2788" spans="3:7" x14ac:dyDescent="0.2">
      <c r="C2788" s="105"/>
      <c r="D2788" s="4"/>
      <c r="E2788" s="39"/>
      <c r="F2788" s="106"/>
      <c r="G2788" s="7"/>
    </row>
    <row r="2789" spans="3:7" x14ac:dyDescent="0.2">
      <c r="C2789" s="105"/>
      <c r="D2789" s="4"/>
      <c r="E2789" s="39"/>
      <c r="F2789" s="106"/>
      <c r="G2789" s="7"/>
    </row>
    <row r="2790" spans="3:7" x14ac:dyDescent="0.2">
      <c r="C2790" s="105"/>
      <c r="D2790" s="4"/>
      <c r="E2790" s="39"/>
      <c r="F2790" s="106"/>
      <c r="G2790" s="7"/>
    </row>
    <row r="2791" spans="3:7" x14ac:dyDescent="0.2">
      <c r="C2791" s="105"/>
      <c r="D2791" s="4"/>
      <c r="E2791" s="39"/>
      <c r="F2791" s="106"/>
      <c r="G2791" s="7"/>
    </row>
    <row r="2792" spans="3:7" x14ac:dyDescent="0.2">
      <c r="C2792" s="105"/>
      <c r="D2792" s="4"/>
      <c r="E2792" s="39"/>
      <c r="F2792" s="106"/>
      <c r="G2792" s="7"/>
    </row>
    <row r="2793" spans="3:7" x14ac:dyDescent="0.2">
      <c r="C2793" s="105"/>
      <c r="D2793" s="4"/>
      <c r="E2793" s="39"/>
      <c r="F2793" s="106"/>
      <c r="G2793" s="7"/>
    </row>
    <row r="2794" spans="3:7" x14ac:dyDescent="0.2">
      <c r="C2794" s="105"/>
      <c r="D2794" s="4"/>
      <c r="E2794" s="39"/>
      <c r="F2794" s="106"/>
      <c r="G2794" s="7"/>
    </row>
    <row r="2795" spans="3:7" x14ac:dyDescent="0.2">
      <c r="C2795" s="105"/>
      <c r="D2795" s="4"/>
      <c r="E2795" s="39"/>
      <c r="F2795" s="106"/>
      <c r="G2795" s="7"/>
    </row>
    <row r="2796" spans="3:7" x14ac:dyDescent="0.2">
      <c r="C2796" s="105"/>
      <c r="D2796" s="4"/>
      <c r="E2796" s="39"/>
      <c r="F2796" s="106"/>
      <c r="G2796" s="7"/>
    </row>
    <row r="2797" spans="3:7" x14ac:dyDescent="0.2">
      <c r="C2797" s="105"/>
      <c r="D2797" s="4"/>
      <c r="E2797" s="39"/>
      <c r="F2797" s="106"/>
      <c r="G2797" s="7"/>
    </row>
    <row r="2798" spans="3:7" x14ac:dyDescent="0.2">
      <c r="C2798" s="105"/>
      <c r="D2798" s="4"/>
      <c r="E2798" s="39"/>
      <c r="F2798" s="106"/>
      <c r="G2798" s="7"/>
    </row>
    <row r="2799" spans="3:7" x14ac:dyDescent="0.2">
      <c r="C2799" s="105"/>
      <c r="D2799" s="4"/>
      <c r="E2799" s="39"/>
      <c r="F2799" s="106"/>
      <c r="G2799" s="7"/>
    </row>
    <row r="2800" spans="3:7" x14ac:dyDescent="0.2">
      <c r="C2800" s="105"/>
      <c r="D2800" s="4"/>
      <c r="E2800" s="39"/>
      <c r="F2800" s="106"/>
      <c r="G2800" s="7"/>
    </row>
    <row r="2801" spans="3:7" x14ac:dyDescent="0.2">
      <c r="C2801" s="105"/>
      <c r="D2801" s="4"/>
      <c r="E2801" s="39"/>
      <c r="F2801" s="106"/>
      <c r="G2801" s="7"/>
    </row>
    <row r="2802" spans="3:7" x14ac:dyDescent="0.2">
      <c r="C2802" s="105"/>
      <c r="D2802" s="4"/>
      <c r="E2802" s="39"/>
      <c r="F2802" s="106"/>
      <c r="G2802" s="7"/>
    </row>
    <row r="2803" spans="3:7" x14ac:dyDescent="0.2">
      <c r="C2803" s="105"/>
      <c r="D2803" s="4"/>
      <c r="E2803" s="39"/>
      <c r="F2803" s="106"/>
      <c r="G2803" s="7"/>
    </row>
    <row r="2804" spans="3:7" x14ac:dyDescent="0.2">
      <c r="C2804" s="105"/>
      <c r="D2804" s="4"/>
      <c r="E2804" s="39"/>
      <c r="F2804" s="106"/>
      <c r="G2804" s="7"/>
    </row>
    <row r="2805" spans="3:7" x14ac:dyDescent="0.2">
      <c r="C2805" s="105"/>
      <c r="D2805" s="4"/>
      <c r="E2805" s="39"/>
      <c r="F2805" s="106"/>
      <c r="G2805" s="7"/>
    </row>
    <row r="2806" spans="3:7" x14ac:dyDescent="0.2">
      <c r="C2806" s="105"/>
      <c r="D2806" s="4"/>
      <c r="E2806" s="39"/>
      <c r="F2806" s="106"/>
      <c r="G2806" s="7"/>
    </row>
    <row r="2807" spans="3:7" x14ac:dyDescent="0.2">
      <c r="C2807" s="105"/>
      <c r="D2807" s="4"/>
      <c r="E2807" s="39"/>
      <c r="F2807" s="106"/>
      <c r="G2807" s="7"/>
    </row>
    <row r="2808" spans="3:7" x14ac:dyDescent="0.2">
      <c r="C2808" s="105"/>
      <c r="D2808" s="4"/>
      <c r="E2808" s="39"/>
      <c r="F2808" s="106"/>
      <c r="G2808" s="7"/>
    </row>
    <row r="2809" spans="3:7" x14ac:dyDescent="0.2">
      <c r="C2809" s="105"/>
      <c r="D2809" s="4"/>
      <c r="E2809" s="39"/>
      <c r="F2809" s="106"/>
      <c r="G2809" s="7"/>
    </row>
    <row r="2810" spans="3:7" x14ac:dyDescent="0.2">
      <c r="C2810" s="105"/>
      <c r="D2810" s="4"/>
      <c r="E2810" s="39"/>
      <c r="F2810" s="106"/>
      <c r="G2810" s="7"/>
    </row>
    <row r="2811" spans="3:7" x14ac:dyDescent="0.2">
      <c r="C2811" s="105"/>
      <c r="D2811" s="4"/>
      <c r="E2811" s="39"/>
      <c r="F2811" s="106"/>
      <c r="G2811" s="7"/>
    </row>
    <row r="2812" spans="3:7" x14ac:dyDescent="0.2">
      <c r="C2812" s="105"/>
      <c r="D2812" s="4"/>
      <c r="E2812" s="39"/>
      <c r="F2812" s="106"/>
      <c r="G2812" s="7"/>
    </row>
    <row r="2813" spans="3:7" x14ac:dyDescent="0.2">
      <c r="C2813" s="105"/>
      <c r="D2813" s="4"/>
      <c r="E2813" s="39"/>
      <c r="F2813" s="106"/>
      <c r="G2813" s="7"/>
    </row>
    <row r="2814" spans="3:7" x14ac:dyDescent="0.2">
      <c r="C2814" s="105"/>
      <c r="D2814" s="4"/>
      <c r="E2814" s="39"/>
      <c r="F2814" s="106"/>
      <c r="G2814" s="7"/>
    </row>
    <row r="2815" spans="3:7" x14ac:dyDescent="0.2">
      <c r="C2815" s="105"/>
      <c r="D2815" s="4"/>
      <c r="E2815" s="39"/>
      <c r="F2815" s="106"/>
      <c r="G2815" s="7"/>
    </row>
    <row r="2816" spans="3:7" x14ac:dyDescent="0.2">
      <c r="C2816" s="105"/>
      <c r="D2816" s="4"/>
      <c r="E2816" s="39"/>
      <c r="F2816" s="106"/>
      <c r="G2816" s="7"/>
    </row>
    <row r="2817" spans="3:7" x14ac:dyDescent="0.2">
      <c r="C2817" s="105"/>
      <c r="D2817" s="4"/>
      <c r="E2817" s="39"/>
      <c r="F2817" s="106"/>
      <c r="G2817" s="7"/>
    </row>
    <row r="2818" spans="3:7" x14ac:dyDescent="0.2">
      <c r="C2818" s="105"/>
      <c r="D2818" s="4"/>
      <c r="E2818" s="39"/>
      <c r="F2818" s="106"/>
      <c r="G2818" s="7"/>
    </row>
    <row r="2819" spans="3:7" x14ac:dyDescent="0.2">
      <c r="C2819" s="105"/>
      <c r="D2819" s="4"/>
      <c r="E2819" s="39"/>
      <c r="F2819" s="106"/>
      <c r="G2819" s="7"/>
    </row>
    <row r="2820" spans="3:7" x14ac:dyDescent="0.2">
      <c r="C2820" s="105"/>
      <c r="D2820" s="4"/>
      <c r="E2820" s="39"/>
      <c r="F2820" s="106"/>
      <c r="G2820" s="7"/>
    </row>
    <row r="2821" spans="3:7" x14ac:dyDescent="0.2">
      <c r="C2821" s="105"/>
      <c r="D2821" s="4"/>
      <c r="E2821" s="39"/>
      <c r="F2821" s="106"/>
      <c r="G2821" s="7"/>
    </row>
    <row r="2822" spans="3:7" x14ac:dyDescent="0.2">
      <c r="C2822" s="105"/>
      <c r="D2822" s="4"/>
      <c r="E2822" s="39"/>
      <c r="F2822" s="106"/>
      <c r="G2822" s="7"/>
    </row>
    <row r="2823" spans="3:7" x14ac:dyDescent="0.2">
      <c r="C2823" s="105"/>
      <c r="D2823" s="4"/>
      <c r="E2823" s="39"/>
      <c r="F2823" s="106"/>
      <c r="G2823" s="7"/>
    </row>
    <row r="2824" spans="3:7" x14ac:dyDescent="0.2">
      <c r="C2824" s="105"/>
      <c r="D2824" s="4"/>
      <c r="E2824" s="39"/>
      <c r="F2824" s="106"/>
      <c r="G2824" s="7"/>
    </row>
    <row r="2825" spans="3:7" x14ac:dyDescent="0.2">
      <c r="C2825" s="105"/>
      <c r="D2825" s="4"/>
      <c r="E2825" s="39"/>
      <c r="F2825" s="106"/>
      <c r="G2825" s="7"/>
    </row>
    <row r="2826" spans="3:7" x14ac:dyDescent="0.2">
      <c r="C2826" s="105"/>
      <c r="D2826" s="4"/>
      <c r="E2826" s="39"/>
      <c r="F2826" s="106"/>
      <c r="G2826" s="7"/>
    </row>
    <row r="2827" spans="3:7" x14ac:dyDescent="0.2">
      <c r="C2827" s="105"/>
      <c r="D2827" s="4"/>
      <c r="E2827" s="39"/>
      <c r="F2827" s="106"/>
      <c r="G2827" s="7"/>
    </row>
    <row r="2828" spans="3:7" x14ac:dyDescent="0.2">
      <c r="C2828" s="105"/>
      <c r="D2828" s="4"/>
      <c r="E2828" s="39"/>
      <c r="F2828" s="106"/>
      <c r="G2828" s="7"/>
    </row>
    <row r="2829" spans="3:7" x14ac:dyDescent="0.2">
      <c r="C2829" s="105"/>
      <c r="D2829" s="4"/>
      <c r="E2829" s="39"/>
      <c r="F2829" s="106"/>
      <c r="G2829" s="7"/>
    </row>
    <row r="2830" spans="3:7" x14ac:dyDescent="0.2">
      <c r="C2830" s="105"/>
      <c r="D2830" s="4"/>
      <c r="E2830" s="39"/>
      <c r="F2830" s="106"/>
      <c r="G2830" s="7"/>
    </row>
    <row r="2831" spans="3:7" x14ac:dyDescent="0.2">
      <c r="C2831" s="105"/>
      <c r="D2831" s="4"/>
      <c r="E2831" s="39"/>
      <c r="F2831" s="106"/>
      <c r="G2831" s="7"/>
    </row>
    <row r="2832" spans="3:7" x14ac:dyDescent="0.2">
      <c r="C2832" s="105"/>
      <c r="D2832" s="4"/>
      <c r="E2832" s="39"/>
      <c r="F2832" s="106"/>
      <c r="G2832" s="7"/>
    </row>
    <row r="2833" spans="3:7" x14ac:dyDescent="0.2">
      <c r="C2833" s="105"/>
      <c r="D2833" s="4"/>
      <c r="E2833" s="39"/>
      <c r="F2833" s="106"/>
      <c r="G2833" s="7"/>
    </row>
    <row r="2834" spans="3:7" x14ac:dyDescent="0.2">
      <c r="C2834" s="105"/>
      <c r="D2834" s="4"/>
      <c r="E2834" s="39"/>
      <c r="F2834" s="106"/>
      <c r="G2834" s="7"/>
    </row>
    <row r="2835" spans="3:7" x14ac:dyDescent="0.2">
      <c r="C2835" s="105"/>
      <c r="D2835" s="4"/>
      <c r="E2835" s="39"/>
      <c r="F2835" s="106"/>
      <c r="G2835" s="7"/>
    </row>
    <row r="2836" spans="3:7" x14ac:dyDescent="0.2">
      <c r="C2836" s="105"/>
      <c r="D2836" s="4"/>
      <c r="E2836" s="39"/>
      <c r="F2836" s="106"/>
      <c r="G2836" s="7"/>
    </row>
    <row r="2837" spans="3:7" x14ac:dyDescent="0.2">
      <c r="C2837" s="105"/>
      <c r="D2837" s="4"/>
      <c r="E2837" s="39"/>
      <c r="F2837" s="106"/>
      <c r="G2837" s="7"/>
    </row>
    <row r="2838" spans="3:7" x14ac:dyDescent="0.2">
      <c r="C2838" s="105"/>
      <c r="D2838" s="4"/>
      <c r="E2838" s="39"/>
      <c r="F2838" s="106"/>
      <c r="G2838" s="7"/>
    </row>
    <row r="2839" spans="3:7" x14ac:dyDescent="0.2">
      <c r="C2839" s="105"/>
      <c r="D2839" s="4"/>
      <c r="E2839" s="39"/>
      <c r="F2839" s="106"/>
      <c r="G2839" s="7"/>
    </row>
    <row r="2840" spans="3:7" x14ac:dyDescent="0.2">
      <c r="C2840" s="105"/>
      <c r="D2840" s="4"/>
      <c r="E2840" s="39"/>
      <c r="F2840" s="106"/>
      <c r="G2840" s="7"/>
    </row>
    <row r="2841" spans="3:7" x14ac:dyDescent="0.2">
      <c r="C2841" s="105"/>
      <c r="D2841" s="4"/>
      <c r="E2841" s="39"/>
      <c r="F2841" s="106"/>
      <c r="G2841" s="7"/>
    </row>
    <row r="2842" spans="3:7" x14ac:dyDescent="0.2">
      <c r="C2842" s="105"/>
      <c r="D2842" s="4"/>
      <c r="E2842" s="39"/>
      <c r="F2842" s="106"/>
      <c r="G2842" s="7"/>
    </row>
    <row r="2843" spans="3:7" x14ac:dyDescent="0.2">
      <c r="C2843" s="105"/>
      <c r="D2843" s="4"/>
      <c r="E2843" s="39"/>
      <c r="F2843" s="106"/>
      <c r="G2843" s="7"/>
    </row>
    <row r="2844" spans="3:7" x14ac:dyDescent="0.2">
      <c r="C2844" s="105"/>
      <c r="D2844" s="4"/>
      <c r="E2844" s="39"/>
      <c r="F2844" s="106"/>
      <c r="G2844" s="7"/>
    </row>
    <row r="2845" spans="3:7" x14ac:dyDescent="0.2">
      <c r="C2845" s="105"/>
      <c r="D2845" s="4"/>
      <c r="E2845" s="39"/>
      <c r="F2845" s="106"/>
      <c r="G2845" s="7"/>
    </row>
    <row r="2846" spans="3:7" x14ac:dyDescent="0.2">
      <c r="C2846" s="105"/>
      <c r="D2846" s="4"/>
      <c r="E2846" s="39"/>
      <c r="F2846" s="106"/>
      <c r="G2846" s="7"/>
    </row>
    <row r="2847" spans="3:7" x14ac:dyDescent="0.2">
      <c r="C2847" s="105"/>
      <c r="D2847" s="4"/>
      <c r="E2847" s="39"/>
      <c r="F2847" s="106"/>
      <c r="G2847" s="7"/>
    </row>
    <row r="2848" spans="3:7" x14ac:dyDescent="0.2">
      <c r="C2848" s="105"/>
      <c r="D2848" s="4"/>
      <c r="E2848" s="39"/>
      <c r="F2848" s="106"/>
      <c r="G2848" s="7"/>
    </row>
    <row r="2849" spans="3:7" x14ac:dyDescent="0.2">
      <c r="C2849" s="105"/>
      <c r="D2849" s="4"/>
      <c r="E2849" s="39"/>
      <c r="F2849" s="106"/>
      <c r="G2849" s="7"/>
    </row>
    <row r="2850" spans="3:7" x14ac:dyDescent="0.2">
      <c r="C2850" s="105"/>
      <c r="D2850" s="4"/>
      <c r="E2850" s="39"/>
      <c r="F2850" s="106"/>
      <c r="G2850" s="7"/>
    </row>
    <row r="2851" spans="3:7" x14ac:dyDescent="0.2">
      <c r="C2851" s="105"/>
      <c r="D2851" s="4"/>
      <c r="E2851" s="39"/>
      <c r="F2851" s="106"/>
      <c r="G2851" s="7"/>
    </row>
    <row r="2852" spans="3:7" x14ac:dyDescent="0.2">
      <c r="C2852" s="105"/>
      <c r="D2852" s="4"/>
      <c r="E2852" s="39"/>
      <c r="F2852" s="106"/>
      <c r="G2852" s="7"/>
    </row>
    <row r="2853" spans="3:7" x14ac:dyDescent="0.2">
      <c r="C2853" s="105"/>
      <c r="D2853" s="4"/>
      <c r="E2853" s="39"/>
      <c r="F2853" s="106"/>
      <c r="G2853" s="7"/>
    </row>
    <row r="2854" spans="3:7" x14ac:dyDescent="0.2">
      <c r="C2854" s="105"/>
      <c r="D2854" s="4"/>
      <c r="E2854" s="39"/>
      <c r="F2854" s="106"/>
      <c r="G2854" s="7"/>
    </row>
    <row r="2855" spans="3:7" x14ac:dyDescent="0.2">
      <c r="C2855" s="105"/>
      <c r="D2855" s="4"/>
      <c r="E2855" s="39"/>
      <c r="F2855" s="106"/>
      <c r="G2855" s="7"/>
    </row>
    <row r="2856" spans="3:7" x14ac:dyDescent="0.2">
      <c r="C2856" s="105"/>
      <c r="D2856" s="4"/>
      <c r="E2856" s="39"/>
      <c r="F2856" s="106"/>
      <c r="G2856" s="7"/>
    </row>
    <row r="2857" spans="3:7" x14ac:dyDescent="0.2">
      <c r="C2857" s="105"/>
      <c r="D2857" s="4"/>
      <c r="E2857" s="39"/>
      <c r="F2857" s="106"/>
      <c r="G2857" s="7"/>
    </row>
    <row r="2858" spans="3:7" x14ac:dyDescent="0.2">
      <c r="C2858" s="105"/>
      <c r="D2858" s="4"/>
      <c r="E2858" s="39"/>
      <c r="F2858" s="106"/>
      <c r="G2858" s="7"/>
    </row>
    <row r="2859" spans="3:7" x14ac:dyDescent="0.2">
      <c r="C2859" s="105"/>
      <c r="D2859" s="4"/>
      <c r="E2859" s="39"/>
      <c r="F2859" s="106"/>
      <c r="G2859" s="7"/>
    </row>
    <row r="2860" spans="3:7" x14ac:dyDescent="0.2">
      <c r="C2860" s="105"/>
      <c r="D2860" s="4"/>
      <c r="E2860" s="39"/>
      <c r="F2860" s="106"/>
      <c r="G2860" s="7"/>
    </row>
    <row r="2861" spans="3:7" x14ac:dyDescent="0.2">
      <c r="C2861" s="105"/>
      <c r="D2861" s="4"/>
      <c r="E2861" s="39"/>
      <c r="F2861" s="106"/>
      <c r="G2861" s="7"/>
    </row>
    <row r="2862" spans="3:7" x14ac:dyDescent="0.2">
      <c r="C2862" s="105"/>
      <c r="D2862" s="4"/>
      <c r="E2862" s="39"/>
      <c r="F2862" s="106"/>
      <c r="G2862" s="7"/>
    </row>
    <row r="2863" spans="3:7" x14ac:dyDescent="0.2">
      <c r="C2863" s="105"/>
      <c r="D2863" s="4"/>
      <c r="E2863" s="39"/>
      <c r="F2863" s="106"/>
      <c r="G2863" s="7"/>
    </row>
    <row r="2864" spans="3:7" x14ac:dyDescent="0.2">
      <c r="C2864" s="105"/>
      <c r="D2864" s="4"/>
      <c r="E2864" s="39"/>
      <c r="F2864" s="106"/>
      <c r="G2864" s="7"/>
    </row>
    <row r="2865" spans="3:7" x14ac:dyDescent="0.2">
      <c r="C2865" s="105"/>
      <c r="D2865" s="4"/>
      <c r="E2865" s="39"/>
      <c r="F2865" s="106"/>
      <c r="G2865" s="7"/>
    </row>
    <row r="2866" spans="3:7" x14ac:dyDescent="0.2">
      <c r="C2866" s="105"/>
      <c r="D2866" s="4"/>
      <c r="E2866" s="39"/>
      <c r="F2866" s="106"/>
      <c r="G2866" s="7"/>
    </row>
    <row r="2867" spans="3:7" x14ac:dyDescent="0.2">
      <c r="C2867" s="105"/>
      <c r="D2867" s="4"/>
      <c r="E2867" s="39"/>
      <c r="F2867" s="106"/>
      <c r="G2867" s="7"/>
    </row>
    <row r="2868" spans="3:7" x14ac:dyDescent="0.2">
      <c r="C2868" s="105"/>
      <c r="D2868" s="4"/>
      <c r="E2868" s="39"/>
      <c r="F2868" s="106"/>
      <c r="G2868" s="7"/>
    </row>
    <row r="2869" spans="3:7" x14ac:dyDescent="0.2">
      <c r="C2869" s="105"/>
      <c r="D2869" s="4"/>
      <c r="E2869" s="39"/>
      <c r="F2869" s="106"/>
      <c r="G2869" s="7"/>
    </row>
    <row r="2870" spans="3:7" x14ac:dyDescent="0.2">
      <c r="C2870" s="105"/>
      <c r="D2870" s="4"/>
      <c r="E2870" s="39"/>
      <c r="F2870" s="106"/>
      <c r="G2870" s="7"/>
    </row>
    <row r="2871" spans="3:7" x14ac:dyDescent="0.2">
      <c r="C2871" s="105"/>
      <c r="D2871" s="4"/>
      <c r="E2871" s="39"/>
      <c r="F2871" s="106"/>
      <c r="G2871" s="7"/>
    </row>
    <row r="2872" spans="3:7" x14ac:dyDescent="0.2">
      <c r="C2872" s="105"/>
      <c r="D2872" s="4"/>
      <c r="E2872" s="39"/>
      <c r="F2872" s="106"/>
      <c r="G2872" s="7"/>
    </row>
    <row r="2873" spans="3:7" x14ac:dyDescent="0.2">
      <c r="C2873" s="105"/>
      <c r="D2873" s="4"/>
      <c r="E2873" s="39"/>
      <c r="F2873" s="106"/>
      <c r="G2873" s="7"/>
    </row>
    <row r="2874" spans="3:7" x14ac:dyDescent="0.2">
      <c r="C2874" s="105"/>
      <c r="D2874" s="4"/>
      <c r="E2874" s="39"/>
      <c r="F2874" s="106"/>
      <c r="G2874" s="7"/>
    </row>
    <row r="2875" spans="3:7" x14ac:dyDescent="0.2">
      <c r="C2875" s="105"/>
      <c r="D2875" s="4"/>
      <c r="E2875" s="39"/>
      <c r="F2875" s="106"/>
      <c r="G2875" s="7"/>
    </row>
    <row r="2876" spans="3:7" x14ac:dyDescent="0.2">
      <c r="C2876" s="105"/>
      <c r="D2876" s="4"/>
      <c r="E2876" s="39"/>
      <c r="F2876" s="106"/>
      <c r="G2876" s="7"/>
    </row>
    <row r="2877" spans="3:7" x14ac:dyDescent="0.2">
      <c r="C2877" s="105"/>
      <c r="D2877" s="4"/>
      <c r="E2877" s="39"/>
      <c r="F2877" s="106"/>
      <c r="G2877" s="7"/>
    </row>
    <row r="2878" spans="3:7" x14ac:dyDescent="0.2">
      <c r="C2878" s="105"/>
      <c r="D2878" s="4"/>
      <c r="E2878" s="39"/>
      <c r="F2878" s="106"/>
      <c r="G2878" s="7"/>
    </row>
    <row r="2879" spans="3:7" x14ac:dyDescent="0.2">
      <c r="C2879" s="105"/>
      <c r="D2879" s="4"/>
      <c r="E2879" s="39"/>
      <c r="F2879" s="106"/>
      <c r="G2879" s="7"/>
    </row>
    <row r="2880" spans="3:7" x14ac:dyDescent="0.2">
      <c r="C2880" s="105"/>
      <c r="D2880" s="4"/>
      <c r="E2880" s="39"/>
      <c r="F2880" s="106"/>
      <c r="G2880" s="7"/>
    </row>
    <row r="2881" spans="3:7" x14ac:dyDescent="0.2">
      <c r="C2881" s="105"/>
      <c r="D2881" s="4"/>
      <c r="E2881" s="39"/>
      <c r="F2881" s="106"/>
      <c r="G2881" s="7"/>
    </row>
    <row r="2882" spans="3:7" x14ac:dyDescent="0.2">
      <c r="C2882" s="105"/>
      <c r="D2882" s="4"/>
      <c r="E2882" s="39"/>
      <c r="F2882" s="106"/>
      <c r="G2882" s="7"/>
    </row>
    <row r="2883" spans="3:7" x14ac:dyDescent="0.2">
      <c r="C2883" s="105"/>
      <c r="D2883" s="4"/>
      <c r="E2883" s="39"/>
      <c r="F2883" s="106"/>
      <c r="G2883" s="7"/>
    </row>
    <row r="2884" spans="3:7" x14ac:dyDescent="0.2">
      <c r="C2884" s="105"/>
      <c r="D2884" s="4"/>
      <c r="E2884" s="39"/>
      <c r="F2884" s="106"/>
      <c r="G2884" s="7"/>
    </row>
    <row r="2885" spans="3:7" x14ac:dyDescent="0.2">
      <c r="C2885" s="105"/>
      <c r="D2885" s="4"/>
      <c r="E2885" s="39"/>
      <c r="F2885" s="106"/>
      <c r="G2885" s="7"/>
    </row>
    <row r="2886" spans="3:7" x14ac:dyDescent="0.2">
      <c r="C2886" s="105"/>
      <c r="D2886" s="4"/>
      <c r="E2886" s="39"/>
      <c r="F2886" s="106"/>
      <c r="G2886" s="7"/>
    </row>
    <row r="2887" spans="3:7" x14ac:dyDescent="0.2">
      <c r="C2887" s="105"/>
      <c r="D2887" s="4"/>
      <c r="E2887" s="39"/>
      <c r="F2887" s="106"/>
      <c r="G2887" s="7"/>
    </row>
    <row r="2888" spans="3:7" x14ac:dyDescent="0.2">
      <c r="C2888" s="105"/>
      <c r="D2888" s="4"/>
      <c r="E2888" s="39"/>
      <c r="F2888" s="106"/>
      <c r="G2888" s="7"/>
    </row>
    <row r="2889" spans="3:7" x14ac:dyDescent="0.2">
      <c r="C2889" s="105"/>
      <c r="D2889" s="4"/>
      <c r="E2889" s="39"/>
      <c r="F2889" s="106"/>
      <c r="G2889" s="7"/>
    </row>
    <row r="2890" spans="3:7" x14ac:dyDescent="0.2">
      <c r="C2890" s="105"/>
      <c r="D2890" s="4"/>
      <c r="E2890" s="39"/>
      <c r="F2890" s="106"/>
      <c r="G2890" s="7"/>
    </row>
    <row r="2891" spans="3:7" x14ac:dyDescent="0.2">
      <c r="C2891" s="105"/>
      <c r="D2891" s="4"/>
      <c r="E2891" s="39"/>
      <c r="F2891" s="106"/>
      <c r="G2891" s="7"/>
    </row>
    <row r="2892" spans="3:7" x14ac:dyDescent="0.2">
      <c r="C2892" s="105"/>
      <c r="D2892" s="4"/>
      <c r="E2892" s="39"/>
      <c r="F2892" s="106"/>
      <c r="G2892" s="7"/>
    </row>
    <row r="2893" spans="3:7" x14ac:dyDescent="0.2">
      <c r="C2893" s="105"/>
      <c r="D2893" s="4"/>
      <c r="E2893" s="39"/>
      <c r="F2893" s="106"/>
      <c r="G2893" s="7"/>
    </row>
    <row r="2894" spans="3:7" x14ac:dyDescent="0.2">
      <c r="C2894" s="105"/>
      <c r="D2894" s="4"/>
      <c r="E2894" s="39"/>
      <c r="F2894" s="106"/>
      <c r="G2894" s="7"/>
    </row>
    <row r="2895" spans="3:7" x14ac:dyDescent="0.2">
      <c r="C2895" s="105"/>
      <c r="D2895" s="4"/>
      <c r="E2895" s="39"/>
      <c r="F2895" s="106"/>
      <c r="G2895" s="7"/>
    </row>
    <row r="2896" spans="3:7" x14ac:dyDescent="0.2">
      <c r="C2896" s="105"/>
      <c r="D2896" s="4"/>
      <c r="E2896" s="39"/>
      <c r="F2896" s="106"/>
      <c r="G2896" s="7"/>
    </row>
    <row r="2897" spans="3:7" x14ac:dyDescent="0.2">
      <c r="C2897" s="105"/>
      <c r="D2897" s="4"/>
      <c r="E2897" s="39"/>
      <c r="F2897" s="106"/>
      <c r="G2897" s="7"/>
    </row>
    <row r="2898" spans="3:7" x14ac:dyDescent="0.2">
      <c r="C2898" s="105"/>
      <c r="D2898" s="4"/>
      <c r="E2898" s="39"/>
      <c r="F2898" s="106"/>
      <c r="G2898" s="7"/>
    </row>
    <row r="2899" spans="3:7" x14ac:dyDescent="0.2">
      <c r="C2899" s="105"/>
      <c r="D2899" s="4"/>
      <c r="E2899" s="39"/>
      <c r="F2899" s="106"/>
      <c r="G2899" s="7"/>
    </row>
    <row r="2900" spans="3:7" x14ac:dyDescent="0.2">
      <c r="C2900" s="105"/>
      <c r="D2900" s="4"/>
      <c r="E2900" s="39"/>
      <c r="F2900" s="106"/>
      <c r="G2900" s="7"/>
    </row>
    <row r="2901" spans="3:7" x14ac:dyDescent="0.2">
      <c r="C2901" s="105"/>
      <c r="D2901" s="4"/>
      <c r="E2901" s="39"/>
      <c r="F2901" s="106"/>
      <c r="G2901" s="7"/>
    </row>
    <row r="2902" spans="3:7" x14ac:dyDescent="0.2">
      <c r="C2902" s="105"/>
      <c r="D2902" s="4"/>
      <c r="E2902" s="39"/>
      <c r="F2902" s="106"/>
      <c r="G2902" s="7"/>
    </row>
    <row r="2903" spans="3:7" x14ac:dyDescent="0.2">
      <c r="C2903" s="105"/>
      <c r="D2903" s="4"/>
      <c r="E2903" s="39"/>
      <c r="F2903" s="106"/>
      <c r="G2903" s="7"/>
    </row>
    <row r="2904" spans="3:7" x14ac:dyDescent="0.2">
      <c r="C2904" s="105"/>
      <c r="D2904" s="4"/>
      <c r="E2904" s="39"/>
      <c r="F2904" s="106"/>
      <c r="G2904" s="7"/>
    </row>
    <row r="2905" spans="3:7" x14ac:dyDescent="0.2">
      <c r="C2905" s="105"/>
      <c r="D2905" s="4"/>
      <c r="E2905" s="39"/>
      <c r="F2905" s="106"/>
      <c r="G2905" s="7"/>
    </row>
    <row r="2906" spans="3:7" x14ac:dyDescent="0.2">
      <c r="C2906" s="105"/>
      <c r="D2906" s="4"/>
      <c r="E2906" s="39"/>
      <c r="F2906" s="106"/>
      <c r="G2906" s="7"/>
    </row>
    <row r="2907" spans="3:7" x14ac:dyDescent="0.2">
      <c r="C2907" s="105"/>
      <c r="D2907" s="4"/>
      <c r="E2907" s="39"/>
      <c r="F2907" s="106"/>
      <c r="G2907" s="7"/>
    </row>
    <row r="2908" spans="3:7" x14ac:dyDescent="0.2">
      <c r="C2908" s="105"/>
      <c r="D2908" s="4"/>
      <c r="E2908" s="39"/>
      <c r="F2908" s="106"/>
      <c r="G2908" s="7"/>
    </row>
    <row r="2909" spans="3:7" x14ac:dyDescent="0.2">
      <c r="C2909" s="105"/>
      <c r="D2909" s="4"/>
      <c r="E2909" s="39"/>
      <c r="F2909" s="106"/>
      <c r="G2909" s="7"/>
    </row>
    <row r="2910" spans="3:7" x14ac:dyDescent="0.2">
      <c r="C2910" s="105"/>
      <c r="D2910" s="4"/>
      <c r="E2910" s="39"/>
      <c r="F2910" s="106"/>
      <c r="G2910" s="7"/>
    </row>
    <row r="2911" spans="3:7" x14ac:dyDescent="0.2">
      <c r="C2911" s="105"/>
      <c r="D2911" s="4"/>
      <c r="E2911" s="39"/>
      <c r="F2911" s="106"/>
      <c r="G2911" s="7"/>
    </row>
    <row r="2912" spans="3:7" x14ac:dyDescent="0.2">
      <c r="C2912" s="105"/>
      <c r="D2912" s="4"/>
      <c r="E2912" s="39"/>
      <c r="F2912" s="106"/>
      <c r="G2912" s="7"/>
    </row>
    <row r="2913" spans="3:7" x14ac:dyDescent="0.2">
      <c r="C2913" s="105"/>
      <c r="D2913" s="4"/>
      <c r="E2913" s="39"/>
      <c r="F2913" s="106"/>
      <c r="G2913" s="7"/>
    </row>
    <row r="2914" spans="3:7" x14ac:dyDescent="0.2">
      <c r="C2914" s="105"/>
      <c r="D2914" s="4"/>
      <c r="E2914" s="39"/>
      <c r="F2914" s="106"/>
      <c r="G2914" s="7"/>
    </row>
    <row r="2915" spans="3:7" x14ac:dyDescent="0.2">
      <c r="C2915" s="105"/>
      <c r="D2915" s="4"/>
      <c r="E2915" s="39"/>
      <c r="F2915" s="106"/>
      <c r="G2915" s="7"/>
    </row>
    <row r="2916" spans="3:7" x14ac:dyDescent="0.2">
      <c r="C2916" s="105"/>
      <c r="D2916" s="4"/>
      <c r="E2916" s="39"/>
      <c r="F2916" s="106"/>
      <c r="G2916" s="7"/>
    </row>
    <row r="2917" spans="3:7" x14ac:dyDescent="0.2">
      <c r="C2917" s="105"/>
      <c r="D2917" s="4"/>
      <c r="E2917" s="39"/>
      <c r="F2917" s="106"/>
      <c r="G2917" s="7"/>
    </row>
    <row r="2918" spans="3:7" x14ac:dyDescent="0.2">
      <c r="C2918" s="105"/>
      <c r="D2918" s="4"/>
      <c r="E2918" s="39"/>
      <c r="F2918" s="106"/>
      <c r="G2918" s="7"/>
    </row>
    <row r="2919" spans="3:7" x14ac:dyDescent="0.2">
      <c r="C2919" s="105"/>
      <c r="D2919" s="4"/>
      <c r="E2919" s="39"/>
      <c r="F2919" s="106"/>
      <c r="G2919" s="7"/>
    </row>
    <row r="2920" spans="3:7" x14ac:dyDescent="0.2">
      <c r="C2920" s="105"/>
      <c r="D2920" s="4"/>
      <c r="E2920" s="39"/>
      <c r="F2920" s="106"/>
      <c r="G2920" s="7"/>
    </row>
    <row r="2921" spans="3:7" x14ac:dyDescent="0.2">
      <c r="C2921" s="105"/>
      <c r="D2921" s="4"/>
      <c r="E2921" s="39"/>
      <c r="F2921" s="106"/>
      <c r="G2921" s="7"/>
    </row>
    <row r="2922" spans="3:7" x14ac:dyDescent="0.2">
      <c r="C2922" s="105"/>
      <c r="D2922" s="4"/>
      <c r="E2922" s="39"/>
      <c r="F2922" s="106"/>
      <c r="G2922" s="7"/>
    </row>
    <row r="2923" spans="3:7" x14ac:dyDescent="0.2">
      <c r="C2923" s="105"/>
      <c r="D2923" s="4"/>
      <c r="E2923" s="39"/>
      <c r="F2923" s="106"/>
      <c r="G2923" s="7"/>
    </row>
    <row r="2924" spans="3:7" x14ac:dyDescent="0.2">
      <c r="C2924" s="105"/>
      <c r="D2924" s="4"/>
      <c r="E2924" s="39"/>
      <c r="F2924" s="106"/>
      <c r="G2924" s="7"/>
    </row>
    <row r="2925" spans="3:7" x14ac:dyDescent="0.2">
      <c r="C2925" s="105"/>
      <c r="D2925" s="4"/>
      <c r="E2925" s="39"/>
      <c r="F2925" s="106"/>
      <c r="G2925" s="7"/>
    </row>
    <row r="2926" spans="3:7" x14ac:dyDescent="0.2">
      <c r="C2926" s="105"/>
      <c r="D2926" s="4"/>
      <c r="E2926" s="39"/>
      <c r="F2926" s="106"/>
      <c r="G2926" s="7"/>
    </row>
    <row r="2927" spans="3:7" x14ac:dyDescent="0.2">
      <c r="C2927" s="105"/>
      <c r="D2927" s="4"/>
      <c r="E2927" s="39"/>
      <c r="F2927" s="106"/>
      <c r="G2927" s="7"/>
    </row>
    <row r="2928" spans="3:7" x14ac:dyDescent="0.2">
      <c r="C2928" s="105"/>
      <c r="D2928" s="4"/>
      <c r="E2928" s="39"/>
      <c r="F2928" s="106"/>
      <c r="G2928" s="7"/>
    </row>
    <row r="2929" spans="3:7" x14ac:dyDescent="0.2">
      <c r="C2929" s="105"/>
      <c r="D2929" s="4"/>
      <c r="E2929" s="39"/>
      <c r="F2929" s="106"/>
      <c r="G2929" s="7"/>
    </row>
    <row r="2930" spans="3:7" x14ac:dyDescent="0.2">
      <c r="C2930" s="105"/>
      <c r="D2930" s="4"/>
      <c r="E2930" s="39"/>
      <c r="F2930" s="106"/>
      <c r="G2930" s="7"/>
    </row>
    <row r="2931" spans="3:7" x14ac:dyDescent="0.2">
      <c r="C2931" s="105"/>
      <c r="D2931" s="4"/>
      <c r="E2931" s="39"/>
      <c r="F2931" s="106"/>
      <c r="G2931" s="7"/>
    </row>
    <row r="2932" spans="3:7" x14ac:dyDescent="0.2">
      <c r="C2932" s="105"/>
      <c r="D2932" s="4"/>
      <c r="E2932" s="39"/>
      <c r="F2932" s="106"/>
      <c r="G2932" s="7"/>
    </row>
    <row r="2933" spans="3:7" x14ac:dyDescent="0.2">
      <c r="C2933" s="105"/>
      <c r="D2933" s="4"/>
      <c r="E2933" s="39"/>
      <c r="F2933" s="106"/>
      <c r="G2933" s="7"/>
    </row>
    <row r="2934" spans="3:7" x14ac:dyDescent="0.2">
      <c r="C2934" s="105"/>
      <c r="D2934" s="4"/>
      <c r="E2934" s="39"/>
      <c r="F2934" s="106"/>
      <c r="G2934" s="7"/>
    </row>
    <row r="2935" spans="3:7" x14ac:dyDescent="0.2">
      <c r="C2935" s="105"/>
      <c r="D2935" s="4"/>
      <c r="E2935" s="39"/>
      <c r="F2935" s="106"/>
      <c r="G2935" s="7"/>
    </row>
    <row r="2936" spans="3:7" x14ac:dyDescent="0.2">
      <c r="C2936" s="105"/>
      <c r="D2936" s="4"/>
      <c r="E2936" s="39"/>
      <c r="F2936" s="106"/>
      <c r="G2936" s="7"/>
    </row>
    <row r="2937" spans="3:7" x14ac:dyDescent="0.2">
      <c r="C2937" s="105"/>
      <c r="D2937" s="4"/>
      <c r="E2937" s="39"/>
      <c r="F2937" s="106"/>
      <c r="G2937" s="7"/>
    </row>
    <row r="2938" spans="3:7" x14ac:dyDescent="0.2">
      <c r="C2938" s="105"/>
      <c r="D2938" s="4"/>
      <c r="E2938" s="39"/>
      <c r="F2938" s="106"/>
      <c r="G2938" s="7"/>
    </row>
    <row r="2939" spans="3:7" x14ac:dyDescent="0.2">
      <c r="C2939" s="105"/>
      <c r="D2939" s="4"/>
      <c r="E2939" s="39"/>
      <c r="F2939" s="106"/>
      <c r="G2939" s="7"/>
    </row>
    <row r="2940" spans="3:7" x14ac:dyDescent="0.2">
      <c r="C2940" s="105"/>
      <c r="D2940" s="4"/>
      <c r="E2940" s="39"/>
      <c r="F2940" s="106"/>
      <c r="G2940" s="7"/>
    </row>
    <row r="2941" spans="3:7" x14ac:dyDescent="0.2">
      <c r="C2941" s="105"/>
      <c r="D2941" s="4"/>
      <c r="E2941" s="39"/>
      <c r="F2941" s="106"/>
      <c r="G2941" s="7"/>
    </row>
    <row r="2942" spans="3:7" x14ac:dyDescent="0.2">
      <c r="C2942" s="105"/>
      <c r="D2942" s="4"/>
      <c r="E2942" s="39"/>
      <c r="F2942" s="106"/>
      <c r="G2942" s="7"/>
    </row>
    <row r="2943" spans="3:7" x14ac:dyDescent="0.2">
      <c r="C2943" s="105"/>
      <c r="D2943" s="4"/>
      <c r="E2943" s="39"/>
      <c r="F2943" s="106"/>
      <c r="G2943" s="7"/>
    </row>
    <row r="2944" spans="3:7" x14ac:dyDescent="0.2">
      <c r="C2944" s="105"/>
      <c r="D2944" s="4"/>
      <c r="E2944" s="39"/>
      <c r="F2944" s="106"/>
      <c r="G2944" s="7"/>
    </row>
    <row r="2945" spans="3:7" x14ac:dyDescent="0.2">
      <c r="C2945" s="105"/>
      <c r="D2945" s="4"/>
      <c r="E2945" s="39"/>
      <c r="F2945" s="106"/>
      <c r="G2945" s="7"/>
    </row>
    <row r="2946" spans="3:7" x14ac:dyDescent="0.2">
      <c r="C2946" s="105"/>
      <c r="D2946" s="4"/>
      <c r="E2946" s="39"/>
      <c r="F2946" s="106"/>
      <c r="G2946" s="7"/>
    </row>
    <row r="2947" spans="3:7" x14ac:dyDescent="0.2">
      <c r="C2947" s="105"/>
      <c r="D2947" s="4"/>
      <c r="E2947" s="39"/>
      <c r="F2947" s="106"/>
      <c r="G2947" s="7"/>
    </row>
    <row r="2948" spans="3:7" x14ac:dyDescent="0.2">
      <c r="C2948" s="105"/>
      <c r="D2948" s="4"/>
      <c r="E2948" s="39"/>
      <c r="F2948" s="106"/>
      <c r="G2948" s="7"/>
    </row>
    <row r="2949" spans="3:7" x14ac:dyDescent="0.2">
      <c r="C2949" s="105"/>
      <c r="D2949" s="4"/>
      <c r="E2949" s="39"/>
      <c r="F2949" s="106"/>
      <c r="G2949" s="7"/>
    </row>
    <row r="2950" spans="3:7" x14ac:dyDescent="0.2">
      <c r="C2950" s="105"/>
      <c r="D2950" s="4"/>
      <c r="E2950" s="39"/>
      <c r="F2950" s="106"/>
      <c r="G2950" s="7"/>
    </row>
    <row r="2951" spans="3:7" x14ac:dyDescent="0.2">
      <c r="C2951" s="105"/>
      <c r="D2951" s="4"/>
      <c r="E2951" s="39"/>
      <c r="F2951" s="106"/>
      <c r="G2951" s="7"/>
    </row>
    <row r="2952" spans="3:7" x14ac:dyDescent="0.2">
      <c r="C2952" s="105"/>
      <c r="D2952" s="4"/>
      <c r="E2952" s="39"/>
      <c r="F2952" s="106"/>
      <c r="G2952" s="7"/>
    </row>
    <row r="2953" spans="3:7" x14ac:dyDescent="0.2">
      <c r="C2953" s="105"/>
      <c r="D2953" s="4"/>
      <c r="E2953" s="39"/>
      <c r="F2953" s="106"/>
      <c r="G2953" s="7"/>
    </row>
    <row r="2954" spans="3:7" x14ac:dyDescent="0.2">
      <c r="C2954" s="105"/>
      <c r="D2954" s="4"/>
      <c r="E2954" s="39"/>
      <c r="F2954" s="106"/>
      <c r="G2954" s="7"/>
    </row>
    <row r="2955" spans="3:7" x14ac:dyDescent="0.2">
      <c r="C2955" s="105"/>
      <c r="D2955" s="4"/>
      <c r="E2955" s="39"/>
      <c r="F2955" s="106"/>
      <c r="G2955" s="7"/>
    </row>
    <row r="2956" spans="3:7" x14ac:dyDescent="0.2">
      <c r="C2956" s="105"/>
      <c r="D2956" s="4"/>
      <c r="E2956" s="39"/>
      <c r="F2956" s="106"/>
      <c r="G2956" s="7"/>
    </row>
    <row r="2957" spans="3:7" x14ac:dyDescent="0.2">
      <c r="C2957" s="105"/>
      <c r="D2957" s="4"/>
      <c r="E2957" s="39"/>
      <c r="F2957" s="106"/>
      <c r="G2957" s="7"/>
    </row>
    <row r="2958" spans="3:7" x14ac:dyDescent="0.2">
      <c r="C2958" s="105"/>
      <c r="D2958" s="4"/>
      <c r="E2958" s="39"/>
      <c r="F2958" s="106"/>
      <c r="G2958" s="7"/>
    </row>
    <row r="2959" spans="3:7" x14ac:dyDescent="0.2">
      <c r="C2959" s="105"/>
      <c r="D2959" s="4"/>
      <c r="E2959" s="39"/>
      <c r="F2959" s="106"/>
      <c r="G2959" s="7"/>
    </row>
    <row r="2960" spans="3:7" x14ac:dyDescent="0.2">
      <c r="C2960" s="105"/>
      <c r="D2960" s="4"/>
      <c r="E2960" s="39"/>
      <c r="F2960" s="106"/>
      <c r="G2960" s="7"/>
    </row>
    <row r="2961" spans="3:7" x14ac:dyDescent="0.2">
      <c r="C2961" s="105"/>
      <c r="D2961" s="4"/>
      <c r="E2961" s="39"/>
      <c r="F2961" s="106"/>
      <c r="G2961" s="7"/>
    </row>
    <row r="2962" spans="3:7" x14ac:dyDescent="0.2">
      <c r="C2962" s="105"/>
      <c r="D2962" s="4"/>
      <c r="E2962" s="39"/>
      <c r="F2962" s="106"/>
      <c r="G2962" s="7"/>
    </row>
    <row r="2963" spans="3:7" x14ac:dyDescent="0.2">
      <c r="C2963" s="105"/>
      <c r="D2963" s="4"/>
      <c r="E2963" s="39"/>
      <c r="F2963" s="106"/>
      <c r="G2963" s="7"/>
    </row>
    <row r="2964" spans="3:7" x14ac:dyDescent="0.2">
      <c r="C2964" s="105"/>
      <c r="D2964" s="4"/>
      <c r="E2964" s="39"/>
      <c r="F2964" s="106"/>
      <c r="G2964" s="7"/>
    </row>
    <row r="2965" spans="3:7" x14ac:dyDescent="0.2">
      <c r="C2965" s="105"/>
      <c r="D2965" s="4"/>
      <c r="E2965" s="39"/>
      <c r="F2965" s="106"/>
      <c r="G2965" s="7"/>
    </row>
    <row r="2966" spans="3:7" x14ac:dyDescent="0.2">
      <c r="C2966" s="105"/>
      <c r="D2966" s="4"/>
      <c r="E2966" s="39"/>
      <c r="F2966" s="106"/>
      <c r="G2966" s="7"/>
    </row>
    <row r="2967" spans="3:7" x14ac:dyDescent="0.2">
      <c r="C2967" s="105"/>
      <c r="D2967" s="4"/>
      <c r="E2967" s="39"/>
      <c r="F2967" s="106"/>
      <c r="G2967" s="7"/>
    </row>
    <row r="2968" spans="3:7" x14ac:dyDescent="0.2">
      <c r="C2968" s="105"/>
      <c r="D2968" s="4"/>
      <c r="E2968" s="39"/>
      <c r="F2968" s="106"/>
      <c r="G2968" s="7"/>
    </row>
    <row r="2969" spans="3:7" x14ac:dyDescent="0.2">
      <c r="C2969" s="105"/>
      <c r="D2969" s="4"/>
      <c r="E2969" s="39"/>
      <c r="F2969" s="106"/>
      <c r="G2969" s="7"/>
    </row>
    <row r="2970" spans="3:7" x14ac:dyDescent="0.2">
      <c r="C2970" s="105"/>
      <c r="D2970" s="4"/>
      <c r="E2970" s="39"/>
      <c r="F2970" s="106"/>
      <c r="G2970" s="7"/>
    </row>
    <row r="2971" spans="3:7" x14ac:dyDescent="0.2">
      <c r="C2971" s="105"/>
      <c r="D2971" s="4"/>
      <c r="E2971" s="39"/>
      <c r="F2971" s="106"/>
      <c r="G2971" s="7"/>
    </row>
    <row r="2972" spans="3:7" x14ac:dyDescent="0.2">
      <c r="C2972" s="105"/>
      <c r="D2972" s="4"/>
      <c r="E2972" s="39"/>
      <c r="F2972" s="106"/>
      <c r="G2972" s="7"/>
    </row>
    <row r="2973" spans="3:7" x14ac:dyDescent="0.2">
      <c r="C2973" s="105"/>
      <c r="D2973" s="4"/>
      <c r="E2973" s="39"/>
      <c r="F2973" s="106"/>
      <c r="G2973" s="7"/>
    </row>
    <row r="2974" spans="3:7" x14ac:dyDescent="0.2">
      <c r="C2974" s="105"/>
      <c r="D2974" s="4"/>
      <c r="E2974" s="39"/>
      <c r="F2974" s="106"/>
      <c r="G2974" s="7"/>
    </row>
    <row r="2975" spans="3:7" x14ac:dyDescent="0.2">
      <c r="C2975" s="105"/>
      <c r="D2975" s="4"/>
      <c r="E2975" s="39"/>
      <c r="F2975" s="106"/>
      <c r="G2975" s="7"/>
    </row>
    <row r="2976" spans="3:7" x14ac:dyDescent="0.2">
      <c r="C2976" s="105"/>
      <c r="D2976" s="4"/>
      <c r="E2976" s="39"/>
      <c r="F2976" s="106"/>
      <c r="G2976" s="7"/>
    </row>
    <row r="2977" spans="3:7" x14ac:dyDescent="0.2">
      <c r="C2977" s="105"/>
      <c r="D2977" s="4"/>
      <c r="E2977" s="39"/>
      <c r="F2977" s="106"/>
      <c r="G2977" s="7"/>
    </row>
    <row r="2978" spans="3:7" x14ac:dyDescent="0.2">
      <c r="C2978" s="105"/>
      <c r="D2978" s="4"/>
      <c r="E2978" s="39"/>
      <c r="F2978" s="106"/>
      <c r="G2978" s="7"/>
    </row>
    <row r="2979" spans="3:7" x14ac:dyDescent="0.2">
      <c r="C2979" s="105"/>
      <c r="D2979" s="4"/>
      <c r="E2979" s="39"/>
      <c r="F2979" s="106"/>
      <c r="G2979" s="7"/>
    </row>
    <row r="2980" spans="3:7" x14ac:dyDescent="0.2">
      <c r="C2980" s="105"/>
      <c r="D2980" s="4"/>
      <c r="E2980" s="39"/>
      <c r="F2980" s="106"/>
      <c r="G2980" s="7"/>
    </row>
    <row r="2981" spans="3:7" x14ac:dyDescent="0.2">
      <c r="C2981" s="105"/>
      <c r="D2981" s="4"/>
      <c r="E2981" s="39"/>
      <c r="F2981" s="106"/>
      <c r="G2981" s="7"/>
    </row>
    <row r="2982" spans="3:7" x14ac:dyDescent="0.2">
      <c r="C2982" s="105"/>
      <c r="D2982" s="4"/>
      <c r="E2982" s="39"/>
      <c r="F2982" s="106"/>
      <c r="G2982" s="7"/>
    </row>
    <row r="2983" spans="3:7" x14ac:dyDescent="0.2">
      <c r="C2983" s="105"/>
      <c r="D2983" s="4"/>
      <c r="E2983" s="39"/>
      <c r="F2983" s="106"/>
      <c r="G2983" s="7"/>
    </row>
    <row r="2984" spans="3:7" x14ac:dyDescent="0.2">
      <c r="C2984" s="105"/>
      <c r="D2984" s="4"/>
      <c r="E2984" s="39"/>
      <c r="F2984" s="106"/>
      <c r="G2984" s="7"/>
    </row>
    <row r="2985" spans="3:7" x14ac:dyDescent="0.2">
      <c r="C2985" s="105"/>
      <c r="D2985" s="4"/>
      <c r="E2985" s="39"/>
      <c r="F2985" s="106"/>
      <c r="G2985" s="7"/>
    </row>
    <row r="2986" spans="3:7" x14ac:dyDescent="0.2">
      <c r="C2986" s="105"/>
      <c r="D2986" s="4"/>
      <c r="E2986" s="39"/>
      <c r="F2986" s="106"/>
      <c r="G2986" s="7"/>
    </row>
    <row r="2987" spans="3:7" x14ac:dyDescent="0.2">
      <c r="C2987" s="105"/>
      <c r="D2987" s="4"/>
      <c r="E2987" s="39"/>
      <c r="F2987" s="106"/>
      <c r="G2987" s="7"/>
    </row>
    <row r="2988" spans="3:7" x14ac:dyDescent="0.2">
      <c r="C2988" s="105"/>
      <c r="D2988" s="4"/>
      <c r="E2988" s="39"/>
      <c r="F2988" s="106"/>
      <c r="G2988" s="7"/>
    </row>
    <row r="2989" spans="3:7" x14ac:dyDescent="0.2">
      <c r="C2989" s="105"/>
      <c r="D2989" s="4"/>
      <c r="E2989" s="39"/>
      <c r="F2989" s="106"/>
      <c r="G2989" s="7"/>
    </row>
    <row r="2990" spans="3:7" x14ac:dyDescent="0.2">
      <c r="C2990" s="105"/>
      <c r="D2990" s="4"/>
      <c r="E2990" s="39"/>
      <c r="F2990" s="106"/>
      <c r="G2990" s="7"/>
    </row>
    <row r="2991" spans="3:7" x14ac:dyDescent="0.2">
      <c r="C2991" s="105"/>
      <c r="D2991" s="4"/>
      <c r="E2991" s="39"/>
      <c r="F2991" s="106"/>
      <c r="G2991" s="7"/>
    </row>
    <row r="2992" spans="3:7" x14ac:dyDescent="0.2">
      <c r="C2992" s="105"/>
      <c r="D2992" s="4"/>
      <c r="E2992" s="39"/>
      <c r="F2992" s="106"/>
      <c r="G2992" s="7"/>
    </row>
    <row r="2993" spans="3:7" x14ac:dyDescent="0.2">
      <c r="C2993" s="105"/>
      <c r="D2993" s="4"/>
      <c r="E2993" s="39"/>
      <c r="F2993" s="106"/>
      <c r="G2993" s="7"/>
    </row>
    <row r="2994" spans="3:7" x14ac:dyDescent="0.2">
      <c r="C2994" s="105"/>
      <c r="D2994" s="4"/>
      <c r="E2994" s="39"/>
      <c r="F2994" s="106"/>
      <c r="G2994" s="7"/>
    </row>
    <row r="2995" spans="3:7" x14ac:dyDescent="0.2">
      <c r="C2995" s="105"/>
      <c r="D2995" s="4"/>
      <c r="E2995" s="39"/>
      <c r="F2995" s="106"/>
      <c r="G2995" s="7"/>
    </row>
    <row r="2996" spans="3:7" x14ac:dyDescent="0.2">
      <c r="C2996" s="105"/>
      <c r="D2996" s="4"/>
      <c r="E2996" s="39"/>
      <c r="F2996" s="106"/>
      <c r="G2996" s="7"/>
    </row>
    <row r="2997" spans="3:7" x14ac:dyDescent="0.2">
      <c r="C2997" s="105"/>
      <c r="D2997" s="4"/>
      <c r="E2997" s="39"/>
      <c r="F2997" s="106"/>
      <c r="G2997" s="7"/>
    </row>
    <row r="2998" spans="3:7" x14ac:dyDescent="0.2">
      <c r="C2998" s="105"/>
      <c r="D2998" s="4"/>
      <c r="E2998" s="39"/>
      <c r="F2998" s="106"/>
      <c r="G2998" s="7"/>
    </row>
    <row r="2999" spans="3:7" x14ac:dyDescent="0.2">
      <c r="C2999" s="105"/>
      <c r="D2999" s="4"/>
      <c r="E2999" s="39"/>
      <c r="F2999" s="106"/>
      <c r="G2999" s="7"/>
    </row>
    <row r="3000" spans="3:7" x14ac:dyDescent="0.2">
      <c r="C3000" s="105"/>
      <c r="D3000" s="4"/>
      <c r="E3000" s="39"/>
      <c r="F3000" s="106"/>
      <c r="G3000" s="7"/>
    </row>
    <row r="3001" spans="3:7" x14ac:dyDescent="0.2">
      <c r="C3001" s="105"/>
      <c r="D3001" s="4"/>
      <c r="E3001" s="39"/>
      <c r="F3001" s="106"/>
      <c r="G3001" s="7"/>
    </row>
    <row r="3002" spans="3:7" x14ac:dyDescent="0.2">
      <c r="C3002" s="105"/>
      <c r="D3002" s="4"/>
      <c r="E3002" s="39"/>
      <c r="F3002" s="106"/>
      <c r="G3002" s="7"/>
    </row>
    <row r="3003" spans="3:7" x14ac:dyDescent="0.2">
      <c r="C3003" s="105"/>
      <c r="D3003" s="4"/>
      <c r="E3003" s="39"/>
      <c r="F3003" s="106"/>
      <c r="G3003" s="7"/>
    </row>
    <row r="3004" spans="3:7" x14ac:dyDescent="0.2">
      <c r="C3004" s="105"/>
      <c r="D3004" s="4"/>
      <c r="E3004" s="39"/>
      <c r="F3004" s="106"/>
      <c r="G3004" s="7"/>
    </row>
    <row r="3005" spans="3:7" x14ac:dyDescent="0.2">
      <c r="C3005" s="105"/>
      <c r="D3005" s="4"/>
      <c r="E3005" s="39"/>
      <c r="F3005" s="106"/>
      <c r="G3005" s="7"/>
    </row>
    <row r="3006" spans="3:7" x14ac:dyDescent="0.2">
      <c r="C3006" s="105"/>
      <c r="D3006" s="4"/>
      <c r="E3006" s="39"/>
      <c r="F3006" s="106"/>
      <c r="G3006" s="7"/>
    </row>
    <row r="3007" spans="3:7" x14ac:dyDescent="0.2">
      <c r="C3007" s="105"/>
      <c r="D3007" s="4"/>
      <c r="E3007" s="39"/>
      <c r="F3007" s="106"/>
      <c r="G3007" s="7"/>
    </row>
    <row r="3008" spans="3:7" x14ac:dyDescent="0.2">
      <c r="C3008" s="105"/>
      <c r="D3008" s="4"/>
      <c r="E3008" s="39"/>
      <c r="F3008" s="106"/>
      <c r="G3008" s="7"/>
    </row>
    <row r="3009" spans="3:7" x14ac:dyDescent="0.2">
      <c r="C3009" s="105"/>
      <c r="D3009" s="4"/>
      <c r="E3009" s="39"/>
      <c r="F3009" s="106"/>
      <c r="G3009" s="7"/>
    </row>
    <row r="3010" spans="3:7" x14ac:dyDescent="0.2">
      <c r="C3010" s="105"/>
      <c r="D3010" s="4"/>
      <c r="E3010" s="39"/>
      <c r="F3010" s="106"/>
      <c r="G3010" s="7"/>
    </row>
    <row r="3011" spans="3:7" x14ac:dyDescent="0.2">
      <c r="C3011" s="105"/>
      <c r="D3011" s="4"/>
      <c r="E3011" s="39"/>
      <c r="F3011" s="106"/>
      <c r="G3011" s="7"/>
    </row>
    <row r="3012" spans="3:7" x14ac:dyDescent="0.2">
      <c r="C3012" s="105"/>
      <c r="D3012" s="4"/>
      <c r="E3012" s="39"/>
      <c r="F3012" s="106"/>
      <c r="G3012" s="7"/>
    </row>
    <row r="3013" spans="3:7" x14ac:dyDescent="0.2">
      <c r="C3013" s="105"/>
      <c r="D3013" s="4"/>
      <c r="E3013" s="39"/>
      <c r="F3013" s="106"/>
      <c r="G3013" s="7"/>
    </row>
    <row r="3014" spans="3:7" x14ac:dyDescent="0.2">
      <c r="C3014" s="105"/>
      <c r="D3014" s="4"/>
      <c r="E3014" s="39"/>
      <c r="F3014" s="106"/>
      <c r="G3014" s="7"/>
    </row>
    <row r="3015" spans="3:7" x14ac:dyDescent="0.2">
      <c r="C3015" s="105"/>
      <c r="D3015" s="4"/>
      <c r="E3015" s="39"/>
      <c r="F3015" s="106"/>
      <c r="G3015" s="7"/>
    </row>
    <row r="3016" spans="3:7" x14ac:dyDescent="0.2">
      <c r="C3016" s="105"/>
      <c r="D3016" s="4"/>
      <c r="E3016" s="39"/>
      <c r="F3016" s="106"/>
      <c r="G3016" s="7"/>
    </row>
    <row r="3017" spans="3:7" x14ac:dyDescent="0.2">
      <c r="C3017" s="105"/>
      <c r="D3017" s="4"/>
      <c r="E3017" s="39"/>
      <c r="F3017" s="106"/>
      <c r="G3017" s="7"/>
    </row>
    <row r="3018" spans="3:7" x14ac:dyDescent="0.2">
      <c r="C3018" s="105"/>
      <c r="D3018" s="4"/>
      <c r="E3018" s="39"/>
      <c r="F3018" s="106"/>
      <c r="G3018" s="7"/>
    </row>
    <row r="3019" spans="3:7" x14ac:dyDescent="0.2">
      <c r="C3019" s="105"/>
      <c r="D3019" s="4"/>
      <c r="E3019" s="39"/>
      <c r="F3019" s="106"/>
      <c r="G3019" s="7"/>
    </row>
    <row r="3020" spans="3:7" x14ac:dyDescent="0.2">
      <c r="C3020" s="105"/>
      <c r="D3020" s="4"/>
      <c r="E3020" s="39"/>
      <c r="F3020" s="106"/>
      <c r="G3020" s="7"/>
    </row>
    <row r="3021" spans="3:7" x14ac:dyDescent="0.2">
      <c r="C3021" s="105"/>
      <c r="D3021" s="4"/>
      <c r="E3021" s="39"/>
      <c r="F3021" s="106"/>
      <c r="G3021" s="7"/>
    </row>
    <row r="3022" spans="3:7" x14ac:dyDescent="0.2">
      <c r="C3022" s="105"/>
      <c r="D3022" s="4"/>
      <c r="E3022" s="39"/>
      <c r="F3022" s="106"/>
      <c r="G3022" s="7"/>
    </row>
    <row r="3023" spans="3:7" x14ac:dyDescent="0.2">
      <c r="C3023" s="105"/>
      <c r="D3023" s="4"/>
      <c r="E3023" s="39"/>
      <c r="F3023" s="106"/>
      <c r="G3023" s="7"/>
    </row>
    <row r="3024" spans="3:7" x14ac:dyDescent="0.2">
      <c r="C3024" s="105"/>
      <c r="D3024" s="4"/>
      <c r="E3024" s="39"/>
      <c r="F3024" s="106"/>
      <c r="G3024" s="7"/>
    </row>
    <row r="3025" spans="3:7" x14ac:dyDescent="0.2">
      <c r="C3025" s="105"/>
      <c r="D3025" s="4"/>
      <c r="E3025" s="39"/>
      <c r="F3025" s="106"/>
      <c r="G3025" s="7"/>
    </row>
    <row r="3026" spans="3:7" x14ac:dyDescent="0.2">
      <c r="C3026" s="105"/>
      <c r="D3026" s="4"/>
      <c r="E3026" s="39"/>
      <c r="F3026" s="106"/>
      <c r="G3026" s="7"/>
    </row>
    <row r="3027" spans="3:7" x14ac:dyDescent="0.2">
      <c r="C3027" s="105"/>
      <c r="D3027" s="4"/>
      <c r="E3027" s="39"/>
      <c r="F3027" s="106"/>
      <c r="G3027" s="7"/>
    </row>
    <row r="3028" spans="3:7" x14ac:dyDescent="0.2">
      <c r="C3028" s="105"/>
      <c r="D3028" s="4"/>
      <c r="E3028" s="39"/>
      <c r="F3028" s="106"/>
      <c r="G3028" s="7"/>
    </row>
    <row r="3029" spans="3:7" x14ac:dyDescent="0.2">
      <c r="C3029" s="105"/>
      <c r="D3029" s="4"/>
      <c r="E3029" s="39"/>
      <c r="F3029" s="106"/>
      <c r="G3029" s="7"/>
    </row>
    <row r="3030" spans="3:7" x14ac:dyDescent="0.2">
      <c r="C3030" s="105"/>
      <c r="D3030" s="4"/>
      <c r="E3030" s="39"/>
      <c r="F3030" s="106"/>
      <c r="G3030" s="7"/>
    </row>
    <row r="3031" spans="3:7" x14ac:dyDescent="0.2">
      <c r="C3031" s="105"/>
      <c r="D3031" s="4"/>
      <c r="E3031" s="39"/>
      <c r="F3031" s="106"/>
      <c r="G3031" s="7"/>
    </row>
    <row r="3032" spans="3:7" x14ac:dyDescent="0.2">
      <c r="C3032" s="105"/>
      <c r="D3032" s="4"/>
      <c r="E3032" s="39"/>
      <c r="F3032" s="106"/>
      <c r="G3032" s="7"/>
    </row>
    <row r="3033" spans="3:7" x14ac:dyDescent="0.2">
      <c r="C3033" s="105"/>
      <c r="D3033" s="4"/>
      <c r="E3033" s="39"/>
      <c r="F3033" s="106"/>
      <c r="G3033" s="7"/>
    </row>
    <row r="3034" spans="3:7" x14ac:dyDescent="0.2">
      <c r="C3034" s="105"/>
      <c r="D3034" s="4"/>
      <c r="E3034" s="39"/>
      <c r="F3034" s="106"/>
      <c r="G3034" s="7"/>
    </row>
    <row r="3035" spans="3:7" x14ac:dyDescent="0.2">
      <c r="C3035" s="105"/>
      <c r="D3035" s="4"/>
      <c r="E3035" s="39"/>
      <c r="F3035" s="106"/>
      <c r="G3035" s="7"/>
    </row>
    <row r="3036" spans="3:7" x14ac:dyDescent="0.2">
      <c r="C3036" s="105"/>
      <c r="D3036" s="4"/>
      <c r="E3036" s="39"/>
      <c r="F3036" s="106"/>
      <c r="G3036" s="7"/>
    </row>
    <row r="3037" spans="3:7" x14ac:dyDescent="0.2">
      <c r="C3037" s="105"/>
      <c r="D3037" s="4"/>
      <c r="E3037" s="39"/>
      <c r="F3037" s="106"/>
      <c r="G3037" s="7"/>
    </row>
    <row r="3038" spans="3:7" x14ac:dyDescent="0.2">
      <c r="C3038" s="105"/>
      <c r="D3038" s="4"/>
      <c r="E3038" s="39"/>
      <c r="F3038" s="106"/>
      <c r="G3038" s="7"/>
    </row>
    <row r="3039" spans="3:7" x14ac:dyDescent="0.2">
      <c r="C3039" s="105"/>
      <c r="D3039" s="4"/>
      <c r="E3039" s="39"/>
      <c r="F3039" s="106"/>
      <c r="G3039" s="7"/>
    </row>
    <row r="3040" spans="3:7" x14ac:dyDescent="0.2">
      <c r="C3040" s="105"/>
      <c r="D3040" s="4"/>
      <c r="E3040" s="39"/>
      <c r="F3040" s="106"/>
      <c r="G3040" s="7"/>
    </row>
    <row r="3041" spans="3:7" x14ac:dyDescent="0.2">
      <c r="C3041" s="105"/>
      <c r="D3041" s="4"/>
      <c r="E3041" s="39"/>
      <c r="F3041" s="106"/>
      <c r="G3041" s="7"/>
    </row>
    <row r="3042" spans="3:7" x14ac:dyDescent="0.2">
      <c r="C3042" s="105"/>
      <c r="D3042" s="4"/>
      <c r="E3042" s="39"/>
      <c r="F3042" s="106"/>
      <c r="G3042" s="7"/>
    </row>
    <row r="3043" spans="3:7" x14ac:dyDescent="0.2">
      <c r="C3043" s="105"/>
      <c r="D3043" s="4"/>
      <c r="E3043" s="39"/>
      <c r="F3043" s="106"/>
      <c r="G3043" s="7"/>
    </row>
    <row r="3044" spans="3:7" x14ac:dyDescent="0.2">
      <c r="C3044" s="105"/>
      <c r="D3044" s="4"/>
      <c r="E3044" s="39"/>
      <c r="F3044" s="106"/>
      <c r="G3044" s="7"/>
    </row>
    <row r="3045" spans="3:7" x14ac:dyDescent="0.2">
      <c r="C3045" s="105"/>
      <c r="D3045" s="4"/>
      <c r="E3045" s="39"/>
      <c r="F3045" s="106"/>
      <c r="G3045" s="7"/>
    </row>
    <row r="3046" spans="3:7" x14ac:dyDescent="0.2">
      <c r="C3046" s="105"/>
      <c r="D3046" s="4"/>
      <c r="E3046" s="39"/>
      <c r="F3046" s="106"/>
      <c r="G3046" s="7"/>
    </row>
    <row r="3047" spans="3:7" x14ac:dyDescent="0.2">
      <c r="C3047" s="105"/>
      <c r="D3047" s="4"/>
      <c r="E3047" s="39"/>
      <c r="F3047" s="106"/>
      <c r="G3047" s="7"/>
    </row>
    <row r="3048" spans="3:7" x14ac:dyDescent="0.2">
      <c r="C3048" s="105"/>
      <c r="D3048" s="4"/>
      <c r="E3048" s="39"/>
      <c r="F3048" s="106"/>
      <c r="G3048" s="7"/>
    </row>
    <row r="3049" spans="3:7" x14ac:dyDescent="0.2">
      <c r="C3049" s="105"/>
      <c r="D3049" s="4"/>
      <c r="E3049" s="39"/>
      <c r="F3049" s="106"/>
      <c r="G3049" s="7"/>
    </row>
    <row r="3050" spans="3:7" x14ac:dyDescent="0.2">
      <c r="C3050" s="105"/>
      <c r="D3050" s="4"/>
      <c r="E3050" s="39"/>
      <c r="F3050" s="106"/>
      <c r="G3050" s="7"/>
    </row>
    <row r="3051" spans="3:7" x14ac:dyDescent="0.2">
      <c r="C3051" s="105"/>
      <c r="D3051" s="4"/>
      <c r="E3051" s="39"/>
      <c r="F3051" s="106"/>
      <c r="G3051" s="7"/>
    </row>
    <row r="3052" spans="3:7" x14ac:dyDescent="0.2">
      <c r="C3052" s="105"/>
      <c r="D3052" s="4"/>
      <c r="E3052" s="39"/>
      <c r="F3052" s="106"/>
      <c r="G3052" s="7"/>
    </row>
    <row r="3053" spans="3:7" x14ac:dyDescent="0.2">
      <c r="C3053" s="105"/>
      <c r="D3053" s="4"/>
      <c r="E3053" s="39"/>
      <c r="F3053" s="106"/>
      <c r="G3053" s="7"/>
    </row>
    <row r="3054" spans="3:7" x14ac:dyDescent="0.2">
      <c r="C3054" s="105"/>
      <c r="D3054" s="4"/>
      <c r="E3054" s="39"/>
      <c r="F3054" s="106"/>
      <c r="G3054" s="7"/>
    </row>
    <row r="3055" spans="3:7" x14ac:dyDescent="0.2">
      <c r="C3055" s="105"/>
      <c r="D3055" s="4"/>
      <c r="E3055" s="39"/>
      <c r="F3055" s="106"/>
      <c r="G3055" s="7"/>
    </row>
    <row r="3056" spans="3:7" x14ac:dyDescent="0.2">
      <c r="C3056" s="105"/>
      <c r="D3056" s="4"/>
      <c r="E3056" s="39"/>
      <c r="F3056" s="106"/>
      <c r="G3056" s="7"/>
    </row>
    <row r="3057" spans="3:7" x14ac:dyDescent="0.2">
      <c r="C3057" s="105"/>
      <c r="D3057" s="4"/>
      <c r="E3057" s="39"/>
      <c r="F3057" s="106"/>
      <c r="G3057" s="7"/>
    </row>
    <row r="3058" spans="3:7" x14ac:dyDescent="0.2">
      <c r="C3058" s="105"/>
      <c r="D3058" s="4"/>
      <c r="E3058" s="39"/>
      <c r="F3058" s="106"/>
      <c r="G3058" s="7"/>
    </row>
    <row r="3059" spans="3:7" x14ac:dyDescent="0.2">
      <c r="C3059" s="105"/>
      <c r="D3059" s="4"/>
      <c r="E3059" s="39"/>
      <c r="F3059" s="106"/>
      <c r="G3059" s="7"/>
    </row>
    <row r="3060" spans="3:7" x14ac:dyDescent="0.2">
      <c r="C3060" s="105"/>
      <c r="D3060" s="4"/>
      <c r="E3060" s="39"/>
      <c r="F3060" s="106"/>
      <c r="G3060" s="7"/>
    </row>
    <row r="3061" spans="3:7" x14ac:dyDescent="0.2">
      <c r="C3061" s="105"/>
      <c r="D3061" s="4"/>
      <c r="E3061" s="39"/>
      <c r="F3061" s="106"/>
      <c r="G3061" s="7"/>
    </row>
    <row r="3062" spans="3:7" x14ac:dyDescent="0.2">
      <c r="C3062" s="105"/>
      <c r="D3062" s="4"/>
      <c r="E3062" s="39"/>
      <c r="F3062" s="106"/>
      <c r="G3062" s="7"/>
    </row>
    <row r="3063" spans="3:7" x14ac:dyDescent="0.2">
      <c r="C3063" s="105"/>
      <c r="D3063" s="4"/>
      <c r="E3063" s="39"/>
      <c r="F3063" s="106"/>
      <c r="G3063" s="7"/>
    </row>
    <row r="3064" spans="3:7" x14ac:dyDescent="0.2">
      <c r="C3064" s="105"/>
      <c r="D3064" s="4"/>
      <c r="E3064" s="39"/>
      <c r="F3064" s="106"/>
      <c r="G3064" s="7"/>
    </row>
    <row r="3065" spans="3:7" x14ac:dyDescent="0.2">
      <c r="C3065" s="105"/>
      <c r="D3065" s="4"/>
      <c r="E3065" s="39"/>
      <c r="F3065" s="106"/>
      <c r="G3065" s="7"/>
    </row>
    <row r="3066" spans="3:7" x14ac:dyDescent="0.2">
      <c r="C3066" s="105"/>
      <c r="D3066" s="4"/>
      <c r="E3066" s="39"/>
      <c r="F3066" s="106"/>
      <c r="G3066" s="7"/>
    </row>
    <row r="3067" spans="3:7" x14ac:dyDescent="0.2">
      <c r="C3067" s="105"/>
      <c r="D3067" s="4"/>
      <c r="E3067" s="39"/>
      <c r="F3067" s="106"/>
      <c r="G3067" s="7"/>
    </row>
    <row r="3068" spans="3:7" x14ac:dyDescent="0.2">
      <c r="C3068" s="105"/>
      <c r="D3068" s="4"/>
      <c r="E3068" s="39"/>
      <c r="F3068" s="106"/>
      <c r="G3068" s="7"/>
    </row>
    <row r="3069" spans="3:7" x14ac:dyDescent="0.2">
      <c r="C3069" s="105"/>
      <c r="D3069" s="4"/>
      <c r="E3069" s="39"/>
      <c r="F3069" s="106"/>
      <c r="G3069" s="7"/>
    </row>
    <row r="3070" spans="3:7" x14ac:dyDescent="0.2">
      <c r="C3070" s="105"/>
      <c r="D3070" s="4"/>
      <c r="E3070" s="39"/>
      <c r="F3070" s="106"/>
      <c r="G3070" s="7"/>
    </row>
    <row r="3071" spans="3:7" x14ac:dyDescent="0.2">
      <c r="C3071" s="105"/>
      <c r="D3071" s="4"/>
      <c r="E3071" s="39"/>
      <c r="F3071" s="106"/>
      <c r="G3071" s="7"/>
    </row>
    <row r="3072" spans="3:7" x14ac:dyDescent="0.2">
      <c r="C3072" s="105"/>
      <c r="D3072" s="4"/>
      <c r="E3072" s="39"/>
      <c r="F3072" s="106"/>
      <c r="G3072" s="7"/>
    </row>
    <row r="3073" spans="3:7" x14ac:dyDescent="0.2">
      <c r="C3073" s="105"/>
      <c r="D3073" s="4"/>
      <c r="E3073" s="39"/>
      <c r="F3073" s="106"/>
      <c r="G3073" s="7"/>
    </row>
    <row r="3074" spans="3:7" x14ac:dyDescent="0.2">
      <c r="C3074" s="105"/>
      <c r="D3074" s="4"/>
      <c r="E3074" s="39"/>
      <c r="F3074" s="106"/>
      <c r="G3074" s="7"/>
    </row>
    <row r="3075" spans="3:7" x14ac:dyDescent="0.2">
      <c r="C3075" s="105"/>
      <c r="D3075" s="4"/>
      <c r="E3075" s="39"/>
      <c r="F3075" s="106"/>
      <c r="G3075" s="7"/>
    </row>
    <row r="3076" spans="3:7" x14ac:dyDescent="0.2">
      <c r="C3076" s="105"/>
      <c r="D3076" s="4"/>
      <c r="E3076" s="39"/>
      <c r="F3076" s="106"/>
      <c r="G3076" s="7"/>
    </row>
    <row r="3077" spans="3:7" x14ac:dyDescent="0.2">
      <c r="C3077" s="105"/>
      <c r="D3077" s="4"/>
      <c r="E3077" s="39"/>
      <c r="F3077" s="106"/>
      <c r="G3077" s="7"/>
    </row>
    <row r="3078" spans="3:7" x14ac:dyDescent="0.2">
      <c r="C3078" s="105"/>
      <c r="D3078" s="4"/>
      <c r="E3078" s="39"/>
      <c r="F3078" s="106"/>
      <c r="G3078" s="7"/>
    </row>
    <row r="3079" spans="3:7" x14ac:dyDescent="0.2">
      <c r="C3079" s="105"/>
      <c r="D3079" s="4"/>
      <c r="E3079" s="39"/>
      <c r="F3079" s="106"/>
      <c r="G3079" s="7"/>
    </row>
    <row r="3080" spans="3:7" x14ac:dyDescent="0.2">
      <c r="C3080" s="105"/>
      <c r="D3080" s="4"/>
      <c r="E3080" s="39"/>
      <c r="F3080" s="106"/>
      <c r="G3080" s="7"/>
    </row>
    <row r="3081" spans="3:7" x14ac:dyDescent="0.2">
      <c r="C3081" s="105"/>
      <c r="D3081" s="4"/>
      <c r="E3081" s="39"/>
      <c r="F3081" s="106"/>
      <c r="G3081" s="7"/>
    </row>
    <row r="3082" spans="3:7" x14ac:dyDescent="0.2">
      <c r="C3082" s="105"/>
      <c r="D3082" s="4"/>
      <c r="E3082" s="39"/>
      <c r="F3082" s="106"/>
      <c r="G3082" s="7"/>
    </row>
    <row r="3083" spans="3:7" x14ac:dyDescent="0.2">
      <c r="C3083" s="105"/>
      <c r="D3083" s="4"/>
      <c r="E3083" s="39"/>
      <c r="F3083" s="106"/>
      <c r="G3083" s="7"/>
    </row>
    <row r="3084" spans="3:7" x14ac:dyDescent="0.2">
      <c r="C3084" s="105"/>
      <c r="D3084" s="4"/>
      <c r="E3084" s="39"/>
      <c r="F3084" s="106"/>
      <c r="G3084" s="7"/>
    </row>
    <row r="3085" spans="3:7" x14ac:dyDescent="0.2">
      <c r="C3085" s="105"/>
      <c r="D3085" s="4"/>
      <c r="E3085" s="39"/>
      <c r="F3085" s="106"/>
      <c r="G3085" s="7"/>
    </row>
    <row r="3086" spans="3:7" x14ac:dyDescent="0.2">
      <c r="C3086" s="105"/>
      <c r="D3086" s="4"/>
      <c r="E3086" s="39"/>
      <c r="F3086" s="106"/>
      <c r="G3086" s="7"/>
    </row>
    <row r="3087" spans="3:7" x14ac:dyDescent="0.2">
      <c r="C3087" s="105"/>
      <c r="D3087" s="4"/>
      <c r="E3087" s="39"/>
      <c r="F3087" s="106"/>
      <c r="G3087" s="7"/>
    </row>
    <row r="3088" spans="3:7" x14ac:dyDescent="0.2">
      <c r="C3088" s="105"/>
      <c r="D3088" s="4"/>
      <c r="E3088" s="39"/>
      <c r="F3088" s="106"/>
      <c r="G3088" s="7"/>
    </row>
    <row r="3089" spans="3:7" x14ac:dyDescent="0.2">
      <c r="C3089" s="105"/>
      <c r="D3089" s="4"/>
      <c r="E3089" s="39"/>
      <c r="F3089" s="106"/>
      <c r="G3089" s="7"/>
    </row>
    <row r="3090" spans="3:7" x14ac:dyDescent="0.2">
      <c r="C3090" s="105"/>
      <c r="D3090" s="4"/>
      <c r="E3090" s="39"/>
      <c r="F3090" s="106"/>
      <c r="G3090" s="7"/>
    </row>
    <row r="3091" spans="3:7" x14ac:dyDescent="0.2">
      <c r="C3091" s="105"/>
      <c r="D3091" s="4"/>
      <c r="E3091" s="39"/>
      <c r="F3091" s="106"/>
      <c r="G3091" s="7"/>
    </row>
    <row r="3092" spans="3:7" x14ac:dyDescent="0.2">
      <c r="C3092" s="105"/>
      <c r="D3092" s="4"/>
      <c r="E3092" s="39"/>
      <c r="F3092" s="106"/>
      <c r="G3092" s="7"/>
    </row>
    <row r="3093" spans="3:7" x14ac:dyDescent="0.2">
      <c r="C3093" s="105"/>
      <c r="D3093" s="4"/>
      <c r="E3093" s="39"/>
      <c r="F3093" s="106"/>
      <c r="G3093" s="7"/>
    </row>
    <row r="3094" spans="3:7" x14ac:dyDescent="0.2">
      <c r="C3094" s="105"/>
      <c r="D3094" s="4"/>
      <c r="E3094" s="39"/>
      <c r="F3094" s="106"/>
      <c r="G3094" s="7"/>
    </row>
    <row r="3095" spans="3:7" x14ac:dyDescent="0.2">
      <c r="C3095" s="105"/>
      <c r="D3095" s="4"/>
      <c r="E3095" s="39"/>
      <c r="F3095" s="106"/>
      <c r="G3095" s="7"/>
    </row>
    <row r="3096" spans="3:7" x14ac:dyDescent="0.2">
      <c r="C3096" s="105"/>
      <c r="D3096" s="4"/>
      <c r="E3096" s="39"/>
      <c r="F3096" s="106"/>
      <c r="G3096" s="7"/>
    </row>
    <row r="3097" spans="3:7" x14ac:dyDescent="0.2">
      <c r="C3097" s="105"/>
      <c r="D3097" s="4"/>
      <c r="E3097" s="39"/>
      <c r="F3097" s="106"/>
      <c r="G3097" s="7"/>
    </row>
    <row r="3098" spans="3:7" x14ac:dyDescent="0.2">
      <c r="C3098" s="105"/>
      <c r="D3098" s="4"/>
      <c r="E3098" s="39"/>
      <c r="F3098" s="106"/>
      <c r="G3098" s="7"/>
    </row>
    <row r="3099" spans="3:7" x14ac:dyDescent="0.2">
      <c r="C3099" s="105"/>
      <c r="D3099" s="4"/>
      <c r="E3099" s="39"/>
      <c r="F3099" s="106"/>
      <c r="G3099" s="7"/>
    </row>
    <row r="3100" spans="3:7" x14ac:dyDescent="0.2">
      <c r="C3100" s="105"/>
      <c r="D3100" s="4"/>
      <c r="E3100" s="39"/>
      <c r="F3100" s="106"/>
      <c r="G3100" s="7"/>
    </row>
    <row r="3101" spans="3:7" x14ac:dyDescent="0.2">
      <c r="C3101" s="105"/>
      <c r="D3101" s="4"/>
      <c r="E3101" s="39"/>
      <c r="F3101" s="106"/>
      <c r="G3101" s="7"/>
    </row>
    <row r="3102" spans="3:7" x14ac:dyDescent="0.2">
      <c r="C3102" s="105"/>
      <c r="D3102" s="4"/>
      <c r="E3102" s="39"/>
      <c r="F3102" s="106"/>
      <c r="G3102" s="7"/>
    </row>
    <row r="3103" spans="3:7" x14ac:dyDescent="0.2">
      <c r="C3103" s="105"/>
      <c r="D3103" s="4"/>
      <c r="E3103" s="39"/>
      <c r="F3103" s="106"/>
      <c r="G3103" s="7"/>
    </row>
    <row r="3104" spans="3:7" x14ac:dyDescent="0.2">
      <c r="C3104" s="105"/>
      <c r="D3104" s="4"/>
      <c r="E3104" s="39"/>
      <c r="F3104" s="106"/>
      <c r="G3104" s="7"/>
    </row>
    <row r="3105" spans="3:7" x14ac:dyDescent="0.2">
      <c r="C3105" s="105"/>
      <c r="D3105" s="4"/>
      <c r="E3105" s="39"/>
      <c r="F3105" s="106"/>
      <c r="G3105" s="7"/>
    </row>
    <row r="3106" spans="3:7" x14ac:dyDescent="0.2">
      <c r="C3106" s="105"/>
      <c r="D3106" s="4"/>
      <c r="E3106" s="39"/>
      <c r="F3106" s="106"/>
      <c r="G3106" s="7"/>
    </row>
    <row r="3107" spans="3:7" x14ac:dyDescent="0.2">
      <c r="C3107" s="105"/>
      <c r="D3107" s="4"/>
      <c r="E3107" s="39"/>
      <c r="F3107" s="106"/>
      <c r="G3107" s="7"/>
    </row>
    <row r="3108" spans="3:7" x14ac:dyDescent="0.2">
      <c r="C3108" s="105"/>
      <c r="D3108" s="4"/>
      <c r="E3108" s="39"/>
      <c r="F3108" s="106"/>
      <c r="G3108" s="7"/>
    </row>
    <row r="3109" spans="3:7" x14ac:dyDescent="0.2">
      <c r="C3109" s="105"/>
      <c r="D3109" s="4"/>
      <c r="E3109" s="39"/>
      <c r="F3109" s="106"/>
      <c r="G3109" s="7"/>
    </row>
    <row r="3110" spans="3:7" x14ac:dyDescent="0.2">
      <c r="C3110" s="105"/>
      <c r="D3110" s="4"/>
      <c r="E3110" s="39"/>
      <c r="F3110" s="106"/>
      <c r="G3110" s="7"/>
    </row>
    <row r="3111" spans="3:7" x14ac:dyDescent="0.2">
      <c r="C3111" s="105"/>
      <c r="D3111" s="4"/>
      <c r="E3111" s="39"/>
      <c r="F3111" s="106"/>
      <c r="G3111" s="7"/>
    </row>
    <row r="3112" spans="3:7" x14ac:dyDescent="0.2">
      <c r="C3112" s="105"/>
      <c r="D3112" s="4"/>
      <c r="E3112" s="39"/>
      <c r="F3112" s="106"/>
      <c r="G3112" s="7"/>
    </row>
    <row r="3113" spans="3:7" x14ac:dyDescent="0.2">
      <c r="C3113" s="105"/>
      <c r="D3113" s="4"/>
      <c r="E3113" s="39"/>
      <c r="F3113" s="106"/>
      <c r="G3113" s="7"/>
    </row>
    <row r="3114" spans="3:7" x14ac:dyDescent="0.2">
      <c r="C3114" s="105"/>
      <c r="D3114" s="4"/>
      <c r="E3114" s="39"/>
      <c r="F3114" s="106"/>
      <c r="G3114" s="7"/>
    </row>
    <row r="3115" spans="3:7" x14ac:dyDescent="0.2">
      <c r="C3115" s="105"/>
      <c r="D3115" s="4"/>
      <c r="E3115" s="39"/>
      <c r="F3115" s="106"/>
      <c r="G3115" s="7"/>
    </row>
    <row r="3116" spans="3:7" x14ac:dyDescent="0.2">
      <c r="C3116" s="105"/>
      <c r="D3116" s="4"/>
      <c r="E3116" s="39"/>
      <c r="F3116" s="106"/>
      <c r="G3116" s="7"/>
    </row>
    <row r="3117" spans="3:7" x14ac:dyDescent="0.2">
      <c r="C3117" s="105"/>
      <c r="D3117" s="4"/>
      <c r="E3117" s="39"/>
      <c r="F3117" s="106"/>
      <c r="G3117" s="7"/>
    </row>
    <row r="3118" spans="3:7" x14ac:dyDescent="0.2">
      <c r="C3118" s="105"/>
      <c r="D3118" s="4"/>
      <c r="E3118" s="39"/>
      <c r="F3118" s="106"/>
      <c r="G3118" s="7"/>
    </row>
    <row r="3119" spans="3:7" x14ac:dyDescent="0.2">
      <c r="C3119" s="105"/>
      <c r="D3119" s="4"/>
      <c r="E3119" s="39"/>
      <c r="F3119" s="106"/>
      <c r="G3119" s="7"/>
    </row>
    <row r="3120" spans="3:7" x14ac:dyDescent="0.2">
      <c r="C3120" s="105"/>
      <c r="D3120" s="4"/>
      <c r="E3120" s="39"/>
      <c r="F3120" s="106"/>
      <c r="G3120" s="7"/>
    </row>
    <row r="3121" spans="3:7" x14ac:dyDescent="0.2">
      <c r="C3121" s="105"/>
      <c r="D3121" s="4"/>
      <c r="E3121" s="39"/>
      <c r="F3121" s="106"/>
      <c r="G3121" s="7"/>
    </row>
    <row r="3122" spans="3:7" x14ac:dyDescent="0.2">
      <c r="C3122" s="105"/>
      <c r="D3122" s="4"/>
      <c r="E3122" s="39"/>
      <c r="F3122" s="106"/>
      <c r="G3122" s="7"/>
    </row>
    <row r="3123" spans="3:7" x14ac:dyDescent="0.2">
      <c r="C3123" s="105"/>
      <c r="D3123" s="4"/>
      <c r="E3123" s="39"/>
      <c r="F3123" s="106"/>
      <c r="G3123" s="7"/>
    </row>
    <row r="3124" spans="3:7" x14ac:dyDescent="0.2">
      <c r="C3124" s="105"/>
      <c r="D3124" s="4"/>
      <c r="E3124" s="39"/>
      <c r="F3124" s="106"/>
      <c r="G3124" s="7"/>
    </row>
    <row r="3125" spans="3:7" x14ac:dyDescent="0.2">
      <c r="C3125" s="105"/>
      <c r="D3125" s="4"/>
      <c r="E3125" s="39"/>
      <c r="F3125" s="106"/>
      <c r="G3125" s="7"/>
    </row>
    <row r="3126" spans="3:7" x14ac:dyDescent="0.2">
      <c r="C3126" s="105"/>
      <c r="D3126" s="4"/>
      <c r="E3126" s="39"/>
      <c r="F3126" s="106"/>
      <c r="G3126" s="7"/>
    </row>
    <row r="3127" spans="3:7" x14ac:dyDescent="0.2">
      <c r="C3127" s="105"/>
      <c r="D3127" s="4"/>
      <c r="E3127" s="39"/>
      <c r="F3127" s="106"/>
      <c r="G3127" s="7"/>
    </row>
    <row r="3128" spans="3:7" x14ac:dyDescent="0.2">
      <c r="C3128" s="105"/>
      <c r="D3128" s="4"/>
      <c r="E3128" s="39"/>
      <c r="F3128" s="106"/>
      <c r="G3128" s="7"/>
    </row>
    <row r="3129" spans="3:7" x14ac:dyDescent="0.2">
      <c r="C3129" s="105"/>
      <c r="D3129" s="4"/>
      <c r="E3129" s="39"/>
      <c r="F3129" s="106"/>
      <c r="G3129" s="7"/>
    </row>
    <row r="3130" spans="3:7" x14ac:dyDescent="0.2">
      <c r="C3130" s="105"/>
      <c r="D3130" s="4"/>
      <c r="E3130" s="39"/>
      <c r="F3130" s="106"/>
      <c r="G3130" s="7"/>
    </row>
    <row r="3131" spans="3:7" x14ac:dyDescent="0.2">
      <c r="C3131" s="105"/>
      <c r="D3131" s="4"/>
      <c r="E3131" s="39"/>
      <c r="F3131" s="106"/>
      <c r="G3131" s="7"/>
    </row>
    <row r="3132" spans="3:7" x14ac:dyDescent="0.2">
      <c r="C3132" s="105"/>
      <c r="D3132" s="4"/>
      <c r="E3132" s="39"/>
      <c r="F3132" s="106"/>
      <c r="G3132" s="7"/>
    </row>
    <row r="3133" spans="3:7" x14ac:dyDescent="0.2">
      <c r="C3133" s="105"/>
      <c r="D3133" s="4"/>
      <c r="E3133" s="39"/>
      <c r="F3133" s="106"/>
      <c r="G3133" s="7"/>
    </row>
    <row r="3134" spans="3:7" x14ac:dyDescent="0.2">
      <c r="C3134" s="105"/>
      <c r="D3134" s="4"/>
      <c r="E3134" s="39"/>
      <c r="F3134" s="106"/>
      <c r="G3134" s="7"/>
    </row>
    <row r="3135" spans="3:7" x14ac:dyDescent="0.2">
      <c r="C3135" s="105"/>
      <c r="D3135" s="4"/>
      <c r="E3135" s="39"/>
      <c r="F3135" s="106"/>
      <c r="G3135" s="7"/>
    </row>
    <row r="3136" spans="3:7" x14ac:dyDescent="0.2">
      <c r="C3136" s="105"/>
      <c r="D3136" s="4"/>
      <c r="E3136" s="39"/>
      <c r="F3136" s="106"/>
      <c r="G3136" s="7"/>
    </row>
    <row r="3137" spans="3:7" x14ac:dyDescent="0.2">
      <c r="C3137" s="105"/>
      <c r="D3137" s="4"/>
      <c r="E3137" s="39"/>
      <c r="F3137" s="106"/>
      <c r="G3137" s="7"/>
    </row>
    <row r="3138" spans="3:7" x14ac:dyDescent="0.2">
      <c r="C3138" s="105"/>
      <c r="D3138" s="4"/>
      <c r="E3138" s="39"/>
      <c r="F3138" s="106"/>
      <c r="G3138" s="7"/>
    </row>
    <row r="3139" spans="3:7" x14ac:dyDescent="0.2">
      <c r="C3139" s="105"/>
      <c r="D3139" s="4"/>
      <c r="E3139" s="39"/>
      <c r="F3139" s="106"/>
      <c r="G3139" s="7"/>
    </row>
    <row r="3140" spans="3:7" x14ac:dyDescent="0.2">
      <c r="C3140" s="105"/>
      <c r="D3140" s="4"/>
      <c r="E3140" s="39"/>
      <c r="F3140" s="106"/>
      <c r="G3140" s="7"/>
    </row>
    <row r="3141" spans="3:7" x14ac:dyDescent="0.2">
      <c r="C3141" s="105"/>
      <c r="D3141" s="4"/>
      <c r="E3141" s="39"/>
      <c r="F3141" s="106"/>
      <c r="G3141" s="7"/>
    </row>
    <row r="3142" spans="3:7" x14ac:dyDescent="0.2">
      <c r="C3142" s="105"/>
      <c r="D3142" s="4"/>
      <c r="E3142" s="39"/>
      <c r="F3142" s="106"/>
      <c r="G3142" s="7"/>
    </row>
    <row r="3143" spans="3:7" x14ac:dyDescent="0.2">
      <c r="C3143" s="105"/>
      <c r="D3143" s="4"/>
      <c r="E3143" s="39"/>
      <c r="F3143" s="106"/>
      <c r="G3143" s="7"/>
    </row>
    <row r="3144" spans="3:7" x14ac:dyDescent="0.2">
      <c r="C3144" s="105"/>
      <c r="D3144" s="4"/>
      <c r="E3144" s="39"/>
      <c r="F3144" s="106"/>
      <c r="G3144" s="7"/>
    </row>
    <row r="3145" spans="3:7" x14ac:dyDescent="0.2">
      <c r="C3145" s="105"/>
      <c r="D3145" s="4"/>
      <c r="E3145" s="39"/>
      <c r="F3145" s="106"/>
      <c r="G3145" s="7"/>
    </row>
    <row r="3146" spans="3:7" x14ac:dyDescent="0.2">
      <c r="C3146" s="105"/>
      <c r="D3146" s="4"/>
      <c r="E3146" s="39"/>
      <c r="F3146" s="106"/>
      <c r="G3146" s="7"/>
    </row>
    <row r="3147" spans="3:7" x14ac:dyDescent="0.2">
      <c r="C3147" s="105"/>
      <c r="D3147" s="4"/>
      <c r="E3147" s="39"/>
      <c r="F3147" s="106"/>
      <c r="G3147" s="7"/>
    </row>
    <row r="3148" spans="3:7" x14ac:dyDescent="0.2">
      <c r="C3148" s="105"/>
      <c r="D3148" s="4"/>
      <c r="E3148" s="39"/>
      <c r="F3148" s="106"/>
      <c r="G3148" s="7"/>
    </row>
    <row r="3149" spans="3:7" x14ac:dyDescent="0.2">
      <c r="C3149" s="105"/>
      <c r="D3149" s="4"/>
      <c r="E3149" s="39"/>
      <c r="F3149" s="106"/>
      <c r="G3149" s="7"/>
    </row>
    <row r="3150" spans="3:7" x14ac:dyDescent="0.2">
      <c r="C3150" s="105"/>
      <c r="D3150" s="4"/>
      <c r="E3150" s="39"/>
      <c r="F3150" s="106"/>
      <c r="G3150" s="7"/>
    </row>
    <row r="3151" spans="3:7" x14ac:dyDescent="0.2">
      <c r="C3151" s="105"/>
      <c r="D3151" s="4"/>
      <c r="E3151" s="39"/>
      <c r="F3151" s="106"/>
      <c r="G3151" s="7"/>
    </row>
    <row r="3152" spans="3:7" x14ac:dyDescent="0.2">
      <c r="C3152" s="105"/>
      <c r="D3152" s="4"/>
      <c r="E3152" s="39"/>
      <c r="F3152" s="106"/>
      <c r="G3152" s="7"/>
    </row>
    <row r="3153" spans="3:7" x14ac:dyDescent="0.2">
      <c r="C3153" s="105"/>
      <c r="D3153" s="4"/>
      <c r="E3153" s="39"/>
      <c r="F3153" s="106"/>
      <c r="G3153" s="7"/>
    </row>
    <row r="3154" spans="3:7" x14ac:dyDescent="0.2">
      <c r="C3154" s="105"/>
      <c r="D3154" s="4"/>
      <c r="E3154" s="39"/>
      <c r="F3154" s="106"/>
      <c r="G3154" s="7"/>
    </row>
    <row r="3155" spans="3:7" x14ac:dyDescent="0.2">
      <c r="C3155" s="105"/>
      <c r="D3155" s="4"/>
      <c r="E3155" s="39"/>
      <c r="F3155" s="106"/>
      <c r="G3155" s="7"/>
    </row>
    <row r="3156" spans="3:7" x14ac:dyDescent="0.2">
      <c r="C3156" s="105"/>
      <c r="D3156" s="4"/>
      <c r="E3156" s="39"/>
      <c r="F3156" s="106"/>
      <c r="G3156" s="7"/>
    </row>
    <row r="3157" spans="3:7" x14ac:dyDescent="0.2">
      <c r="C3157" s="105"/>
      <c r="D3157" s="4"/>
      <c r="E3157" s="39"/>
      <c r="F3157" s="106"/>
      <c r="G3157" s="7"/>
    </row>
    <row r="3158" spans="3:7" x14ac:dyDescent="0.2">
      <c r="C3158" s="105"/>
      <c r="D3158" s="4"/>
      <c r="E3158" s="39"/>
      <c r="F3158" s="106"/>
      <c r="G3158" s="7"/>
    </row>
    <row r="3159" spans="3:7" x14ac:dyDescent="0.2">
      <c r="C3159" s="105"/>
      <c r="D3159" s="4"/>
      <c r="E3159" s="39"/>
      <c r="F3159" s="106"/>
      <c r="G3159" s="7"/>
    </row>
    <row r="3160" spans="3:7" x14ac:dyDescent="0.2">
      <c r="C3160" s="105"/>
      <c r="D3160" s="4"/>
      <c r="E3160" s="39"/>
      <c r="F3160" s="106"/>
      <c r="G3160" s="7"/>
    </row>
    <row r="3161" spans="3:7" x14ac:dyDescent="0.2">
      <c r="C3161" s="105"/>
      <c r="D3161" s="4"/>
      <c r="E3161" s="39"/>
      <c r="F3161" s="106"/>
      <c r="G3161" s="7"/>
    </row>
    <row r="3162" spans="3:7" x14ac:dyDescent="0.2">
      <c r="C3162" s="105"/>
      <c r="D3162" s="4"/>
      <c r="E3162" s="39"/>
      <c r="F3162" s="106"/>
      <c r="G3162" s="7"/>
    </row>
    <row r="3163" spans="3:7" x14ac:dyDescent="0.2">
      <c r="C3163" s="105"/>
      <c r="D3163" s="4"/>
      <c r="E3163" s="39"/>
      <c r="F3163" s="106"/>
      <c r="G3163" s="7"/>
    </row>
    <row r="3164" spans="3:7" x14ac:dyDescent="0.2">
      <c r="C3164" s="105"/>
      <c r="D3164" s="4"/>
      <c r="E3164" s="39"/>
      <c r="F3164" s="106"/>
      <c r="G3164" s="7"/>
    </row>
    <row r="3165" spans="3:7" x14ac:dyDescent="0.2">
      <c r="C3165" s="105"/>
      <c r="D3165" s="4"/>
      <c r="E3165" s="39"/>
      <c r="F3165" s="106"/>
      <c r="G3165" s="7"/>
    </row>
    <row r="3166" spans="3:7" x14ac:dyDescent="0.2">
      <c r="C3166" s="105"/>
      <c r="D3166" s="4"/>
      <c r="E3166" s="39"/>
      <c r="F3166" s="106"/>
      <c r="G3166" s="7"/>
    </row>
    <row r="3167" spans="3:7" x14ac:dyDescent="0.2">
      <c r="C3167" s="105"/>
      <c r="D3167" s="4"/>
      <c r="E3167" s="39"/>
      <c r="F3167" s="106"/>
      <c r="G3167" s="7"/>
    </row>
    <row r="3168" spans="3:7" x14ac:dyDescent="0.2">
      <c r="C3168" s="105"/>
      <c r="D3168" s="4"/>
      <c r="E3168" s="39"/>
      <c r="F3168" s="106"/>
      <c r="G3168" s="7"/>
    </row>
    <row r="3169" spans="3:7" x14ac:dyDescent="0.2">
      <c r="C3169" s="105"/>
      <c r="D3169" s="4"/>
      <c r="E3169" s="39"/>
      <c r="F3169" s="106"/>
      <c r="G3169" s="7"/>
    </row>
    <row r="3170" spans="3:7" x14ac:dyDescent="0.2">
      <c r="C3170" s="105"/>
      <c r="D3170" s="4"/>
      <c r="E3170" s="39"/>
      <c r="F3170" s="106"/>
      <c r="G3170" s="7"/>
    </row>
    <row r="3171" spans="3:7" x14ac:dyDescent="0.2">
      <c r="C3171" s="105"/>
      <c r="D3171" s="4"/>
      <c r="E3171" s="39"/>
      <c r="F3171" s="106"/>
      <c r="G3171" s="7"/>
    </row>
    <row r="3172" spans="3:7" x14ac:dyDescent="0.2">
      <c r="C3172" s="105"/>
      <c r="D3172" s="4"/>
      <c r="E3172" s="39"/>
      <c r="F3172" s="106"/>
      <c r="G3172" s="7"/>
    </row>
    <row r="3173" spans="3:7" x14ac:dyDescent="0.2">
      <c r="C3173" s="105"/>
      <c r="D3173" s="4"/>
      <c r="E3173" s="39"/>
      <c r="F3173" s="106"/>
      <c r="G3173" s="7"/>
    </row>
    <row r="3174" spans="3:7" x14ac:dyDescent="0.2">
      <c r="C3174" s="105"/>
      <c r="D3174" s="4"/>
      <c r="E3174" s="39"/>
      <c r="F3174" s="106"/>
      <c r="G3174" s="7"/>
    </row>
    <row r="3175" spans="3:7" x14ac:dyDescent="0.2">
      <c r="C3175" s="105"/>
      <c r="D3175" s="4"/>
      <c r="E3175" s="39"/>
      <c r="F3175" s="106"/>
      <c r="G3175" s="7"/>
    </row>
    <row r="3176" spans="3:7" x14ac:dyDescent="0.2">
      <c r="C3176" s="105"/>
      <c r="D3176" s="4"/>
      <c r="E3176" s="39"/>
      <c r="F3176" s="106"/>
      <c r="G3176" s="7"/>
    </row>
    <row r="3177" spans="3:7" x14ac:dyDescent="0.2">
      <c r="C3177" s="105"/>
      <c r="D3177" s="4"/>
      <c r="E3177" s="39"/>
      <c r="F3177" s="106"/>
      <c r="G3177" s="7"/>
    </row>
    <row r="3178" spans="3:7" x14ac:dyDescent="0.2">
      <c r="C3178" s="105"/>
      <c r="D3178" s="4"/>
      <c r="E3178" s="39"/>
      <c r="F3178" s="106"/>
      <c r="G3178" s="7"/>
    </row>
    <row r="3179" spans="3:7" x14ac:dyDescent="0.2">
      <c r="C3179" s="105"/>
      <c r="D3179" s="4"/>
      <c r="E3179" s="39"/>
      <c r="F3179" s="106"/>
      <c r="G3179" s="7"/>
    </row>
    <row r="3180" spans="3:7" x14ac:dyDescent="0.2">
      <c r="C3180" s="105"/>
      <c r="D3180" s="4"/>
      <c r="E3180" s="39"/>
      <c r="F3180" s="106"/>
      <c r="G3180" s="7"/>
    </row>
    <row r="3181" spans="3:7" x14ac:dyDescent="0.2">
      <c r="C3181" s="105"/>
      <c r="D3181" s="4"/>
      <c r="E3181" s="39"/>
      <c r="F3181" s="106"/>
      <c r="G3181" s="7"/>
    </row>
    <row r="3182" spans="3:7" x14ac:dyDescent="0.2">
      <c r="C3182" s="105"/>
      <c r="D3182" s="4"/>
      <c r="E3182" s="39"/>
      <c r="F3182" s="106"/>
      <c r="G3182" s="7"/>
    </row>
    <row r="3183" spans="3:7" x14ac:dyDescent="0.2">
      <c r="C3183" s="105"/>
      <c r="D3183" s="4"/>
      <c r="E3183" s="39"/>
      <c r="F3183" s="106"/>
      <c r="G3183" s="7"/>
    </row>
    <row r="3184" spans="3:7" x14ac:dyDescent="0.2">
      <c r="C3184" s="105"/>
      <c r="D3184" s="4"/>
      <c r="E3184" s="39"/>
      <c r="F3184" s="106"/>
      <c r="G3184" s="7"/>
    </row>
    <row r="3185" spans="3:7" x14ac:dyDescent="0.2">
      <c r="C3185" s="105"/>
      <c r="D3185" s="4"/>
      <c r="E3185" s="39"/>
      <c r="F3185" s="106"/>
      <c r="G3185" s="7"/>
    </row>
    <row r="3186" spans="3:7" x14ac:dyDescent="0.2">
      <c r="C3186" s="105"/>
      <c r="D3186" s="4"/>
      <c r="E3186" s="39"/>
      <c r="F3186" s="106"/>
      <c r="G3186" s="7"/>
    </row>
    <row r="3187" spans="3:7" x14ac:dyDescent="0.2">
      <c r="C3187" s="105"/>
      <c r="D3187" s="4"/>
      <c r="E3187" s="39"/>
      <c r="F3187" s="106"/>
      <c r="G3187" s="7"/>
    </row>
    <row r="3188" spans="3:7" x14ac:dyDescent="0.2">
      <c r="C3188" s="105"/>
      <c r="D3188" s="4"/>
      <c r="E3188" s="39"/>
      <c r="F3188" s="106"/>
      <c r="G3188" s="7"/>
    </row>
    <row r="3189" spans="3:7" x14ac:dyDescent="0.2">
      <c r="C3189" s="105"/>
      <c r="D3189" s="4"/>
      <c r="E3189" s="39"/>
      <c r="F3189" s="106"/>
      <c r="G3189" s="7"/>
    </row>
    <row r="3190" spans="3:7" x14ac:dyDescent="0.2">
      <c r="C3190" s="105"/>
      <c r="D3190" s="4"/>
      <c r="E3190" s="39"/>
      <c r="F3190" s="106"/>
      <c r="G3190" s="7"/>
    </row>
    <row r="3191" spans="3:7" x14ac:dyDescent="0.2">
      <c r="C3191" s="105"/>
      <c r="D3191" s="4"/>
      <c r="E3191" s="39"/>
      <c r="F3191" s="106"/>
      <c r="G3191" s="7"/>
    </row>
    <row r="3192" spans="3:7" x14ac:dyDescent="0.2">
      <c r="C3192" s="105"/>
      <c r="D3192" s="4"/>
      <c r="E3192" s="39"/>
      <c r="F3192" s="106"/>
      <c r="G3192" s="7"/>
    </row>
    <row r="3193" spans="3:7" x14ac:dyDescent="0.2">
      <c r="C3193" s="105"/>
      <c r="D3193" s="4"/>
      <c r="E3193" s="39"/>
      <c r="F3193" s="106"/>
      <c r="G3193" s="7"/>
    </row>
    <row r="3194" spans="3:7" x14ac:dyDescent="0.2">
      <c r="C3194" s="105"/>
      <c r="D3194" s="4"/>
      <c r="E3194" s="39"/>
      <c r="F3194" s="106"/>
      <c r="G3194" s="7"/>
    </row>
    <row r="3195" spans="3:7" x14ac:dyDescent="0.2">
      <c r="C3195" s="105"/>
      <c r="D3195" s="4"/>
      <c r="E3195" s="39"/>
      <c r="F3195" s="106"/>
      <c r="G3195" s="7"/>
    </row>
    <row r="3196" spans="3:7" x14ac:dyDescent="0.2">
      <c r="C3196" s="105"/>
      <c r="D3196" s="4"/>
      <c r="E3196" s="39"/>
      <c r="F3196" s="106"/>
      <c r="G3196" s="7"/>
    </row>
    <row r="3197" spans="3:7" x14ac:dyDescent="0.2">
      <c r="C3197" s="105"/>
      <c r="D3197" s="4"/>
      <c r="E3197" s="39"/>
      <c r="F3197" s="106"/>
      <c r="G3197" s="7"/>
    </row>
    <row r="3198" spans="3:7" x14ac:dyDescent="0.2">
      <c r="C3198" s="105"/>
      <c r="D3198" s="4"/>
      <c r="E3198" s="39"/>
      <c r="F3198" s="106"/>
      <c r="G3198" s="7"/>
    </row>
    <row r="3199" spans="3:7" x14ac:dyDescent="0.2">
      <c r="C3199" s="105"/>
      <c r="D3199" s="4"/>
      <c r="E3199" s="39"/>
      <c r="F3199" s="106"/>
      <c r="G3199" s="7"/>
    </row>
    <row r="3200" spans="3:7" x14ac:dyDescent="0.2">
      <c r="C3200" s="105"/>
      <c r="D3200" s="4"/>
      <c r="E3200" s="39"/>
      <c r="F3200" s="106"/>
      <c r="G3200" s="7"/>
    </row>
    <row r="3201" spans="3:7" x14ac:dyDescent="0.2">
      <c r="C3201" s="105"/>
      <c r="D3201" s="4"/>
      <c r="E3201" s="39"/>
      <c r="F3201" s="106"/>
      <c r="G3201" s="7"/>
    </row>
    <row r="3202" spans="3:7" x14ac:dyDescent="0.2">
      <c r="C3202" s="105"/>
      <c r="D3202" s="4"/>
      <c r="E3202" s="39"/>
      <c r="F3202" s="106"/>
      <c r="G3202" s="7"/>
    </row>
    <row r="3203" spans="3:7" x14ac:dyDescent="0.2">
      <c r="C3203" s="105"/>
      <c r="D3203" s="4"/>
      <c r="E3203" s="39"/>
      <c r="F3203" s="106"/>
      <c r="G3203" s="7"/>
    </row>
    <row r="3204" spans="3:7" x14ac:dyDescent="0.2">
      <c r="C3204" s="105"/>
      <c r="D3204" s="4"/>
      <c r="E3204" s="39"/>
      <c r="F3204" s="106"/>
      <c r="G3204" s="7"/>
    </row>
    <row r="3205" spans="3:7" x14ac:dyDescent="0.2">
      <c r="C3205" s="105"/>
      <c r="D3205" s="4"/>
      <c r="E3205" s="39"/>
      <c r="F3205" s="106"/>
      <c r="G3205" s="7"/>
    </row>
    <row r="3206" spans="3:7" x14ac:dyDescent="0.2">
      <c r="C3206" s="105"/>
      <c r="D3206" s="4"/>
      <c r="E3206" s="39"/>
      <c r="F3206" s="106"/>
      <c r="G3206" s="7"/>
    </row>
    <row r="3207" spans="3:7" x14ac:dyDescent="0.2">
      <c r="C3207" s="105"/>
      <c r="D3207" s="4"/>
      <c r="E3207" s="39"/>
      <c r="F3207" s="106"/>
      <c r="G3207" s="7"/>
    </row>
    <row r="3208" spans="3:7" x14ac:dyDescent="0.2">
      <c r="C3208" s="105"/>
      <c r="D3208" s="4"/>
      <c r="E3208" s="39"/>
      <c r="F3208" s="106"/>
      <c r="G3208" s="7"/>
    </row>
    <row r="3209" spans="3:7" x14ac:dyDescent="0.2">
      <c r="C3209" s="105"/>
      <c r="D3209" s="4"/>
      <c r="E3209" s="39"/>
      <c r="F3209" s="106"/>
      <c r="G3209" s="7"/>
    </row>
    <row r="3210" spans="3:7" x14ac:dyDescent="0.2">
      <c r="C3210" s="105"/>
      <c r="D3210" s="4"/>
      <c r="E3210" s="39"/>
      <c r="F3210" s="106"/>
      <c r="G3210" s="7"/>
    </row>
    <row r="3211" spans="3:7" x14ac:dyDescent="0.2">
      <c r="C3211" s="105"/>
      <c r="D3211" s="4"/>
      <c r="E3211" s="39"/>
      <c r="F3211" s="106"/>
      <c r="G3211" s="7"/>
    </row>
    <row r="3212" spans="3:7" x14ac:dyDescent="0.2">
      <c r="C3212" s="105"/>
      <c r="D3212" s="4"/>
      <c r="E3212" s="39"/>
      <c r="F3212" s="106"/>
      <c r="G3212" s="7"/>
    </row>
    <row r="3213" spans="3:7" x14ac:dyDescent="0.2">
      <c r="C3213" s="105"/>
      <c r="D3213" s="4"/>
      <c r="E3213" s="39"/>
      <c r="F3213" s="106"/>
      <c r="G3213" s="7"/>
    </row>
    <row r="3214" spans="3:7" x14ac:dyDescent="0.2">
      <c r="C3214" s="105"/>
      <c r="D3214" s="4"/>
      <c r="E3214" s="39"/>
      <c r="F3214" s="106"/>
      <c r="G3214" s="7"/>
    </row>
    <row r="3215" spans="3:7" x14ac:dyDescent="0.2">
      <c r="C3215" s="105"/>
      <c r="D3215" s="4"/>
      <c r="E3215" s="39"/>
      <c r="F3215" s="106"/>
      <c r="G3215" s="7"/>
    </row>
    <row r="3216" spans="3:7" x14ac:dyDescent="0.2">
      <c r="C3216" s="105"/>
      <c r="D3216" s="4"/>
      <c r="E3216" s="39"/>
      <c r="F3216" s="106"/>
      <c r="G3216" s="7"/>
    </row>
    <row r="3217" spans="3:7" x14ac:dyDescent="0.2">
      <c r="C3217" s="105"/>
      <c r="D3217" s="4"/>
      <c r="E3217" s="39"/>
      <c r="F3217" s="106"/>
      <c r="G3217" s="7"/>
    </row>
    <row r="3218" spans="3:7" x14ac:dyDescent="0.2">
      <c r="C3218" s="105"/>
      <c r="D3218" s="4"/>
      <c r="E3218" s="39"/>
      <c r="F3218" s="106"/>
      <c r="G3218" s="7"/>
    </row>
    <row r="3219" spans="3:7" x14ac:dyDescent="0.2">
      <c r="C3219" s="105"/>
      <c r="D3219" s="4"/>
      <c r="E3219" s="39"/>
      <c r="F3219" s="106"/>
      <c r="G3219" s="7"/>
    </row>
    <row r="3220" spans="3:7" x14ac:dyDescent="0.2">
      <c r="C3220" s="105"/>
      <c r="D3220" s="4"/>
      <c r="E3220" s="39"/>
      <c r="F3220" s="106"/>
      <c r="G3220" s="7"/>
    </row>
    <row r="3221" spans="3:7" x14ac:dyDescent="0.2">
      <c r="C3221" s="105"/>
      <c r="D3221" s="4"/>
      <c r="E3221" s="39"/>
      <c r="F3221" s="106"/>
      <c r="G3221" s="7"/>
    </row>
    <row r="3222" spans="3:7" x14ac:dyDescent="0.2">
      <c r="C3222" s="105"/>
      <c r="D3222" s="4"/>
      <c r="E3222" s="39"/>
      <c r="F3222" s="106"/>
      <c r="G3222" s="7"/>
    </row>
    <row r="3223" spans="3:7" x14ac:dyDescent="0.2">
      <c r="C3223" s="105"/>
      <c r="D3223" s="4"/>
      <c r="E3223" s="39"/>
      <c r="F3223" s="106"/>
      <c r="G3223" s="7"/>
    </row>
    <row r="3224" spans="3:7" x14ac:dyDescent="0.2">
      <c r="C3224" s="105"/>
      <c r="D3224" s="4"/>
      <c r="E3224" s="39"/>
      <c r="F3224" s="106"/>
      <c r="G3224" s="7"/>
    </row>
    <row r="3225" spans="3:7" x14ac:dyDescent="0.2">
      <c r="C3225" s="105"/>
      <c r="D3225" s="4"/>
      <c r="E3225" s="39"/>
      <c r="F3225" s="106"/>
      <c r="G3225" s="7"/>
    </row>
    <row r="3226" spans="3:7" x14ac:dyDescent="0.2">
      <c r="C3226" s="105"/>
      <c r="D3226" s="4"/>
      <c r="E3226" s="39"/>
      <c r="F3226" s="106"/>
      <c r="G3226" s="7"/>
    </row>
    <row r="3227" spans="3:7" x14ac:dyDescent="0.2">
      <c r="C3227" s="105"/>
      <c r="D3227" s="4"/>
      <c r="E3227" s="39"/>
      <c r="F3227" s="106"/>
      <c r="G3227" s="7"/>
    </row>
    <row r="3228" spans="3:7" x14ac:dyDescent="0.2">
      <c r="C3228" s="105"/>
      <c r="D3228" s="4"/>
      <c r="E3228" s="39"/>
      <c r="F3228" s="106"/>
      <c r="G3228" s="7"/>
    </row>
    <row r="3229" spans="3:7" x14ac:dyDescent="0.2">
      <c r="C3229" s="105"/>
      <c r="D3229" s="4"/>
      <c r="E3229" s="39"/>
      <c r="F3229" s="106"/>
      <c r="G3229" s="7"/>
    </row>
    <row r="3230" spans="3:7" x14ac:dyDescent="0.2">
      <c r="C3230" s="105"/>
      <c r="D3230" s="4"/>
      <c r="E3230" s="39"/>
      <c r="F3230" s="106"/>
      <c r="G3230" s="7"/>
    </row>
    <row r="3231" spans="3:7" x14ac:dyDescent="0.2">
      <c r="C3231" s="105"/>
      <c r="D3231" s="4"/>
      <c r="E3231" s="39"/>
      <c r="F3231" s="106"/>
      <c r="G3231" s="7"/>
    </row>
    <row r="3232" spans="3:7" x14ac:dyDescent="0.2">
      <c r="C3232" s="105"/>
      <c r="D3232" s="4"/>
      <c r="E3232" s="39"/>
      <c r="F3232" s="106"/>
      <c r="G3232" s="7"/>
    </row>
    <row r="3233" spans="3:7" x14ac:dyDescent="0.2">
      <c r="C3233" s="105"/>
      <c r="D3233" s="4"/>
      <c r="E3233" s="39"/>
      <c r="F3233" s="106"/>
      <c r="G3233" s="7"/>
    </row>
    <row r="3234" spans="3:7" x14ac:dyDescent="0.2">
      <c r="C3234" s="105"/>
      <c r="D3234" s="4"/>
      <c r="E3234" s="39"/>
      <c r="F3234" s="106"/>
      <c r="G3234" s="7"/>
    </row>
    <row r="3235" spans="3:7" x14ac:dyDescent="0.2">
      <c r="C3235" s="105"/>
      <c r="D3235" s="4"/>
      <c r="E3235" s="39"/>
      <c r="F3235" s="106"/>
      <c r="G3235" s="7"/>
    </row>
    <row r="3236" spans="3:7" x14ac:dyDescent="0.2">
      <c r="C3236" s="105"/>
      <c r="D3236" s="4"/>
      <c r="E3236" s="39"/>
      <c r="F3236" s="106"/>
      <c r="G3236" s="7"/>
    </row>
    <row r="3237" spans="3:7" x14ac:dyDescent="0.2">
      <c r="C3237" s="105"/>
      <c r="D3237" s="4"/>
      <c r="E3237" s="39"/>
      <c r="F3237" s="106"/>
      <c r="G3237" s="7"/>
    </row>
    <row r="3238" spans="3:7" x14ac:dyDescent="0.2">
      <c r="C3238" s="105"/>
      <c r="D3238" s="4"/>
      <c r="E3238" s="39"/>
      <c r="F3238" s="106"/>
      <c r="G3238" s="7"/>
    </row>
    <row r="3239" spans="3:7" x14ac:dyDescent="0.2">
      <c r="C3239" s="105"/>
      <c r="D3239" s="4"/>
      <c r="E3239" s="39"/>
      <c r="F3239" s="106"/>
      <c r="G3239" s="7"/>
    </row>
    <row r="3240" spans="3:7" x14ac:dyDescent="0.2">
      <c r="C3240" s="105"/>
      <c r="D3240" s="4"/>
      <c r="E3240" s="39"/>
      <c r="F3240" s="106"/>
      <c r="G3240" s="7"/>
    </row>
    <row r="3241" spans="3:7" x14ac:dyDescent="0.2">
      <c r="C3241" s="105"/>
      <c r="D3241" s="4"/>
      <c r="E3241" s="39"/>
      <c r="F3241" s="106"/>
      <c r="G3241" s="7"/>
    </row>
    <row r="3242" spans="3:7" x14ac:dyDescent="0.2">
      <c r="C3242" s="105"/>
      <c r="D3242" s="4"/>
      <c r="E3242" s="39"/>
      <c r="F3242" s="106"/>
      <c r="G3242" s="7"/>
    </row>
    <row r="3243" spans="3:7" x14ac:dyDescent="0.2">
      <c r="C3243" s="105"/>
      <c r="D3243" s="4"/>
      <c r="E3243" s="39"/>
      <c r="F3243" s="106"/>
      <c r="G3243" s="7"/>
    </row>
    <row r="3244" spans="3:7" x14ac:dyDescent="0.2">
      <c r="C3244" s="105"/>
      <c r="D3244" s="4"/>
      <c r="E3244" s="39"/>
      <c r="F3244" s="106"/>
      <c r="G3244" s="7"/>
    </row>
    <row r="3245" spans="3:7" x14ac:dyDescent="0.2">
      <c r="C3245" s="105"/>
      <c r="D3245" s="4"/>
      <c r="E3245" s="39"/>
      <c r="F3245" s="106"/>
      <c r="G3245" s="7"/>
    </row>
    <row r="3246" spans="3:7" x14ac:dyDescent="0.2">
      <c r="C3246" s="105"/>
      <c r="D3246" s="4"/>
      <c r="E3246" s="39"/>
      <c r="F3246" s="106"/>
      <c r="G3246" s="7"/>
    </row>
    <row r="3247" spans="3:7" x14ac:dyDescent="0.2">
      <c r="C3247" s="105"/>
      <c r="D3247" s="4"/>
      <c r="E3247" s="39"/>
      <c r="F3247" s="106"/>
      <c r="G3247" s="7"/>
    </row>
    <row r="3248" spans="3:7" x14ac:dyDescent="0.2">
      <c r="C3248" s="105"/>
      <c r="D3248" s="4"/>
      <c r="E3248" s="39"/>
      <c r="F3248" s="106"/>
      <c r="G3248" s="7"/>
    </row>
    <row r="3249" spans="3:7" x14ac:dyDescent="0.2">
      <c r="C3249" s="105"/>
      <c r="D3249" s="4"/>
      <c r="E3249" s="39"/>
      <c r="F3249" s="106"/>
      <c r="G3249" s="7"/>
    </row>
    <row r="3250" spans="3:7" x14ac:dyDescent="0.2">
      <c r="C3250" s="105"/>
      <c r="D3250" s="4"/>
      <c r="E3250" s="39"/>
      <c r="F3250" s="106"/>
      <c r="G3250" s="7"/>
    </row>
    <row r="3251" spans="3:7" x14ac:dyDescent="0.2">
      <c r="C3251" s="105"/>
      <c r="D3251" s="4"/>
      <c r="E3251" s="39"/>
      <c r="F3251" s="106"/>
      <c r="G3251" s="7"/>
    </row>
    <row r="3252" spans="3:7" x14ac:dyDescent="0.2">
      <c r="C3252" s="105"/>
      <c r="D3252" s="4"/>
      <c r="E3252" s="39"/>
      <c r="F3252" s="106"/>
      <c r="G3252" s="7"/>
    </row>
    <row r="3253" spans="3:7" x14ac:dyDescent="0.2">
      <c r="C3253" s="105"/>
      <c r="D3253" s="4"/>
      <c r="E3253" s="39"/>
      <c r="F3253" s="106"/>
      <c r="G3253" s="7"/>
    </row>
    <row r="3254" spans="3:7" x14ac:dyDescent="0.2">
      <c r="C3254" s="105"/>
      <c r="D3254" s="4"/>
      <c r="E3254" s="39"/>
      <c r="F3254" s="106"/>
      <c r="G3254" s="7"/>
    </row>
    <row r="3255" spans="3:7" x14ac:dyDescent="0.2">
      <c r="C3255" s="105"/>
      <c r="D3255" s="4"/>
      <c r="E3255" s="39"/>
      <c r="F3255" s="106"/>
      <c r="G3255" s="7"/>
    </row>
    <row r="3256" spans="3:7" x14ac:dyDescent="0.2">
      <c r="C3256" s="105"/>
      <c r="D3256" s="4"/>
      <c r="E3256" s="39"/>
      <c r="F3256" s="106"/>
      <c r="G3256" s="7"/>
    </row>
    <row r="3257" spans="3:7" x14ac:dyDescent="0.2">
      <c r="C3257" s="105"/>
      <c r="D3257" s="4"/>
      <c r="E3257" s="39"/>
      <c r="F3257" s="106"/>
      <c r="G3257" s="7"/>
    </row>
    <row r="3258" spans="3:7" x14ac:dyDescent="0.2">
      <c r="C3258" s="105"/>
      <c r="D3258" s="4"/>
      <c r="E3258" s="39"/>
      <c r="F3258" s="106"/>
      <c r="G3258" s="7"/>
    </row>
    <row r="3259" spans="3:7" x14ac:dyDescent="0.2">
      <c r="C3259" s="105"/>
      <c r="D3259" s="4"/>
      <c r="E3259" s="39"/>
      <c r="F3259" s="106"/>
      <c r="G3259" s="7"/>
    </row>
    <row r="3260" spans="3:7" x14ac:dyDescent="0.2">
      <c r="C3260" s="105"/>
      <c r="D3260" s="4"/>
      <c r="E3260" s="39"/>
      <c r="F3260" s="106"/>
      <c r="G3260" s="7"/>
    </row>
    <row r="3261" spans="3:7" x14ac:dyDescent="0.2">
      <c r="C3261" s="105"/>
      <c r="D3261" s="4"/>
      <c r="E3261" s="39"/>
      <c r="F3261" s="106"/>
      <c r="G3261" s="7"/>
    </row>
    <row r="3262" spans="3:7" x14ac:dyDescent="0.2">
      <c r="C3262" s="105"/>
      <c r="D3262" s="4"/>
      <c r="E3262" s="39"/>
      <c r="F3262" s="106"/>
      <c r="G3262" s="7"/>
    </row>
    <row r="3263" spans="3:7" x14ac:dyDescent="0.2">
      <c r="C3263" s="105"/>
      <c r="D3263" s="4"/>
      <c r="E3263" s="39"/>
      <c r="F3263" s="106"/>
      <c r="G3263" s="7"/>
    </row>
    <row r="3264" spans="3:7" x14ac:dyDescent="0.2">
      <c r="C3264" s="105"/>
      <c r="D3264" s="4"/>
      <c r="E3264" s="39"/>
      <c r="F3264" s="106"/>
      <c r="G3264" s="7"/>
    </row>
    <row r="3265" spans="3:7" x14ac:dyDescent="0.2">
      <c r="C3265" s="105"/>
      <c r="D3265" s="4"/>
      <c r="E3265" s="39"/>
      <c r="F3265" s="106"/>
      <c r="G3265" s="7"/>
    </row>
    <row r="3266" spans="3:7" x14ac:dyDescent="0.2">
      <c r="C3266" s="105"/>
      <c r="D3266" s="4"/>
      <c r="E3266" s="39"/>
      <c r="F3266" s="106"/>
      <c r="G3266" s="7"/>
    </row>
    <row r="3267" spans="3:7" x14ac:dyDescent="0.2">
      <c r="C3267" s="105"/>
      <c r="D3267" s="4"/>
      <c r="E3267" s="39"/>
      <c r="F3267" s="106"/>
      <c r="G3267" s="7"/>
    </row>
    <row r="3268" spans="3:7" x14ac:dyDescent="0.2">
      <c r="C3268" s="105"/>
      <c r="D3268" s="4"/>
      <c r="E3268" s="39"/>
      <c r="F3268" s="106"/>
      <c r="G3268" s="7"/>
    </row>
    <row r="3269" spans="3:7" x14ac:dyDescent="0.2">
      <c r="C3269" s="105"/>
      <c r="D3269" s="4"/>
      <c r="E3269" s="39"/>
      <c r="F3269" s="106"/>
      <c r="G3269" s="7"/>
    </row>
    <row r="3270" spans="3:7" x14ac:dyDescent="0.2">
      <c r="C3270" s="105"/>
      <c r="D3270" s="4"/>
      <c r="E3270" s="39"/>
      <c r="F3270" s="106"/>
      <c r="G3270" s="7"/>
    </row>
    <row r="3271" spans="3:7" x14ac:dyDescent="0.2">
      <c r="C3271" s="105"/>
      <c r="D3271" s="4"/>
      <c r="E3271" s="39"/>
      <c r="F3271" s="106"/>
      <c r="G3271" s="7"/>
    </row>
    <row r="3272" spans="3:7" x14ac:dyDescent="0.2">
      <c r="C3272" s="105"/>
      <c r="D3272" s="4"/>
      <c r="E3272" s="39"/>
      <c r="F3272" s="106"/>
      <c r="G3272" s="7"/>
    </row>
    <row r="3273" spans="3:7" x14ac:dyDescent="0.2">
      <c r="C3273" s="105"/>
      <c r="D3273" s="4"/>
      <c r="E3273" s="39"/>
      <c r="F3273" s="106"/>
      <c r="G3273" s="7"/>
    </row>
    <row r="3274" spans="3:7" x14ac:dyDescent="0.2">
      <c r="C3274" s="105"/>
      <c r="D3274" s="4"/>
      <c r="E3274" s="39"/>
      <c r="F3274" s="106"/>
      <c r="G3274" s="7"/>
    </row>
    <row r="3275" spans="3:7" x14ac:dyDescent="0.2">
      <c r="C3275" s="105"/>
      <c r="D3275" s="4"/>
      <c r="E3275" s="39"/>
      <c r="F3275" s="106"/>
      <c r="G3275" s="7"/>
    </row>
    <row r="3276" spans="3:7" x14ac:dyDescent="0.2">
      <c r="C3276" s="105"/>
      <c r="D3276" s="4"/>
      <c r="E3276" s="39"/>
      <c r="F3276" s="106"/>
      <c r="G3276" s="7"/>
    </row>
    <row r="3277" spans="3:7" x14ac:dyDescent="0.2">
      <c r="C3277" s="105"/>
      <c r="D3277" s="4"/>
      <c r="E3277" s="39"/>
      <c r="F3277" s="106"/>
      <c r="G3277" s="7"/>
    </row>
    <row r="3278" spans="3:7" x14ac:dyDescent="0.2">
      <c r="C3278" s="105"/>
      <c r="D3278" s="4"/>
      <c r="E3278" s="39"/>
      <c r="F3278" s="106"/>
      <c r="G3278" s="7"/>
    </row>
    <row r="3279" spans="3:7" x14ac:dyDescent="0.2">
      <c r="C3279" s="105"/>
      <c r="D3279" s="4"/>
      <c r="E3279" s="39"/>
      <c r="F3279" s="106"/>
      <c r="G3279" s="7"/>
    </row>
    <row r="3280" spans="3:7" x14ac:dyDescent="0.2">
      <c r="C3280" s="105"/>
      <c r="D3280" s="4"/>
      <c r="E3280" s="39"/>
      <c r="F3280" s="106"/>
      <c r="G3280" s="7"/>
    </row>
    <row r="3281" spans="3:7" x14ac:dyDescent="0.2">
      <c r="C3281" s="105"/>
      <c r="D3281" s="4"/>
      <c r="E3281" s="39"/>
      <c r="F3281" s="106"/>
      <c r="G3281" s="7"/>
    </row>
    <row r="3282" spans="3:7" x14ac:dyDescent="0.2">
      <c r="C3282" s="105"/>
      <c r="D3282" s="4"/>
      <c r="E3282" s="39"/>
      <c r="F3282" s="106"/>
      <c r="G3282" s="7"/>
    </row>
    <row r="3283" spans="3:7" x14ac:dyDescent="0.2">
      <c r="C3283" s="105"/>
      <c r="D3283" s="4"/>
      <c r="E3283" s="39"/>
      <c r="F3283" s="106"/>
      <c r="G3283" s="7"/>
    </row>
    <row r="3284" spans="3:7" x14ac:dyDescent="0.2">
      <c r="C3284" s="105"/>
      <c r="D3284" s="4"/>
      <c r="E3284" s="39"/>
      <c r="F3284" s="106"/>
      <c r="G3284" s="7"/>
    </row>
    <row r="3285" spans="3:7" x14ac:dyDescent="0.2">
      <c r="C3285" s="105"/>
      <c r="D3285" s="4"/>
      <c r="E3285" s="39"/>
      <c r="F3285" s="106"/>
      <c r="G3285" s="7"/>
    </row>
    <row r="3286" spans="3:7" x14ac:dyDescent="0.2">
      <c r="C3286" s="105"/>
      <c r="D3286" s="4"/>
      <c r="E3286" s="39"/>
      <c r="F3286" s="106"/>
      <c r="G3286" s="7"/>
    </row>
    <row r="3287" spans="3:7" x14ac:dyDescent="0.2">
      <c r="C3287" s="105"/>
      <c r="D3287" s="4"/>
      <c r="E3287" s="39"/>
      <c r="F3287" s="106"/>
      <c r="G3287" s="7"/>
    </row>
    <row r="3288" spans="3:7" x14ac:dyDescent="0.2">
      <c r="C3288" s="105"/>
      <c r="D3288" s="4"/>
      <c r="E3288" s="39"/>
      <c r="F3288" s="106"/>
      <c r="G3288" s="7"/>
    </row>
    <row r="3289" spans="3:7" x14ac:dyDescent="0.2">
      <c r="C3289" s="105"/>
      <c r="D3289" s="4"/>
      <c r="E3289" s="39"/>
      <c r="F3289" s="106"/>
      <c r="G3289" s="7"/>
    </row>
    <row r="3290" spans="3:7" x14ac:dyDescent="0.2">
      <c r="C3290" s="105"/>
      <c r="D3290" s="4"/>
      <c r="E3290" s="39"/>
      <c r="F3290" s="106"/>
      <c r="G3290" s="7"/>
    </row>
    <row r="3291" spans="3:7" x14ac:dyDescent="0.2">
      <c r="C3291" s="105"/>
      <c r="D3291" s="4"/>
      <c r="E3291" s="39"/>
      <c r="F3291" s="106"/>
      <c r="G3291" s="7"/>
    </row>
    <row r="3292" spans="3:7" x14ac:dyDescent="0.2">
      <c r="C3292" s="105"/>
      <c r="D3292" s="4"/>
      <c r="E3292" s="39"/>
      <c r="F3292" s="106"/>
      <c r="G3292" s="7"/>
    </row>
    <row r="3293" spans="3:7" x14ac:dyDescent="0.2">
      <c r="C3293" s="105"/>
      <c r="D3293" s="4"/>
      <c r="E3293" s="39"/>
      <c r="F3293" s="106"/>
      <c r="G3293" s="7"/>
    </row>
    <row r="3294" spans="3:7" x14ac:dyDescent="0.2">
      <c r="C3294" s="105"/>
      <c r="D3294" s="4"/>
      <c r="E3294" s="39"/>
      <c r="F3294" s="106"/>
      <c r="G3294" s="7"/>
    </row>
    <row r="3295" spans="3:7" x14ac:dyDescent="0.2">
      <c r="C3295" s="105"/>
      <c r="D3295" s="4"/>
      <c r="E3295" s="39"/>
      <c r="F3295" s="106"/>
      <c r="G3295" s="7"/>
    </row>
    <row r="3296" spans="3:7" x14ac:dyDescent="0.2">
      <c r="C3296" s="105"/>
      <c r="D3296" s="4"/>
      <c r="E3296" s="39"/>
      <c r="F3296" s="106"/>
      <c r="G3296" s="7"/>
    </row>
    <row r="3297" spans="3:7" x14ac:dyDescent="0.2">
      <c r="C3297" s="105"/>
      <c r="D3297" s="4"/>
      <c r="E3297" s="39"/>
      <c r="F3297" s="106"/>
      <c r="G3297" s="7"/>
    </row>
    <row r="3298" spans="3:7" x14ac:dyDescent="0.2">
      <c r="C3298" s="105"/>
      <c r="D3298" s="4"/>
      <c r="E3298" s="39"/>
      <c r="F3298" s="106"/>
      <c r="G3298" s="7"/>
    </row>
    <row r="3299" spans="3:7" x14ac:dyDescent="0.2">
      <c r="C3299" s="105"/>
      <c r="D3299" s="4"/>
      <c r="E3299" s="39"/>
      <c r="F3299" s="106"/>
      <c r="G3299" s="7"/>
    </row>
    <row r="3300" spans="3:7" x14ac:dyDescent="0.2">
      <c r="C3300" s="105"/>
      <c r="D3300" s="4"/>
      <c r="E3300" s="39"/>
      <c r="F3300" s="106"/>
      <c r="G3300" s="7"/>
    </row>
    <row r="3301" spans="3:7" x14ac:dyDescent="0.2">
      <c r="C3301" s="105"/>
      <c r="D3301" s="4"/>
      <c r="E3301" s="39"/>
      <c r="F3301" s="106"/>
      <c r="G3301" s="7"/>
    </row>
    <row r="3302" spans="3:7" x14ac:dyDescent="0.2">
      <c r="C3302" s="105"/>
      <c r="D3302" s="4"/>
      <c r="E3302" s="39"/>
      <c r="F3302" s="106"/>
      <c r="G3302" s="7"/>
    </row>
    <row r="3303" spans="3:7" x14ac:dyDescent="0.2">
      <c r="C3303" s="105"/>
      <c r="D3303" s="4"/>
      <c r="E3303" s="39"/>
      <c r="F3303" s="106"/>
      <c r="G3303" s="7"/>
    </row>
    <row r="3304" spans="3:7" x14ac:dyDescent="0.2">
      <c r="C3304" s="105"/>
      <c r="D3304" s="4"/>
      <c r="E3304" s="39"/>
      <c r="F3304" s="106"/>
      <c r="G3304" s="7"/>
    </row>
    <row r="3305" spans="3:7" x14ac:dyDescent="0.2">
      <c r="C3305" s="105"/>
      <c r="D3305" s="4"/>
      <c r="E3305" s="39"/>
      <c r="F3305" s="106"/>
      <c r="G3305" s="7"/>
    </row>
    <row r="3306" spans="3:7" x14ac:dyDescent="0.2">
      <c r="C3306" s="105"/>
      <c r="D3306" s="4"/>
      <c r="E3306" s="39"/>
      <c r="F3306" s="106"/>
      <c r="G3306" s="7"/>
    </row>
    <row r="3307" spans="3:7" x14ac:dyDescent="0.2">
      <c r="C3307" s="105"/>
      <c r="D3307" s="4"/>
      <c r="E3307" s="39"/>
      <c r="F3307" s="106"/>
      <c r="G3307" s="7"/>
    </row>
    <row r="3308" spans="3:7" x14ac:dyDescent="0.2">
      <c r="C3308" s="105"/>
      <c r="D3308" s="4"/>
      <c r="E3308" s="39"/>
      <c r="F3308" s="106"/>
      <c r="G3308" s="7"/>
    </row>
    <row r="3309" spans="3:7" x14ac:dyDescent="0.2">
      <c r="C3309" s="105"/>
      <c r="D3309" s="4"/>
      <c r="E3309" s="39"/>
      <c r="F3309" s="106"/>
      <c r="G3309" s="7"/>
    </row>
    <row r="3310" spans="3:7" x14ac:dyDescent="0.2">
      <c r="C3310" s="105"/>
      <c r="D3310" s="4"/>
      <c r="E3310" s="39"/>
      <c r="F3310" s="106"/>
      <c r="G3310" s="7"/>
    </row>
    <row r="3311" spans="3:7" x14ac:dyDescent="0.2">
      <c r="C3311" s="105"/>
      <c r="D3311" s="4"/>
      <c r="E3311" s="39"/>
      <c r="F3311" s="106"/>
      <c r="G3311" s="7"/>
    </row>
    <row r="3312" spans="3:7" x14ac:dyDescent="0.2">
      <c r="C3312" s="105"/>
      <c r="D3312" s="4"/>
      <c r="E3312" s="39"/>
      <c r="F3312" s="106"/>
      <c r="G3312" s="7"/>
    </row>
    <row r="3313" spans="3:7" x14ac:dyDescent="0.2">
      <c r="C3313" s="105"/>
      <c r="D3313" s="4"/>
      <c r="E3313" s="39"/>
      <c r="F3313" s="106"/>
      <c r="G3313" s="7"/>
    </row>
    <row r="3314" spans="3:7" x14ac:dyDescent="0.2">
      <c r="C3314" s="105"/>
      <c r="D3314" s="4"/>
      <c r="E3314" s="39"/>
      <c r="F3314" s="106"/>
      <c r="G3314" s="7"/>
    </row>
    <row r="3315" spans="3:7" x14ac:dyDescent="0.2">
      <c r="C3315" s="105"/>
      <c r="D3315" s="4"/>
      <c r="E3315" s="39"/>
      <c r="F3315" s="106"/>
      <c r="G3315" s="7"/>
    </row>
    <row r="3316" spans="3:7" x14ac:dyDescent="0.2">
      <c r="C3316" s="105"/>
      <c r="D3316" s="4"/>
      <c r="E3316" s="39"/>
      <c r="F3316" s="106"/>
      <c r="G3316" s="7"/>
    </row>
    <row r="3317" spans="3:7" x14ac:dyDescent="0.2">
      <c r="C3317" s="105"/>
      <c r="D3317" s="4"/>
      <c r="E3317" s="39"/>
      <c r="F3317" s="106"/>
      <c r="G3317" s="7"/>
    </row>
    <row r="3318" spans="3:7" x14ac:dyDescent="0.2">
      <c r="C3318" s="105"/>
      <c r="D3318" s="4"/>
      <c r="E3318" s="39"/>
      <c r="F3318" s="106"/>
      <c r="G3318" s="7"/>
    </row>
    <row r="3319" spans="3:7" x14ac:dyDescent="0.2">
      <c r="C3319" s="105"/>
      <c r="D3319" s="4"/>
      <c r="E3319" s="39"/>
      <c r="F3319" s="106"/>
      <c r="G3319" s="7"/>
    </row>
    <row r="3320" spans="3:7" x14ac:dyDescent="0.2">
      <c r="C3320" s="105"/>
      <c r="D3320" s="4"/>
      <c r="E3320" s="39"/>
      <c r="F3320" s="106"/>
      <c r="G3320" s="7"/>
    </row>
    <row r="3321" spans="3:7" x14ac:dyDescent="0.2">
      <c r="C3321" s="105"/>
      <c r="D3321" s="4"/>
      <c r="E3321" s="39"/>
      <c r="F3321" s="106"/>
      <c r="G3321" s="7"/>
    </row>
    <row r="3322" spans="3:7" x14ac:dyDescent="0.2">
      <c r="C3322" s="105"/>
      <c r="D3322" s="4"/>
      <c r="E3322" s="39"/>
      <c r="F3322" s="106"/>
      <c r="G3322" s="7"/>
    </row>
    <row r="3323" spans="3:7" x14ac:dyDescent="0.2">
      <c r="C3323" s="105"/>
      <c r="D3323" s="4"/>
      <c r="E3323" s="39"/>
      <c r="F3323" s="106"/>
      <c r="G3323" s="7"/>
    </row>
    <row r="3324" spans="3:7" x14ac:dyDescent="0.2">
      <c r="C3324" s="105"/>
      <c r="D3324" s="4"/>
      <c r="E3324" s="39"/>
      <c r="F3324" s="106"/>
      <c r="G3324" s="7"/>
    </row>
    <row r="3325" spans="3:7" x14ac:dyDescent="0.2">
      <c r="C3325" s="105"/>
      <c r="D3325" s="4"/>
      <c r="E3325" s="39"/>
      <c r="F3325" s="106"/>
      <c r="G3325" s="7"/>
    </row>
    <row r="3326" spans="3:7" x14ac:dyDescent="0.2">
      <c r="C3326" s="105"/>
      <c r="D3326" s="4"/>
      <c r="E3326" s="39"/>
      <c r="F3326" s="106"/>
      <c r="G3326" s="7"/>
    </row>
    <row r="3327" spans="3:7" x14ac:dyDescent="0.2">
      <c r="C3327" s="105"/>
      <c r="D3327" s="4"/>
      <c r="E3327" s="39"/>
      <c r="F3327" s="106"/>
      <c r="G3327" s="7"/>
    </row>
    <row r="3328" spans="3:7" x14ac:dyDescent="0.2">
      <c r="C3328" s="105"/>
      <c r="D3328" s="4"/>
      <c r="E3328" s="39"/>
      <c r="F3328" s="106"/>
      <c r="G3328" s="7"/>
    </row>
    <row r="3329" spans="3:7" x14ac:dyDescent="0.2">
      <c r="C3329" s="105"/>
      <c r="D3329" s="4"/>
      <c r="E3329" s="39"/>
      <c r="F3329" s="106"/>
      <c r="G3329" s="7"/>
    </row>
    <row r="3330" spans="3:7" x14ac:dyDescent="0.2">
      <c r="C3330" s="105"/>
      <c r="D3330" s="4"/>
      <c r="E3330" s="39"/>
      <c r="F3330" s="106"/>
      <c r="G3330" s="7"/>
    </row>
    <row r="3331" spans="3:7" x14ac:dyDescent="0.2">
      <c r="C3331" s="105"/>
      <c r="D3331" s="4"/>
      <c r="E3331" s="39"/>
      <c r="F3331" s="106"/>
      <c r="G3331" s="7"/>
    </row>
    <row r="3332" spans="3:7" x14ac:dyDescent="0.2">
      <c r="C3332" s="105"/>
      <c r="D3332" s="4"/>
      <c r="E3332" s="39"/>
      <c r="F3332" s="106"/>
      <c r="G3332" s="7"/>
    </row>
    <row r="3333" spans="3:7" x14ac:dyDescent="0.2">
      <c r="C3333" s="105"/>
      <c r="D3333" s="4"/>
      <c r="E3333" s="39"/>
      <c r="F3333" s="106"/>
      <c r="G3333" s="7"/>
    </row>
    <row r="3334" spans="3:7" x14ac:dyDescent="0.2">
      <c r="C3334" s="105"/>
      <c r="D3334" s="4"/>
      <c r="E3334" s="39"/>
      <c r="F3334" s="106"/>
      <c r="G3334" s="7"/>
    </row>
    <row r="3335" spans="3:7" x14ac:dyDescent="0.2">
      <c r="C3335" s="105"/>
      <c r="D3335" s="4"/>
      <c r="E3335" s="39"/>
      <c r="F3335" s="106"/>
      <c r="G3335" s="7"/>
    </row>
    <row r="3336" spans="3:7" x14ac:dyDescent="0.2">
      <c r="C3336" s="105"/>
      <c r="D3336" s="4"/>
      <c r="E3336" s="39"/>
      <c r="F3336" s="106"/>
      <c r="G3336" s="7"/>
    </row>
    <row r="3337" spans="3:7" x14ac:dyDescent="0.2">
      <c r="C3337" s="105"/>
      <c r="D3337" s="4"/>
      <c r="E3337" s="39"/>
      <c r="F3337" s="106"/>
      <c r="G3337" s="7"/>
    </row>
    <row r="3338" spans="3:7" x14ac:dyDescent="0.2">
      <c r="C3338" s="105"/>
      <c r="D3338" s="4"/>
      <c r="E3338" s="39"/>
      <c r="F3338" s="106"/>
      <c r="G3338" s="7"/>
    </row>
    <row r="3339" spans="3:7" x14ac:dyDescent="0.2">
      <c r="C3339" s="105"/>
      <c r="D3339" s="4"/>
      <c r="E3339" s="39"/>
      <c r="F3339" s="106"/>
      <c r="G3339" s="7"/>
    </row>
    <row r="3340" spans="3:7" x14ac:dyDescent="0.2">
      <c r="C3340" s="105"/>
      <c r="D3340" s="4"/>
      <c r="E3340" s="39"/>
      <c r="F3340" s="106"/>
      <c r="G3340" s="7"/>
    </row>
    <row r="3341" spans="3:7" x14ac:dyDescent="0.2">
      <c r="C3341" s="105"/>
      <c r="D3341" s="4"/>
      <c r="E3341" s="39"/>
      <c r="F3341" s="106"/>
      <c r="G3341" s="7"/>
    </row>
    <row r="3342" spans="3:7" x14ac:dyDescent="0.2">
      <c r="C3342" s="105"/>
      <c r="D3342" s="4"/>
      <c r="E3342" s="39"/>
      <c r="F3342" s="106"/>
      <c r="G3342" s="7"/>
    </row>
    <row r="3343" spans="3:7" x14ac:dyDescent="0.2">
      <c r="C3343" s="105"/>
      <c r="D3343" s="4"/>
      <c r="E3343" s="39"/>
      <c r="F3343" s="106"/>
      <c r="G3343" s="7"/>
    </row>
    <row r="3344" spans="3:7" x14ac:dyDescent="0.2">
      <c r="C3344" s="105"/>
      <c r="D3344" s="4"/>
      <c r="E3344" s="39"/>
      <c r="F3344" s="106"/>
      <c r="G3344" s="7"/>
    </row>
    <row r="3345" spans="3:7" x14ac:dyDescent="0.2">
      <c r="C3345" s="105"/>
      <c r="D3345" s="4"/>
      <c r="E3345" s="39"/>
      <c r="F3345" s="106"/>
      <c r="G3345" s="7"/>
    </row>
    <row r="3346" spans="3:7" x14ac:dyDescent="0.2">
      <c r="C3346" s="105"/>
      <c r="D3346" s="4"/>
      <c r="E3346" s="39"/>
      <c r="F3346" s="106"/>
      <c r="G3346" s="7"/>
    </row>
    <row r="3347" spans="3:7" x14ac:dyDescent="0.2">
      <c r="C3347" s="105"/>
      <c r="D3347" s="4"/>
      <c r="E3347" s="39"/>
      <c r="F3347" s="106"/>
      <c r="G3347" s="7"/>
    </row>
    <row r="3348" spans="3:7" x14ac:dyDescent="0.2">
      <c r="C3348" s="105"/>
      <c r="D3348" s="4"/>
      <c r="E3348" s="39"/>
      <c r="F3348" s="106"/>
      <c r="G3348" s="7"/>
    </row>
    <row r="3349" spans="3:7" x14ac:dyDescent="0.2">
      <c r="C3349" s="105"/>
      <c r="D3349" s="4"/>
      <c r="E3349" s="39"/>
      <c r="F3349" s="106"/>
      <c r="G3349" s="7"/>
    </row>
    <row r="3350" spans="3:7" x14ac:dyDescent="0.2">
      <c r="C3350" s="105"/>
      <c r="D3350" s="4"/>
      <c r="E3350" s="39"/>
      <c r="F3350" s="106"/>
      <c r="G3350" s="7"/>
    </row>
    <row r="3351" spans="3:7" x14ac:dyDescent="0.2">
      <c r="C3351" s="105"/>
      <c r="D3351" s="4"/>
      <c r="E3351" s="39"/>
      <c r="F3351" s="106"/>
      <c r="G3351" s="7"/>
    </row>
    <row r="3352" spans="3:7" x14ac:dyDescent="0.2">
      <c r="C3352" s="105"/>
      <c r="D3352" s="4"/>
      <c r="E3352" s="39"/>
      <c r="F3352" s="106"/>
      <c r="G3352" s="7"/>
    </row>
    <row r="3353" spans="3:7" x14ac:dyDescent="0.2">
      <c r="C3353" s="105"/>
      <c r="D3353" s="4"/>
      <c r="E3353" s="39"/>
      <c r="F3353" s="106"/>
      <c r="G3353" s="7"/>
    </row>
    <row r="3354" spans="3:7" x14ac:dyDescent="0.2">
      <c r="C3354" s="105"/>
      <c r="D3354" s="4"/>
      <c r="E3354" s="39"/>
      <c r="F3354" s="106"/>
      <c r="G3354" s="7"/>
    </row>
    <row r="3355" spans="3:7" x14ac:dyDescent="0.2">
      <c r="C3355" s="105"/>
      <c r="D3355" s="4"/>
      <c r="E3355" s="39"/>
      <c r="F3355" s="106"/>
      <c r="G3355" s="7"/>
    </row>
    <row r="3356" spans="3:7" x14ac:dyDescent="0.2">
      <c r="C3356" s="105"/>
      <c r="D3356" s="4"/>
      <c r="E3356" s="39"/>
      <c r="F3356" s="106"/>
      <c r="G3356" s="7"/>
    </row>
    <row r="3357" spans="3:7" x14ac:dyDescent="0.2">
      <c r="C3357" s="105"/>
      <c r="D3357" s="4"/>
      <c r="E3357" s="39"/>
      <c r="F3357" s="106"/>
      <c r="G3357" s="7"/>
    </row>
    <row r="3358" spans="3:7" x14ac:dyDescent="0.2">
      <c r="C3358" s="105"/>
      <c r="D3358" s="4"/>
      <c r="E3358" s="39"/>
      <c r="F3358" s="106"/>
      <c r="G3358" s="7"/>
    </row>
    <row r="3359" spans="3:7" x14ac:dyDescent="0.2">
      <c r="C3359" s="105"/>
      <c r="D3359" s="4"/>
      <c r="E3359" s="39"/>
      <c r="F3359" s="106"/>
      <c r="G3359" s="7"/>
    </row>
    <row r="3360" spans="3:7" x14ac:dyDescent="0.2">
      <c r="C3360" s="105"/>
      <c r="D3360" s="4"/>
      <c r="E3360" s="39"/>
      <c r="F3360" s="106"/>
      <c r="G3360" s="7"/>
    </row>
    <row r="3361" spans="3:7" x14ac:dyDescent="0.2">
      <c r="C3361" s="105"/>
      <c r="D3361" s="4"/>
      <c r="E3361" s="39"/>
      <c r="F3361" s="106"/>
      <c r="G3361" s="7"/>
    </row>
    <row r="3362" spans="3:7" x14ac:dyDescent="0.2">
      <c r="C3362" s="105"/>
      <c r="D3362" s="4"/>
      <c r="E3362" s="39"/>
      <c r="F3362" s="106"/>
      <c r="G3362" s="7"/>
    </row>
    <row r="3363" spans="3:7" x14ac:dyDescent="0.2">
      <c r="C3363" s="105"/>
      <c r="D3363" s="4"/>
      <c r="E3363" s="39"/>
      <c r="F3363" s="106"/>
      <c r="G3363" s="7"/>
    </row>
    <row r="3364" spans="3:7" x14ac:dyDescent="0.2">
      <c r="C3364" s="105"/>
      <c r="D3364" s="4"/>
      <c r="E3364" s="39"/>
      <c r="F3364" s="106"/>
      <c r="G3364" s="7"/>
    </row>
    <row r="3365" spans="3:7" x14ac:dyDescent="0.2">
      <c r="C3365" s="105"/>
      <c r="D3365" s="4"/>
      <c r="E3365" s="39"/>
      <c r="F3365" s="106"/>
      <c r="G3365" s="7"/>
    </row>
    <row r="3366" spans="3:7" x14ac:dyDescent="0.2">
      <c r="C3366" s="105"/>
      <c r="D3366" s="4"/>
      <c r="E3366" s="39"/>
      <c r="F3366" s="106"/>
      <c r="G3366" s="7"/>
    </row>
    <row r="3367" spans="3:7" x14ac:dyDescent="0.2">
      <c r="C3367" s="105"/>
      <c r="D3367" s="4"/>
      <c r="E3367" s="39"/>
      <c r="F3367" s="106"/>
      <c r="G3367" s="7"/>
    </row>
    <row r="3368" spans="3:7" x14ac:dyDescent="0.2">
      <c r="C3368" s="105"/>
      <c r="D3368" s="4"/>
      <c r="E3368" s="39"/>
      <c r="F3368" s="106"/>
      <c r="G3368" s="7"/>
    </row>
    <row r="3369" spans="3:7" x14ac:dyDescent="0.2">
      <c r="C3369" s="105"/>
      <c r="D3369" s="4"/>
      <c r="E3369" s="39"/>
      <c r="F3369" s="106"/>
      <c r="G3369" s="7"/>
    </row>
    <row r="3370" spans="3:7" x14ac:dyDescent="0.2">
      <c r="C3370" s="105"/>
      <c r="D3370" s="4"/>
      <c r="E3370" s="39"/>
      <c r="F3370" s="106"/>
      <c r="G3370" s="7"/>
    </row>
    <row r="3371" spans="3:7" x14ac:dyDescent="0.2">
      <c r="C3371" s="105"/>
      <c r="D3371" s="4"/>
      <c r="E3371" s="39"/>
      <c r="F3371" s="106"/>
      <c r="G3371" s="7"/>
    </row>
    <row r="3372" spans="3:7" x14ac:dyDescent="0.2">
      <c r="C3372" s="105"/>
      <c r="D3372" s="4"/>
      <c r="E3372" s="39"/>
      <c r="F3372" s="106"/>
      <c r="G3372" s="7"/>
    </row>
    <row r="3373" spans="3:7" x14ac:dyDescent="0.2">
      <c r="C3373" s="105"/>
      <c r="D3373" s="4"/>
      <c r="E3373" s="39"/>
      <c r="F3373" s="106"/>
      <c r="G3373" s="7"/>
    </row>
    <row r="3374" spans="3:7" x14ac:dyDescent="0.2">
      <c r="C3374" s="105"/>
      <c r="D3374" s="4"/>
      <c r="E3374" s="39"/>
      <c r="F3374" s="106"/>
      <c r="G3374" s="7"/>
    </row>
    <row r="3375" spans="3:7" x14ac:dyDescent="0.2">
      <c r="C3375" s="105"/>
      <c r="D3375" s="4"/>
      <c r="E3375" s="39"/>
      <c r="F3375" s="106"/>
      <c r="G3375" s="7"/>
    </row>
    <row r="3376" spans="3:7" x14ac:dyDescent="0.2">
      <c r="C3376" s="105"/>
      <c r="D3376" s="4"/>
      <c r="E3376" s="39"/>
      <c r="F3376" s="106"/>
      <c r="G3376" s="7"/>
    </row>
    <row r="3377" spans="3:7" x14ac:dyDescent="0.2">
      <c r="C3377" s="105"/>
      <c r="D3377" s="4"/>
      <c r="E3377" s="39"/>
      <c r="F3377" s="106"/>
      <c r="G3377" s="7"/>
    </row>
    <row r="3378" spans="3:7" x14ac:dyDescent="0.2">
      <c r="C3378" s="105"/>
      <c r="D3378" s="4"/>
      <c r="E3378" s="39"/>
      <c r="F3378" s="106"/>
      <c r="G3378" s="7"/>
    </row>
    <row r="3379" spans="3:7" x14ac:dyDescent="0.2">
      <c r="C3379" s="105"/>
      <c r="D3379" s="4"/>
      <c r="E3379" s="39"/>
      <c r="F3379" s="106"/>
      <c r="G3379" s="7"/>
    </row>
    <row r="3380" spans="3:7" x14ac:dyDescent="0.2">
      <c r="C3380" s="105"/>
      <c r="D3380" s="4"/>
      <c r="E3380" s="39"/>
      <c r="F3380" s="106"/>
      <c r="G3380" s="7"/>
    </row>
    <row r="3381" spans="3:7" x14ac:dyDescent="0.2">
      <c r="C3381" s="105"/>
      <c r="D3381" s="4"/>
      <c r="E3381" s="39"/>
      <c r="F3381" s="106"/>
      <c r="G3381" s="7"/>
    </row>
    <row r="3382" spans="3:7" x14ac:dyDescent="0.2">
      <c r="C3382" s="105"/>
      <c r="D3382" s="4"/>
      <c r="E3382" s="39"/>
      <c r="F3382" s="106"/>
      <c r="G3382" s="7"/>
    </row>
    <row r="3383" spans="3:7" x14ac:dyDescent="0.2">
      <c r="C3383" s="105"/>
      <c r="D3383" s="4"/>
      <c r="E3383" s="39"/>
      <c r="F3383" s="106"/>
      <c r="G3383" s="7"/>
    </row>
    <row r="3384" spans="3:7" x14ac:dyDescent="0.2">
      <c r="C3384" s="105"/>
      <c r="D3384" s="4"/>
      <c r="E3384" s="39"/>
      <c r="F3384" s="106"/>
      <c r="G3384" s="7"/>
    </row>
    <row r="3385" spans="3:7" x14ac:dyDescent="0.2">
      <c r="C3385" s="105"/>
      <c r="D3385" s="4"/>
      <c r="E3385" s="39"/>
      <c r="F3385" s="106"/>
      <c r="G3385" s="7"/>
    </row>
    <row r="3386" spans="3:7" x14ac:dyDescent="0.2">
      <c r="C3386" s="105"/>
      <c r="D3386" s="4"/>
      <c r="E3386" s="39"/>
      <c r="F3386" s="106"/>
      <c r="G3386" s="7"/>
    </row>
    <row r="3387" spans="3:7" x14ac:dyDescent="0.2">
      <c r="C3387" s="105"/>
      <c r="D3387" s="4"/>
      <c r="E3387" s="39"/>
      <c r="F3387" s="106"/>
      <c r="G3387" s="7"/>
    </row>
    <row r="3388" spans="3:7" x14ac:dyDescent="0.2">
      <c r="C3388" s="105"/>
      <c r="D3388" s="4"/>
      <c r="E3388" s="39"/>
      <c r="F3388" s="106"/>
      <c r="G3388" s="7"/>
    </row>
    <row r="3389" spans="3:7" x14ac:dyDescent="0.2">
      <c r="C3389" s="105"/>
      <c r="D3389" s="4"/>
      <c r="E3389" s="39"/>
      <c r="F3389" s="106"/>
      <c r="G3389" s="7"/>
    </row>
    <row r="3390" spans="3:7" x14ac:dyDescent="0.2">
      <c r="C3390" s="105"/>
      <c r="D3390" s="4"/>
      <c r="E3390" s="39"/>
      <c r="F3390" s="106"/>
      <c r="G3390" s="7"/>
    </row>
    <row r="3391" spans="3:7" x14ac:dyDescent="0.2">
      <c r="C3391" s="105"/>
      <c r="D3391" s="4"/>
      <c r="E3391" s="39"/>
      <c r="F3391" s="106"/>
      <c r="G3391" s="7"/>
    </row>
    <row r="3392" spans="3:7" x14ac:dyDescent="0.2">
      <c r="C3392" s="105"/>
      <c r="D3392" s="4"/>
      <c r="E3392" s="39"/>
      <c r="F3392" s="106"/>
      <c r="G3392" s="7"/>
    </row>
    <row r="3393" spans="3:7" x14ac:dyDescent="0.2">
      <c r="C3393" s="105"/>
      <c r="D3393" s="4"/>
      <c r="E3393" s="39"/>
      <c r="F3393" s="106"/>
      <c r="G3393" s="7"/>
    </row>
    <row r="3394" spans="3:7" x14ac:dyDescent="0.2">
      <c r="C3394" s="105"/>
      <c r="D3394" s="4"/>
      <c r="E3394" s="39"/>
      <c r="F3394" s="106"/>
      <c r="G3394" s="7"/>
    </row>
    <row r="3395" spans="3:7" x14ac:dyDescent="0.2">
      <c r="C3395" s="105"/>
      <c r="D3395" s="4"/>
      <c r="E3395" s="39"/>
      <c r="F3395" s="106"/>
      <c r="G3395" s="7"/>
    </row>
    <row r="3396" spans="3:7" x14ac:dyDescent="0.2">
      <c r="C3396" s="105"/>
      <c r="D3396" s="4"/>
      <c r="E3396" s="39"/>
      <c r="F3396" s="106"/>
      <c r="G3396" s="7"/>
    </row>
    <row r="3397" spans="3:7" x14ac:dyDescent="0.2">
      <c r="C3397" s="105"/>
      <c r="D3397" s="4"/>
      <c r="E3397" s="39"/>
      <c r="F3397" s="106"/>
      <c r="G3397" s="7"/>
    </row>
    <row r="3398" spans="3:7" x14ac:dyDescent="0.2">
      <c r="C3398" s="105"/>
      <c r="D3398" s="4"/>
      <c r="E3398" s="39"/>
      <c r="F3398" s="106"/>
      <c r="G3398" s="7"/>
    </row>
    <row r="3399" spans="3:7" x14ac:dyDescent="0.2">
      <c r="C3399" s="105"/>
      <c r="D3399" s="4"/>
      <c r="E3399" s="39"/>
      <c r="F3399" s="106"/>
      <c r="G3399" s="7"/>
    </row>
    <row r="3400" spans="3:7" x14ac:dyDescent="0.2">
      <c r="C3400" s="105"/>
      <c r="D3400" s="4"/>
      <c r="E3400" s="39"/>
      <c r="F3400" s="106"/>
      <c r="G3400" s="7"/>
    </row>
    <row r="3401" spans="3:7" x14ac:dyDescent="0.2">
      <c r="C3401" s="105"/>
      <c r="D3401" s="4"/>
      <c r="E3401" s="39"/>
      <c r="F3401" s="106"/>
      <c r="G3401" s="7"/>
    </row>
    <row r="3402" spans="3:7" x14ac:dyDescent="0.2">
      <c r="C3402" s="105"/>
      <c r="D3402" s="4"/>
      <c r="E3402" s="39"/>
      <c r="F3402" s="106"/>
      <c r="G3402" s="7"/>
    </row>
    <row r="3403" spans="3:7" x14ac:dyDescent="0.2">
      <c r="C3403" s="105"/>
      <c r="D3403" s="4"/>
      <c r="E3403" s="39"/>
      <c r="F3403" s="106"/>
      <c r="G3403" s="7"/>
    </row>
    <row r="3404" spans="3:7" x14ac:dyDescent="0.2">
      <c r="C3404" s="105"/>
      <c r="D3404" s="4"/>
      <c r="E3404" s="39"/>
      <c r="F3404" s="106"/>
      <c r="G3404" s="7"/>
    </row>
    <row r="3405" spans="3:7" x14ac:dyDescent="0.2">
      <c r="C3405" s="105"/>
      <c r="D3405" s="4"/>
      <c r="E3405" s="39"/>
      <c r="F3405" s="106"/>
      <c r="G3405" s="7"/>
    </row>
    <row r="3406" spans="3:7" x14ac:dyDescent="0.2">
      <c r="C3406" s="105"/>
      <c r="D3406" s="4"/>
      <c r="E3406" s="39"/>
      <c r="F3406" s="106"/>
      <c r="G3406" s="7"/>
    </row>
    <row r="3407" spans="3:7" x14ac:dyDescent="0.2">
      <c r="C3407" s="105"/>
      <c r="D3407" s="4"/>
      <c r="E3407" s="39"/>
      <c r="F3407" s="106"/>
      <c r="G3407" s="7"/>
    </row>
    <row r="3408" spans="3:7" x14ac:dyDescent="0.2">
      <c r="C3408" s="105"/>
      <c r="D3408" s="4"/>
      <c r="E3408" s="39"/>
      <c r="F3408" s="106"/>
      <c r="G3408" s="7"/>
    </row>
    <row r="3409" spans="3:7" x14ac:dyDescent="0.2">
      <c r="C3409" s="105"/>
      <c r="D3409" s="4"/>
      <c r="E3409" s="39"/>
      <c r="F3409" s="106"/>
      <c r="G3409" s="7"/>
    </row>
    <row r="3410" spans="3:7" x14ac:dyDescent="0.2">
      <c r="C3410" s="105"/>
      <c r="D3410" s="4"/>
      <c r="E3410" s="39"/>
      <c r="F3410" s="106"/>
      <c r="G3410" s="7"/>
    </row>
    <row r="3411" spans="3:7" x14ac:dyDescent="0.2">
      <c r="C3411" s="105"/>
      <c r="D3411" s="4"/>
      <c r="E3411" s="39"/>
      <c r="F3411" s="106"/>
      <c r="G3411" s="7"/>
    </row>
    <row r="3412" spans="3:7" x14ac:dyDescent="0.2">
      <c r="C3412" s="105"/>
      <c r="D3412" s="4"/>
      <c r="E3412" s="39"/>
      <c r="F3412" s="106"/>
      <c r="G3412" s="7"/>
    </row>
    <row r="3413" spans="3:7" x14ac:dyDescent="0.2">
      <c r="C3413" s="105"/>
      <c r="D3413" s="4"/>
      <c r="E3413" s="39"/>
      <c r="F3413" s="106"/>
      <c r="G3413" s="7"/>
    </row>
    <row r="3414" spans="3:7" x14ac:dyDescent="0.2">
      <c r="C3414" s="105"/>
      <c r="D3414" s="4"/>
      <c r="E3414" s="39"/>
      <c r="F3414" s="106"/>
      <c r="G3414" s="7"/>
    </row>
    <row r="3415" spans="3:7" x14ac:dyDescent="0.2">
      <c r="C3415" s="105"/>
      <c r="D3415" s="4"/>
      <c r="E3415" s="39"/>
      <c r="F3415" s="106"/>
      <c r="G3415" s="7"/>
    </row>
    <row r="3416" spans="3:7" x14ac:dyDescent="0.2">
      <c r="C3416" s="105"/>
      <c r="D3416" s="4"/>
      <c r="E3416" s="39"/>
      <c r="F3416" s="106"/>
      <c r="G3416" s="7"/>
    </row>
    <row r="3417" spans="3:7" x14ac:dyDescent="0.2">
      <c r="C3417" s="105"/>
      <c r="D3417" s="4"/>
      <c r="E3417" s="39"/>
      <c r="F3417" s="106"/>
      <c r="G3417" s="7"/>
    </row>
    <row r="3418" spans="3:7" x14ac:dyDescent="0.2">
      <c r="C3418" s="105"/>
      <c r="D3418" s="4"/>
      <c r="E3418" s="39"/>
      <c r="F3418" s="106"/>
      <c r="G3418" s="7"/>
    </row>
    <row r="3419" spans="3:7" x14ac:dyDescent="0.2">
      <c r="C3419" s="105"/>
      <c r="D3419" s="4"/>
      <c r="E3419" s="39"/>
      <c r="F3419" s="106"/>
      <c r="G3419" s="7"/>
    </row>
    <row r="3420" spans="3:7" x14ac:dyDescent="0.2">
      <c r="C3420" s="105"/>
      <c r="D3420" s="4"/>
      <c r="E3420" s="39"/>
      <c r="F3420" s="106"/>
      <c r="G3420" s="7"/>
    </row>
    <row r="3421" spans="3:7" x14ac:dyDescent="0.2">
      <c r="C3421" s="105"/>
      <c r="D3421" s="4"/>
      <c r="E3421" s="39"/>
      <c r="F3421" s="106"/>
      <c r="G3421" s="7"/>
    </row>
    <row r="3422" spans="3:7" x14ac:dyDescent="0.2">
      <c r="C3422" s="105"/>
      <c r="D3422" s="4"/>
      <c r="E3422" s="39"/>
      <c r="F3422" s="106"/>
      <c r="G3422" s="7"/>
    </row>
    <row r="3423" spans="3:7" x14ac:dyDescent="0.2">
      <c r="C3423" s="105"/>
      <c r="D3423" s="4"/>
      <c r="E3423" s="39"/>
      <c r="F3423" s="106"/>
      <c r="G3423" s="7"/>
    </row>
    <row r="3424" spans="3:7" x14ac:dyDescent="0.2">
      <c r="C3424" s="105"/>
      <c r="D3424" s="4"/>
      <c r="E3424" s="39"/>
      <c r="F3424" s="106"/>
      <c r="G3424" s="7"/>
    </row>
    <row r="3425" spans="3:7" x14ac:dyDescent="0.2">
      <c r="C3425" s="105"/>
      <c r="D3425" s="4"/>
      <c r="E3425" s="39"/>
      <c r="F3425" s="106"/>
      <c r="G3425" s="7"/>
    </row>
    <row r="3426" spans="3:7" x14ac:dyDescent="0.2">
      <c r="C3426" s="105"/>
      <c r="D3426" s="4"/>
      <c r="E3426" s="39"/>
      <c r="F3426" s="106"/>
      <c r="G3426" s="7"/>
    </row>
    <row r="3427" spans="3:7" x14ac:dyDescent="0.2">
      <c r="C3427" s="105"/>
      <c r="D3427" s="4"/>
      <c r="E3427" s="39"/>
      <c r="F3427" s="106"/>
      <c r="G3427" s="7"/>
    </row>
    <row r="3428" spans="3:7" x14ac:dyDescent="0.2">
      <c r="C3428" s="105"/>
      <c r="D3428" s="4"/>
      <c r="E3428" s="39"/>
      <c r="F3428" s="106"/>
      <c r="G3428" s="7"/>
    </row>
    <row r="3429" spans="3:7" x14ac:dyDescent="0.2">
      <c r="C3429" s="105"/>
      <c r="D3429" s="4"/>
      <c r="E3429" s="39"/>
      <c r="F3429" s="106"/>
      <c r="G3429" s="7"/>
    </row>
    <row r="3430" spans="3:7" x14ac:dyDescent="0.2">
      <c r="C3430" s="105"/>
      <c r="D3430" s="4"/>
      <c r="E3430" s="39"/>
      <c r="F3430" s="106"/>
      <c r="G3430" s="7"/>
    </row>
    <row r="3431" spans="3:7" x14ac:dyDescent="0.2">
      <c r="C3431" s="105"/>
      <c r="D3431" s="4"/>
      <c r="E3431" s="39"/>
      <c r="F3431" s="106"/>
      <c r="G3431" s="7"/>
    </row>
    <row r="3432" spans="3:7" x14ac:dyDescent="0.2">
      <c r="C3432" s="105"/>
      <c r="D3432" s="4"/>
      <c r="E3432" s="39"/>
      <c r="F3432" s="106"/>
      <c r="G3432" s="7"/>
    </row>
    <row r="3433" spans="3:7" x14ac:dyDescent="0.2">
      <c r="C3433" s="105"/>
      <c r="D3433" s="4"/>
      <c r="E3433" s="39"/>
      <c r="F3433" s="106"/>
      <c r="G3433" s="7"/>
    </row>
    <row r="3434" spans="3:7" x14ac:dyDescent="0.2">
      <c r="C3434" s="105"/>
      <c r="D3434" s="4"/>
      <c r="E3434" s="39"/>
      <c r="F3434" s="106"/>
      <c r="G3434" s="7"/>
    </row>
    <row r="3435" spans="3:7" x14ac:dyDescent="0.2">
      <c r="C3435" s="105"/>
      <c r="D3435" s="4"/>
      <c r="E3435" s="39"/>
      <c r="F3435" s="106"/>
      <c r="G3435" s="7"/>
    </row>
    <row r="3436" spans="3:7" x14ac:dyDescent="0.2">
      <c r="C3436" s="105"/>
      <c r="D3436" s="4"/>
      <c r="E3436" s="39"/>
      <c r="F3436" s="106"/>
      <c r="G3436" s="7"/>
    </row>
    <row r="3437" spans="3:7" x14ac:dyDescent="0.2">
      <c r="C3437" s="105"/>
      <c r="D3437" s="4"/>
      <c r="E3437" s="39"/>
      <c r="F3437" s="106"/>
      <c r="G3437" s="7"/>
    </row>
    <row r="3438" spans="3:7" x14ac:dyDescent="0.2">
      <c r="C3438" s="105"/>
      <c r="D3438" s="4"/>
      <c r="E3438" s="39"/>
      <c r="F3438" s="106"/>
      <c r="G3438" s="7"/>
    </row>
    <row r="3439" spans="3:7" x14ac:dyDescent="0.2">
      <c r="C3439" s="105"/>
      <c r="D3439" s="4"/>
      <c r="E3439" s="39"/>
      <c r="F3439" s="106"/>
      <c r="G3439" s="7"/>
    </row>
    <row r="3440" spans="3:7" x14ac:dyDescent="0.2">
      <c r="C3440" s="105"/>
      <c r="D3440" s="4"/>
      <c r="E3440" s="39"/>
      <c r="F3440" s="106"/>
      <c r="G3440" s="7"/>
    </row>
    <row r="3441" spans="3:7" x14ac:dyDescent="0.2">
      <c r="C3441" s="105"/>
      <c r="D3441" s="4"/>
      <c r="E3441" s="39"/>
      <c r="F3441" s="106"/>
      <c r="G3441" s="7"/>
    </row>
    <row r="3442" spans="3:7" x14ac:dyDescent="0.2">
      <c r="C3442" s="105"/>
      <c r="D3442" s="4"/>
      <c r="E3442" s="39"/>
      <c r="F3442" s="106"/>
      <c r="G3442" s="7"/>
    </row>
    <row r="3443" spans="3:7" x14ac:dyDescent="0.2">
      <c r="C3443" s="105"/>
      <c r="D3443" s="4"/>
      <c r="E3443" s="39"/>
      <c r="F3443" s="106"/>
      <c r="G3443" s="7"/>
    </row>
    <row r="3444" spans="3:7" x14ac:dyDescent="0.2">
      <c r="C3444" s="105"/>
      <c r="D3444" s="4"/>
      <c r="E3444" s="39"/>
      <c r="F3444" s="106"/>
      <c r="G3444" s="7"/>
    </row>
    <row r="3445" spans="3:7" x14ac:dyDescent="0.2">
      <c r="C3445" s="105"/>
      <c r="D3445" s="4"/>
      <c r="E3445" s="39"/>
      <c r="F3445" s="106"/>
      <c r="G3445" s="7"/>
    </row>
    <row r="3446" spans="3:7" x14ac:dyDescent="0.2">
      <c r="C3446" s="105"/>
      <c r="D3446" s="4"/>
      <c r="E3446" s="39"/>
      <c r="F3446" s="106"/>
      <c r="G3446" s="7"/>
    </row>
    <row r="3447" spans="3:7" x14ac:dyDescent="0.2">
      <c r="C3447" s="105"/>
      <c r="D3447" s="4"/>
      <c r="E3447" s="39"/>
      <c r="F3447" s="106"/>
      <c r="G3447" s="7"/>
    </row>
    <row r="3448" spans="3:7" x14ac:dyDescent="0.2">
      <c r="C3448" s="105"/>
      <c r="D3448" s="4"/>
      <c r="E3448" s="39"/>
      <c r="F3448" s="106"/>
      <c r="G3448" s="7"/>
    </row>
    <row r="3449" spans="3:7" x14ac:dyDescent="0.2">
      <c r="C3449" s="105"/>
      <c r="D3449" s="4"/>
      <c r="E3449" s="39"/>
      <c r="F3449" s="106"/>
      <c r="G3449" s="7"/>
    </row>
    <row r="3450" spans="3:7" x14ac:dyDescent="0.2">
      <c r="C3450" s="105"/>
      <c r="D3450" s="4"/>
      <c r="E3450" s="39"/>
      <c r="F3450" s="106"/>
      <c r="G3450" s="7"/>
    </row>
    <row r="3451" spans="3:7" x14ac:dyDescent="0.2">
      <c r="C3451" s="105"/>
      <c r="D3451" s="4"/>
      <c r="E3451" s="39"/>
      <c r="F3451" s="106"/>
      <c r="G3451" s="7"/>
    </row>
    <row r="3452" spans="3:7" x14ac:dyDescent="0.2">
      <c r="C3452" s="105"/>
      <c r="D3452" s="4"/>
      <c r="E3452" s="39"/>
      <c r="F3452" s="106"/>
      <c r="G3452" s="7"/>
    </row>
    <row r="3453" spans="3:7" x14ac:dyDescent="0.2">
      <c r="C3453" s="105"/>
      <c r="D3453" s="4"/>
      <c r="E3453" s="39"/>
      <c r="F3453" s="106"/>
      <c r="G3453" s="7"/>
    </row>
    <row r="3454" spans="3:7" x14ac:dyDescent="0.2">
      <c r="C3454" s="105"/>
      <c r="D3454" s="4"/>
      <c r="E3454" s="39"/>
      <c r="F3454" s="106"/>
      <c r="G3454" s="7"/>
    </row>
    <row r="3455" spans="3:7" x14ac:dyDescent="0.2">
      <c r="C3455" s="105"/>
      <c r="D3455" s="4"/>
      <c r="E3455" s="39"/>
      <c r="F3455" s="106"/>
      <c r="G3455" s="7"/>
    </row>
    <row r="3456" spans="3:7" x14ac:dyDescent="0.2">
      <c r="C3456" s="105"/>
      <c r="D3456" s="4"/>
      <c r="E3456" s="39"/>
      <c r="F3456" s="106"/>
      <c r="G3456" s="7"/>
    </row>
    <row r="3457" spans="3:7" x14ac:dyDescent="0.2">
      <c r="C3457" s="105"/>
      <c r="D3457" s="4"/>
      <c r="E3457" s="39"/>
      <c r="F3457" s="106"/>
      <c r="G3457" s="7"/>
    </row>
    <row r="3458" spans="3:7" x14ac:dyDescent="0.2">
      <c r="C3458" s="105"/>
      <c r="D3458" s="4"/>
      <c r="E3458" s="39"/>
      <c r="F3458" s="106"/>
      <c r="G3458" s="7"/>
    </row>
    <row r="3459" spans="3:7" x14ac:dyDescent="0.2">
      <c r="C3459" s="105"/>
      <c r="D3459" s="4"/>
      <c r="E3459" s="39"/>
      <c r="F3459" s="106"/>
      <c r="G3459" s="7"/>
    </row>
    <row r="3460" spans="3:7" x14ac:dyDescent="0.2">
      <c r="C3460" s="105"/>
      <c r="D3460" s="4"/>
      <c r="E3460" s="39"/>
      <c r="F3460" s="106"/>
      <c r="G3460" s="7"/>
    </row>
    <row r="3461" spans="3:7" x14ac:dyDescent="0.2">
      <c r="C3461" s="105"/>
      <c r="D3461" s="4"/>
      <c r="E3461" s="39"/>
      <c r="F3461" s="106"/>
      <c r="G3461" s="7"/>
    </row>
    <row r="3462" spans="3:7" x14ac:dyDescent="0.2">
      <c r="C3462" s="105"/>
      <c r="D3462" s="4"/>
      <c r="E3462" s="39"/>
      <c r="F3462" s="106"/>
      <c r="G3462" s="7"/>
    </row>
    <row r="3463" spans="3:7" x14ac:dyDescent="0.2">
      <c r="C3463" s="105"/>
      <c r="D3463" s="4"/>
      <c r="E3463" s="39"/>
      <c r="F3463" s="106"/>
      <c r="G3463" s="7"/>
    </row>
    <row r="3464" spans="3:7" x14ac:dyDescent="0.2">
      <c r="C3464" s="105"/>
      <c r="D3464" s="4"/>
      <c r="E3464" s="39"/>
      <c r="F3464" s="106"/>
      <c r="G3464" s="7"/>
    </row>
    <row r="3465" spans="3:7" x14ac:dyDescent="0.2">
      <c r="C3465" s="105"/>
      <c r="D3465" s="4"/>
      <c r="E3465" s="39"/>
      <c r="F3465" s="106"/>
      <c r="G3465" s="7"/>
    </row>
    <row r="3466" spans="3:7" x14ac:dyDescent="0.2">
      <c r="C3466" s="105"/>
      <c r="D3466" s="4"/>
      <c r="E3466" s="39"/>
      <c r="F3466" s="106"/>
      <c r="G3466" s="7"/>
    </row>
    <row r="3467" spans="3:7" x14ac:dyDescent="0.2">
      <c r="C3467" s="105"/>
      <c r="D3467" s="4"/>
      <c r="E3467" s="39"/>
      <c r="F3467" s="106"/>
      <c r="G3467" s="7"/>
    </row>
    <row r="3468" spans="3:7" x14ac:dyDescent="0.2">
      <c r="C3468" s="105"/>
      <c r="D3468" s="4"/>
      <c r="E3468" s="39"/>
      <c r="F3468" s="106"/>
      <c r="G3468" s="7"/>
    </row>
    <row r="3469" spans="3:7" x14ac:dyDescent="0.2">
      <c r="C3469" s="105"/>
      <c r="D3469" s="4"/>
      <c r="E3469" s="39"/>
      <c r="F3469" s="106"/>
      <c r="G3469" s="7"/>
    </row>
    <row r="3470" spans="3:7" x14ac:dyDescent="0.2">
      <c r="C3470" s="105"/>
      <c r="D3470" s="4"/>
      <c r="E3470" s="39"/>
      <c r="F3470" s="106"/>
      <c r="G3470" s="7"/>
    </row>
    <row r="3471" spans="3:7" x14ac:dyDescent="0.2">
      <c r="C3471" s="105"/>
      <c r="D3471" s="4"/>
      <c r="E3471" s="39"/>
      <c r="F3471" s="106"/>
      <c r="G3471" s="7"/>
    </row>
    <row r="3472" spans="3:7" x14ac:dyDescent="0.2">
      <c r="C3472" s="105"/>
      <c r="D3472" s="4"/>
      <c r="E3472" s="39"/>
      <c r="F3472" s="106"/>
      <c r="G3472" s="7"/>
    </row>
    <row r="3473" spans="3:7" x14ac:dyDescent="0.2">
      <c r="C3473" s="105"/>
      <c r="D3473" s="4"/>
      <c r="E3473" s="39"/>
      <c r="F3473" s="106"/>
      <c r="G3473" s="7"/>
    </row>
    <row r="3474" spans="3:7" x14ac:dyDescent="0.2">
      <c r="C3474" s="105"/>
      <c r="D3474" s="4"/>
      <c r="E3474" s="39"/>
      <c r="F3474" s="106"/>
      <c r="G3474" s="7"/>
    </row>
    <row r="3475" spans="3:7" x14ac:dyDescent="0.2">
      <c r="C3475" s="105"/>
      <c r="D3475" s="4"/>
      <c r="E3475" s="39"/>
      <c r="F3475" s="106"/>
      <c r="G3475" s="7"/>
    </row>
    <row r="3476" spans="3:7" x14ac:dyDescent="0.2">
      <c r="C3476" s="105"/>
      <c r="D3476" s="4"/>
      <c r="E3476" s="39"/>
      <c r="F3476" s="106"/>
      <c r="G3476" s="7"/>
    </row>
    <row r="3477" spans="3:7" x14ac:dyDescent="0.2">
      <c r="C3477" s="105"/>
      <c r="D3477" s="4"/>
      <c r="E3477" s="39"/>
      <c r="F3477" s="106"/>
      <c r="G3477" s="7"/>
    </row>
    <row r="3478" spans="3:7" x14ac:dyDescent="0.2">
      <c r="C3478" s="105"/>
      <c r="D3478" s="4"/>
      <c r="E3478" s="39"/>
      <c r="F3478" s="106"/>
      <c r="G3478" s="7"/>
    </row>
    <row r="3479" spans="3:7" x14ac:dyDescent="0.2">
      <c r="C3479" s="105"/>
      <c r="D3479" s="4"/>
      <c r="E3479" s="39"/>
      <c r="F3479" s="106"/>
      <c r="G3479" s="7"/>
    </row>
    <row r="3480" spans="3:7" x14ac:dyDescent="0.2">
      <c r="C3480" s="105"/>
      <c r="D3480" s="4"/>
      <c r="E3480" s="39"/>
      <c r="F3480" s="106"/>
      <c r="G3480" s="7"/>
    </row>
    <row r="3481" spans="3:7" x14ac:dyDescent="0.2">
      <c r="C3481" s="105"/>
      <c r="D3481" s="4"/>
      <c r="E3481" s="39"/>
      <c r="F3481" s="106"/>
      <c r="G3481" s="7"/>
    </row>
    <row r="3482" spans="3:7" x14ac:dyDescent="0.2">
      <c r="C3482" s="105"/>
      <c r="D3482" s="4"/>
      <c r="E3482" s="39"/>
      <c r="F3482" s="106"/>
      <c r="G3482" s="7"/>
    </row>
    <row r="3483" spans="3:7" x14ac:dyDescent="0.2">
      <c r="C3483" s="105"/>
      <c r="D3483" s="4"/>
      <c r="E3483" s="39"/>
      <c r="F3483" s="106"/>
      <c r="G3483" s="7"/>
    </row>
    <row r="3484" spans="3:7" x14ac:dyDescent="0.2">
      <c r="C3484" s="105"/>
      <c r="D3484" s="4"/>
      <c r="E3484" s="39"/>
      <c r="F3484" s="106"/>
      <c r="G3484" s="7"/>
    </row>
    <row r="3485" spans="3:7" x14ac:dyDescent="0.2">
      <c r="C3485" s="105"/>
      <c r="D3485" s="4"/>
      <c r="E3485" s="39"/>
      <c r="F3485" s="106"/>
      <c r="G3485" s="7"/>
    </row>
    <row r="3486" spans="3:7" x14ac:dyDescent="0.2">
      <c r="C3486" s="105"/>
      <c r="D3486" s="4"/>
      <c r="E3486" s="39"/>
      <c r="F3486" s="106"/>
      <c r="G3486" s="7"/>
    </row>
    <row r="3487" spans="3:7" x14ac:dyDescent="0.2">
      <c r="C3487" s="105"/>
      <c r="D3487" s="4"/>
      <c r="E3487" s="39"/>
      <c r="F3487" s="106"/>
      <c r="G3487" s="7"/>
    </row>
    <row r="3488" spans="3:7" x14ac:dyDescent="0.2">
      <c r="C3488" s="105"/>
      <c r="D3488" s="4"/>
      <c r="E3488" s="39"/>
      <c r="F3488" s="106"/>
      <c r="G3488" s="7"/>
    </row>
    <row r="3489" spans="3:7" x14ac:dyDescent="0.2">
      <c r="C3489" s="105"/>
      <c r="D3489" s="4"/>
      <c r="E3489" s="39"/>
      <c r="F3489" s="106"/>
      <c r="G3489" s="7"/>
    </row>
    <row r="3490" spans="3:7" x14ac:dyDescent="0.2">
      <c r="C3490" s="105"/>
      <c r="D3490" s="4"/>
      <c r="E3490" s="39"/>
      <c r="F3490" s="106"/>
      <c r="G3490" s="7"/>
    </row>
    <row r="3491" spans="3:7" x14ac:dyDescent="0.2">
      <c r="C3491" s="105"/>
      <c r="D3491" s="4"/>
      <c r="E3491" s="39"/>
      <c r="F3491" s="106"/>
      <c r="G3491" s="7"/>
    </row>
    <row r="3492" spans="3:7" x14ac:dyDescent="0.2">
      <c r="C3492" s="105"/>
      <c r="D3492" s="4"/>
      <c r="E3492" s="39"/>
      <c r="F3492" s="106"/>
      <c r="G3492" s="7"/>
    </row>
    <row r="3493" spans="3:7" x14ac:dyDescent="0.2">
      <c r="C3493" s="105"/>
      <c r="D3493" s="4"/>
      <c r="E3493" s="39"/>
      <c r="F3493" s="106"/>
      <c r="G3493" s="7"/>
    </row>
    <row r="3494" spans="3:7" x14ac:dyDescent="0.2">
      <c r="C3494" s="105"/>
      <c r="D3494" s="4"/>
      <c r="E3494" s="39"/>
      <c r="F3494" s="106"/>
      <c r="G3494" s="7"/>
    </row>
    <row r="3495" spans="3:7" x14ac:dyDescent="0.2">
      <c r="C3495" s="105"/>
      <c r="D3495" s="4"/>
      <c r="E3495" s="39"/>
      <c r="F3495" s="106"/>
      <c r="G3495" s="7"/>
    </row>
    <row r="3496" spans="3:7" x14ac:dyDescent="0.2">
      <c r="C3496" s="105"/>
      <c r="D3496" s="4"/>
      <c r="E3496" s="39"/>
      <c r="F3496" s="106"/>
      <c r="G3496" s="7"/>
    </row>
    <row r="3497" spans="3:7" x14ac:dyDescent="0.2">
      <c r="C3497" s="105"/>
      <c r="D3497" s="4"/>
      <c r="E3497" s="39"/>
      <c r="F3497" s="106"/>
      <c r="G3497" s="7"/>
    </row>
    <row r="3498" spans="3:7" x14ac:dyDescent="0.2">
      <c r="C3498" s="105"/>
      <c r="D3498" s="4"/>
      <c r="E3498" s="39"/>
      <c r="F3498" s="106"/>
      <c r="G3498" s="7"/>
    </row>
    <row r="3499" spans="3:7" x14ac:dyDescent="0.2">
      <c r="C3499" s="105"/>
      <c r="D3499" s="4"/>
      <c r="E3499" s="39"/>
      <c r="F3499" s="106"/>
      <c r="G3499" s="7"/>
    </row>
    <row r="3500" spans="3:7" x14ac:dyDescent="0.2">
      <c r="C3500" s="105"/>
      <c r="D3500" s="4"/>
      <c r="E3500" s="39"/>
      <c r="F3500" s="106"/>
      <c r="G3500" s="7"/>
    </row>
    <row r="3501" spans="3:7" x14ac:dyDescent="0.2">
      <c r="C3501" s="105"/>
      <c r="D3501" s="4"/>
      <c r="E3501" s="39"/>
      <c r="F3501" s="106"/>
      <c r="G3501" s="7"/>
    </row>
    <row r="3502" spans="3:7" x14ac:dyDescent="0.2">
      <c r="C3502" s="105"/>
      <c r="D3502" s="4"/>
      <c r="E3502" s="39"/>
      <c r="F3502" s="106"/>
      <c r="G3502" s="7"/>
    </row>
    <row r="3503" spans="3:7" x14ac:dyDescent="0.2">
      <c r="C3503" s="105"/>
      <c r="D3503" s="4"/>
      <c r="E3503" s="39"/>
      <c r="F3503" s="106"/>
      <c r="G3503" s="7"/>
    </row>
    <row r="3504" spans="3:7" x14ac:dyDescent="0.2">
      <c r="C3504" s="105"/>
      <c r="D3504" s="4"/>
      <c r="E3504" s="39"/>
      <c r="F3504" s="106"/>
      <c r="G3504" s="7"/>
    </row>
    <row r="3505" spans="3:7" x14ac:dyDescent="0.2">
      <c r="C3505" s="105"/>
      <c r="D3505" s="4"/>
      <c r="E3505" s="39"/>
      <c r="F3505" s="106"/>
      <c r="G3505" s="7"/>
    </row>
    <row r="3506" spans="3:7" x14ac:dyDescent="0.2">
      <c r="C3506" s="105"/>
      <c r="D3506" s="4"/>
      <c r="E3506" s="39"/>
      <c r="F3506" s="106"/>
      <c r="G3506" s="7"/>
    </row>
    <row r="3507" spans="3:7" x14ac:dyDescent="0.2">
      <c r="C3507" s="105"/>
      <c r="D3507" s="4"/>
      <c r="E3507" s="39"/>
      <c r="F3507" s="106"/>
      <c r="G3507" s="7"/>
    </row>
    <row r="3508" spans="3:7" x14ac:dyDescent="0.2">
      <c r="C3508" s="105"/>
      <c r="D3508" s="4"/>
      <c r="E3508" s="39"/>
      <c r="F3508" s="106"/>
      <c r="G3508" s="7"/>
    </row>
    <row r="3509" spans="3:7" x14ac:dyDescent="0.2">
      <c r="C3509" s="105"/>
      <c r="D3509" s="4"/>
      <c r="E3509" s="39"/>
      <c r="F3509" s="106"/>
      <c r="G3509" s="7"/>
    </row>
    <row r="3510" spans="3:7" x14ac:dyDescent="0.2">
      <c r="C3510" s="105"/>
      <c r="D3510" s="4"/>
      <c r="E3510" s="39"/>
      <c r="F3510" s="106"/>
      <c r="G3510" s="7"/>
    </row>
    <row r="3511" spans="3:7" x14ac:dyDescent="0.2">
      <c r="C3511" s="105"/>
      <c r="D3511" s="4"/>
      <c r="E3511" s="39"/>
      <c r="F3511" s="106"/>
      <c r="G3511" s="7"/>
    </row>
    <row r="3512" spans="3:7" x14ac:dyDescent="0.2">
      <c r="C3512" s="105"/>
      <c r="D3512" s="4"/>
      <c r="E3512" s="39"/>
      <c r="F3512" s="106"/>
      <c r="G3512" s="7"/>
    </row>
    <row r="3513" spans="3:7" x14ac:dyDescent="0.2">
      <c r="C3513" s="105"/>
      <c r="D3513" s="4"/>
      <c r="E3513" s="39"/>
      <c r="F3513" s="106"/>
      <c r="G3513" s="7"/>
    </row>
    <row r="3514" spans="3:7" x14ac:dyDescent="0.2">
      <c r="C3514" s="105"/>
      <c r="D3514" s="4"/>
      <c r="E3514" s="39"/>
      <c r="F3514" s="106"/>
      <c r="G3514" s="7"/>
    </row>
    <row r="3515" spans="3:7" x14ac:dyDescent="0.2">
      <c r="C3515" s="105"/>
      <c r="D3515" s="4"/>
      <c r="E3515" s="39"/>
      <c r="F3515" s="106"/>
      <c r="G3515" s="7"/>
    </row>
    <row r="3516" spans="3:7" x14ac:dyDescent="0.2">
      <c r="C3516" s="105"/>
      <c r="D3516" s="4"/>
      <c r="E3516" s="39"/>
      <c r="F3516" s="106"/>
      <c r="G3516" s="7"/>
    </row>
    <row r="3517" spans="3:7" x14ac:dyDescent="0.2">
      <c r="C3517" s="105"/>
      <c r="D3517" s="4"/>
      <c r="E3517" s="39"/>
      <c r="F3517" s="106"/>
      <c r="G3517" s="7"/>
    </row>
    <row r="3518" spans="3:7" x14ac:dyDescent="0.2">
      <c r="C3518" s="105"/>
      <c r="D3518" s="4"/>
      <c r="E3518" s="39"/>
      <c r="F3518" s="106"/>
      <c r="G3518" s="7"/>
    </row>
    <row r="3519" spans="3:7" x14ac:dyDescent="0.2">
      <c r="C3519" s="105"/>
      <c r="D3519" s="4"/>
      <c r="E3519" s="39"/>
      <c r="F3519" s="106"/>
      <c r="G3519" s="7"/>
    </row>
    <row r="3520" spans="3:7" x14ac:dyDescent="0.2">
      <c r="C3520" s="105"/>
      <c r="D3520" s="4"/>
      <c r="E3520" s="39"/>
      <c r="F3520" s="106"/>
      <c r="G3520" s="7"/>
    </row>
    <row r="3521" spans="3:7" x14ac:dyDescent="0.2">
      <c r="C3521" s="105"/>
      <c r="D3521" s="4"/>
      <c r="E3521" s="39"/>
      <c r="F3521" s="106"/>
      <c r="G3521" s="7"/>
    </row>
    <row r="3522" spans="3:7" x14ac:dyDescent="0.2">
      <c r="C3522" s="105"/>
      <c r="D3522" s="4"/>
      <c r="E3522" s="39"/>
      <c r="F3522" s="106"/>
      <c r="G3522" s="7"/>
    </row>
    <row r="3523" spans="3:7" x14ac:dyDescent="0.2">
      <c r="C3523" s="105"/>
      <c r="D3523" s="4"/>
      <c r="E3523" s="39"/>
      <c r="F3523" s="106"/>
      <c r="G3523" s="7"/>
    </row>
    <row r="3524" spans="3:7" x14ac:dyDescent="0.2">
      <c r="C3524" s="105"/>
      <c r="D3524" s="4"/>
      <c r="E3524" s="39"/>
      <c r="F3524" s="106"/>
      <c r="G3524" s="7"/>
    </row>
    <row r="3525" spans="3:7" x14ac:dyDescent="0.2">
      <c r="C3525" s="105"/>
      <c r="D3525" s="4"/>
      <c r="E3525" s="39"/>
      <c r="F3525" s="106"/>
      <c r="G3525" s="7"/>
    </row>
    <row r="3526" spans="3:7" x14ac:dyDescent="0.2">
      <c r="C3526" s="105"/>
      <c r="D3526" s="4"/>
      <c r="E3526" s="39"/>
      <c r="F3526" s="106"/>
      <c r="G3526" s="7"/>
    </row>
    <row r="3527" spans="3:7" x14ac:dyDescent="0.2">
      <c r="C3527" s="105"/>
      <c r="D3527" s="4"/>
      <c r="E3527" s="39"/>
      <c r="F3527" s="106"/>
      <c r="G3527" s="7"/>
    </row>
    <row r="3528" spans="3:7" x14ac:dyDescent="0.2">
      <c r="C3528" s="105"/>
      <c r="D3528" s="4"/>
      <c r="E3528" s="39"/>
      <c r="F3528" s="106"/>
      <c r="G3528" s="7"/>
    </row>
    <row r="3529" spans="3:7" x14ac:dyDescent="0.2">
      <c r="C3529" s="105"/>
      <c r="D3529" s="4"/>
      <c r="E3529" s="39"/>
      <c r="F3529" s="106"/>
      <c r="G3529" s="7"/>
    </row>
    <row r="3530" spans="3:7" x14ac:dyDescent="0.2">
      <c r="C3530" s="105"/>
      <c r="D3530" s="4"/>
      <c r="E3530" s="39"/>
      <c r="F3530" s="106"/>
      <c r="G3530" s="7"/>
    </row>
    <row r="3531" spans="3:7" x14ac:dyDescent="0.2">
      <c r="C3531" s="105"/>
      <c r="D3531" s="4"/>
      <c r="E3531" s="39"/>
      <c r="F3531" s="106"/>
      <c r="G3531" s="7"/>
    </row>
    <row r="3532" spans="3:7" x14ac:dyDescent="0.2">
      <c r="C3532" s="105"/>
      <c r="D3532" s="4"/>
      <c r="E3532" s="39"/>
      <c r="F3532" s="106"/>
      <c r="G3532" s="7"/>
    </row>
    <row r="3533" spans="3:7" x14ac:dyDescent="0.2">
      <c r="C3533" s="105"/>
      <c r="D3533" s="4"/>
      <c r="E3533" s="39"/>
      <c r="F3533" s="106"/>
      <c r="G3533" s="7"/>
    </row>
    <row r="3534" spans="3:7" x14ac:dyDescent="0.2">
      <c r="C3534" s="105"/>
      <c r="D3534" s="4"/>
      <c r="E3534" s="39"/>
      <c r="F3534" s="106"/>
      <c r="G3534" s="7"/>
    </row>
    <row r="3535" spans="3:7" x14ac:dyDescent="0.2">
      <c r="C3535" s="105"/>
      <c r="D3535" s="4"/>
      <c r="E3535" s="39"/>
      <c r="F3535" s="106"/>
      <c r="G3535" s="7"/>
    </row>
    <row r="3536" spans="3:7" x14ac:dyDescent="0.2">
      <c r="C3536" s="105"/>
      <c r="D3536" s="4"/>
      <c r="E3536" s="39"/>
      <c r="F3536" s="106"/>
      <c r="G3536" s="7"/>
    </row>
    <row r="3537" spans="3:7" x14ac:dyDescent="0.2">
      <c r="C3537" s="105"/>
      <c r="D3537" s="4"/>
      <c r="E3537" s="39"/>
      <c r="F3537" s="106"/>
      <c r="G3537" s="7"/>
    </row>
    <row r="3538" spans="3:7" x14ac:dyDescent="0.2">
      <c r="C3538" s="105"/>
      <c r="D3538" s="4"/>
      <c r="E3538" s="39"/>
      <c r="F3538" s="106"/>
      <c r="G3538" s="7"/>
    </row>
    <row r="3539" spans="3:7" x14ac:dyDescent="0.2">
      <c r="C3539" s="105"/>
      <c r="D3539" s="4"/>
      <c r="E3539" s="39"/>
      <c r="F3539" s="106"/>
      <c r="G3539" s="7"/>
    </row>
    <row r="3540" spans="3:7" x14ac:dyDescent="0.2">
      <c r="C3540" s="105"/>
      <c r="D3540" s="4"/>
      <c r="E3540" s="39"/>
      <c r="F3540" s="106"/>
      <c r="G3540" s="7"/>
    </row>
    <row r="3541" spans="3:7" x14ac:dyDescent="0.2">
      <c r="C3541" s="105"/>
      <c r="D3541" s="4"/>
      <c r="E3541" s="39"/>
      <c r="F3541" s="106"/>
      <c r="G3541" s="7"/>
    </row>
    <row r="3542" spans="3:7" x14ac:dyDescent="0.2">
      <c r="C3542" s="105"/>
      <c r="D3542" s="4"/>
      <c r="E3542" s="39"/>
      <c r="F3542" s="106"/>
      <c r="G3542" s="7"/>
    </row>
    <row r="3543" spans="3:7" x14ac:dyDescent="0.2">
      <c r="C3543" s="105"/>
      <c r="D3543" s="4"/>
      <c r="E3543" s="39"/>
      <c r="F3543" s="106"/>
      <c r="G3543" s="7"/>
    </row>
    <row r="3544" spans="3:7" x14ac:dyDescent="0.2">
      <c r="C3544" s="105"/>
      <c r="D3544" s="4"/>
      <c r="E3544" s="39"/>
      <c r="F3544" s="106"/>
      <c r="G3544" s="7"/>
    </row>
    <row r="3545" spans="3:7" x14ac:dyDescent="0.2">
      <c r="C3545" s="105"/>
      <c r="D3545" s="4"/>
      <c r="E3545" s="39"/>
      <c r="F3545" s="106"/>
      <c r="G3545" s="7"/>
    </row>
    <row r="3546" spans="3:7" x14ac:dyDescent="0.2">
      <c r="C3546" s="105"/>
      <c r="D3546" s="4"/>
      <c r="E3546" s="39"/>
      <c r="F3546" s="106"/>
      <c r="G3546" s="7"/>
    </row>
    <row r="3547" spans="3:7" x14ac:dyDescent="0.2">
      <c r="C3547" s="105"/>
      <c r="D3547" s="4"/>
      <c r="E3547" s="39"/>
      <c r="F3547" s="106"/>
      <c r="G3547" s="7"/>
    </row>
    <row r="3548" spans="3:7" x14ac:dyDescent="0.2">
      <c r="C3548" s="105"/>
      <c r="D3548" s="4"/>
      <c r="E3548" s="39"/>
      <c r="F3548" s="106"/>
      <c r="G3548" s="7"/>
    </row>
    <row r="3549" spans="3:7" x14ac:dyDescent="0.2">
      <c r="C3549" s="105"/>
      <c r="D3549" s="4"/>
      <c r="E3549" s="39"/>
      <c r="F3549" s="106"/>
      <c r="G3549" s="7"/>
    </row>
    <row r="3550" spans="3:7" x14ac:dyDescent="0.2">
      <c r="C3550" s="105"/>
      <c r="D3550" s="4"/>
      <c r="E3550" s="39"/>
      <c r="F3550" s="106"/>
      <c r="G3550" s="7"/>
    </row>
    <row r="3551" spans="3:7" x14ac:dyDescent="0.2">
      <c r="C3551" s="105"/>
      <c r="D3551" s="4"/>
      <c r="E3551" s="39"/>
      <c r="F3551" s="106"/>
      <c r="G3551" s="7"/>
    </row>
    <row r="3552" spans="3:7" x14ac:dyDescent="0.2">
      <c r="C3552" s="105"/>
      <c r="D3552" s="4"/>
      <c r="E3552" s="39"/>
      <c r="F3552" s="106"/>
      <c r="G3552" s="7"/>
    </row>
    <row r="3553" spans="3:7" x14ac:dyDescent="0.2">
      <c r="C3553" s="105"/>
      <c r="D3553" s="4"/>
      <c r="E3553" s="39"/>
      <c r="F3553" s="106"/>
      <c r="G3553" s="7"/>
    </row>
    <row r="3554" spans="3:7" x14ac:dyDescent="0.2">
      <c r="C3554" s="105"/>
      <c r="D3554" s="4"/>
      <c r="E3554" s="39"/>
      <c r="F3554" s="106"/>
      <c r="G3554" s="7"/>
    </row>
    <row r="3555" spans="3:7" x14ac:dyDescent="0.2">
      <c r="C3555" s="105"/>
      <c r="D3555" s="4"/>
      <c r="E3555" s="39"/>
      <c r="F3555" s="106"/>
      <c r="G3555" s="7"/>
    </row>
    <row r="3556" spans="3:7" x14ac:dyDescent="0.2">
      <c r="C3556" s="105"/>
      <c r="D3556" s="4"/>
      <c r="E3556" s="39"/>
      <c r="F3556" s="106"/>
      <c r="G3556" s="7"/>
    </row>
    <row r="3557" spans="3:7" x14ac:dyDescent="0.2">
      <c r="C3557" s="105"/>
      <c r="D3557" s="4"/>
      <c r="E3557" s="39"/>
      <c r="F3557" s="106"/>
      <c r="G3557" s="7"/>
    </row>
    <row r="3558" spans="3:7" x14ac:dyDescent="0.2">
      <c r="C3558" s="105"/>
      <c r="D3558" s="4"/>
      <c r="E3558" s="39"/>
      <c r="F3558" s="106"/>
      <c r="G3558" s="7"/>
    </row>
    <row r="3559" spans="3:7" x14ac:dyDescent="0.2">
      <c r="C3559" s="105"/>
      <c r="D3559" s="4"/>
      <c r="E3559" s="39"/>
      <c r="F3559" s="106"/>
      <c r="G3559" s="7"/>
    </row>
    <row r="3560" spans="3:7" x14ac:dyDescent="0.2">
      <c r="C3560" s="105"/>
      <c r="D3560" s="4"/>
      <c r="E3560" s="39"/>
      <c r="F3560" s="106"/>
      <c r="G3560" s="7"/>
    </row>
    <row r="3561" spans="3:7" x14ac:dyDescent="0.2">
      <c r="C3561" s="105"/>
      <c r="D3561" s="4"/>
      <c r="E3561" s="39"/>
      <c r="F3561" s="106"/>
      <c r="G3561" s="7"/>
    </row>
    <row r="3562" spans="3:7" x14ac:dyDescent="0.2">
      <c r="C3562" s="105"/>
      <c r="D3562" s="4"/>
      <c r="E3562" s="39"/>
      <c r="F3562" s="106"/>
      <c r="G3562" s="7"/>
    </row>
    <row r="3563" spans="3:7" x14ac:dyDescent="0.2">
      <c r="C3563" s="105"/>
      <c r="D3563" s="4"/>
      <c r="E3563" s="39"/>
      <c r="F3563" s="106"/>
      <c r="G3563" s="7"/>
    </row>
    <row r="3564" spans="3:7" x14ac:dyDescent="0.2">
      <c r="C3564" s="105"/>
      <c r="D3564" s="4"/>
      <c r="E3564" s="39"/>
      <c r="F3564" s="106"/>
      <c r="G3564" s="7"/>
    </row>
    <row r="3565" spans="3:7" x14ac:dyDescent="0.2">
      <c r="C3565" s="105"/>
      <c r="D3565" s="4"/>
      <c r="E3565" s="39"/>
      <c r="F3565" s="106"/>
      <c r="G3565" s="7"/>
    </row>
    <row r="3566" spans="3:7" x14ac:dyDescent="0.2">
      <c r="C3566" s="105"/>
      <c r="D3566" s="4"/>
      <c r="E3566" s="39"/>
      <c r="F3566" s="106"/>
      <c r="G3566" s="7"/>
    </row>
    <row r="3567" spans="3:7" x14ac:dyDescent="0.2">
      <c r="C3567" s="105"/>
      <c r="D3567" s="4"/>
      <c r="E3567" s="39"/>
      <c r="F3567" s="106"/>
      <c r="G3567" s="7"/>
    </row>
    <row r="3568" spans="3:7" x14ac:dyDescent="0.2">
      <c r="C3568" s="105"/>
      <c r="D3568" s="4"/>
      <c r="E3568" s="39"/>
      <c r="F3568" s="106"/>
      <c r="G3568" s="7"/>
    </row>
    <row r="3569" spans="3:7" x14ac:dyDescent="0.2">
      <c r="C3569" s="105"/>
      <c r="D3569" s="4"/>
      <c r="E3569" s="39"/>
      <c r="F3569" s="106"/>
      <c r="G3569" s="7"/>
    </row>
    <row r="3570" spans="3:7" x14ac:dyDescent="0.2">
      <c r="C3570" s="105"/>
      <c r="D3570" s="4"/>
      <c r="E3570" s="39"/>
      <c r="F3570" s="106"/>
      <c r="G3570" s="7"/>
    </row>
    <row r="3571" spans="3:7" x14ac:dyDescent="0.2">
      <c r="C3571" s="105"/>
      <c r="D3571" s="4"/>
      <c r="E3571" s="39"/>
      <c r="F3571" s="106"/>
      <c r="G3571" s="7"/>
    </row>
    <row r="3572" spans="3:7" x14ac:dyDescent="0.2">
      <c r="C3572" s="105"/>
      <c r="D3572" s="4"/>
      <c r="E3572" s="39"/>
      <c r="F3572" s="106"/>
      <c r="G3572" s="7"/>
    </row>
    <row r="3573" spans="3:7" x14ac:dyDescent="0.2">
      <c r="C3573" s="105"/>
      <c r="D3573" s="4"/>
      <c r="E3573" s="39"/>
      <c r="F3573" s="106"/>
      <c r="G3573" s="7"/>
    </row>
    <row r="3574" spans="3:7" x14ac:dyDescent="0.2">
      <c r="C3574" s="105"/>
      <c r="D3574" s="4"/>
      <c r="E3574" s="39"/>
      <c r="F3574" s="106"/>
      <c r="G3574" s="7"/>
    </row>
    <row r="3575" spans="3:7" x14ac:dyDescent="0.2">
      <c r="C3575" s="105"/>
      <c r="D3575" s="4"/>
      <c r="E3575" s="39"/>
      <c r="F3575" s="106"/>
      <c r="G3575" s="7"/>
    </row>
    <row r="3576" spans="3:7" x14ac:dyDescent="0.2">
      <c r="C3576" s="105"/>
      <c r="D3576" s="4"/>
      <c r="E3576" s="39"/>
      <c r="F3576" s="106"/>
      <c r="G3576" s="7"/>
    </row>
    <row r="3577" spans="3:7" x14ac:dyDescent="0.2">
      <c r="C3577" s="105"/>
      <c r="D3577" s="4"/>
      <c r="E3577" s="39"/>
      <c r="F3577" s="106"/>
      <c r="G3577" s="7"/>
    </row>
    <row r="3578" spans="3:7" x14ac:dyDescent="0.2">
      <c r="C3578" s="105"/>
      <c r="D3578" s="4"/>
      <c r="E3578" s="39"/>
      <c r="F3578" s="106"/>
      <c r="G3578" s="7"/>
    </row>
    <row r="3579" spans="3:7" x14ac:dyDescent="0.2">
      <c r="C3579" s="105"/>
      <c r="D3579" s="4"/>
      <c r="E3579" s="39"/>
      <c r="F3579" s="106"/>
      <c r="G3579" s="7"/>
    </row>
    <row r="3580" spans="3:7" x14ac:dyDescent="0.2">
      <c r="C3580" s="105"/>
      <c r="D3580" s="4"/>
      <c r="E3580" s="39"/>
      <c r="F3580" s="106"/>
      <c r="G3580" s="7"/>
    </row>
    <row r="3581" spans="3:7" x14ac:dyDescent="0.2">
      <c r="C3581" s="105"/>
      <c r="D3581" s="4"/>
      <c r="E3581" s="39"/>
      <c r="F3581" s="106"/>
      <c r="G3581" s="7"/>
    </row>
    <row r="3582" spans="3:7" x14ac:dyDescent="0.2">
      <c r="C3582" s="105"/>
      <c r="D3582" s="4"/>
      <c r="E3582" s="39"/>
      <c r="F3582" s="106"/>
      <c r="G3582" s="7"/>
    </row>
    <row r="3583" spans="3:7" x14ac:dyDescent="0.2">
      <c r="C3583" s="105"/>
      <c r="D3583" s="4"/>
      <c r="E3583" s="39"/>
      <c r="F3583" s="106"/>
      <c r="G3583" s="7"/>
    </row>
    <row r="3584" spans="3:7" x14ac:dyDescent="0.2">
      <c r="C3584" s="105"/>
      <c r="D3584" s="4"/>
      <c r="E3584" s="39"/>
      <c r="F3584" s="106"/>
      <c r="G3584" s="7"/>
    </row>
    <row r="3585" spans="3:7" x14ac:dyDescent="0.2">
      <c r="C3585" s="105"/>
      <c r="D3585" s="4"/>
      <c r="E3585" s="39"/>
      <c r="F3585" s="106"/>
      <c r="G3585" s="7"/>
    </row>
    <row r="3586" spans="3:7" x14ac:dyDescent="0.2">
      <c r="C3586" s="105"/>
      <c r="D3586" s="4"/>
      <c r="E3586" s="39"/>
      <c r="F3586" s="106"/>
      <c r="G3586" s="7"/>
    </row>
    <row r="3587" spans="3:7" x14ac:dyDescent="0.2">
      <c r="C3587" s="105"/>
      <c r="D3587" s="4"/>
      <c r="E3587" s="39"/>
      <c r="F3587" s="106"/>
      <c r="G3587" s="7"/>
    </row>
    <row r="3588" spans="3:7" x14ac:dyDescent="0.2">
      <c r="C3588" s="105"/>
      <c r="D3588" s="4"/>
      <c r="E3588" s="39"/>
      <c r="F3588" s="106"/>
      <c r="G3588" s="7"/>
    </row>
    <row r="3589" spans="3:7" x14ac:dyDescent="0.2">
      <c r="C3589" s="105"/>
      <c r="D3589" s="4"/>
      <c r="E3589" s="39"/>
      <c r="F3589" s="106"/>
      <c r="G3589" s="7"/>
    </row>
    <row r="3590" spans="3:7" x14ac:dyDescent="0.2">
      <c r="C3590" s="105"/>
      <c r="D3590" s="4"/>
      <c r="E3590" s="39"/>
      <c r="F3590" s="106"/>
      <c r="G3590" s="7"/>
    </row>
    <row r="3591" spans="3:7" x14ac:dyDescent="0.2">
      <c r="C3591" s="105"/>
      <c r="D3591" s="4"/>
      <c r="E3591" s="39"/>
      <c r="F3591" s="106"/>
      <c r="G3591" s="7"/>
    </row>
    <row r="3592" spans="3:7" x14ac:dyDescent="0.2">
      <c r="C3592" s="105"/>
      <c r="D3592" s="4"/>
      <c r="E3592" s="39"/>
      <c r="F3592" s="106"/>
      <c r="G3592" s="7"/>
    </row>
    <row r="3593" spans="3:7" x14ac:dyDescent="0.2">
      <c r="C3593" s="105"/>
      <c r="D3593" s="4"/>
      <c r="E3593" s="39"/>
      <c r="F3593" s="106"/>
      <c r="G3593" s="7"/>
    </row>
    <row r="3594" spans="3:7" x14ac:dyDescent="0.2">
      <c r="C3594" s="105"/>
      <c r="D3594" s="4"/>
      <c r="E3594" s="39"/>
      <c r="F3594" s="106"/>
      <c r="G3594" s="7"/>
    </row>
    <row r="3595" spans="3:7" x14ac:dyDescent="0.2">
      <c r="C3595" s="105"/>
      <c r="D3595" s="4"/>
      <c r="E3595" s="39"/>
      <c r="F3595" s="106"/>
      <c r="G3595" s="7"/>
    </row>
    <row r="3596" spans="3:7" x14ac:dyDescent="0.2">
      <c r="C3596" s="105"/>
      <c r="D3596" s="4"/>
      <c r="E3596" s="39"/>
      <c r="F3596" s="106"/>
      <c r="G3596" s="7"/>
    </row>
    <row r="3597" spans="3:7" x14ac:dyDescent="0.2">
      <c r="C3597" s="105"/>
      <c r="D3597" s="4"/>
      <c r="E3597" s="39"/>
      <c r="F3597" s="106"/>
      <c r="G3597" s="7"/>
    </row>
    <row r="3598" spans="3:7" x14ac:dyDescent="0.2">
      <c r="C3598" s="105"/>
      <c r="D3598" s="4"/>
      <c r="E3598" s="39"/>
      <c r="F3598" s="106"/>
      <c r="G3598" s="7"/>
    </row>
    <row r="3599" spans="3:7" x14ac:dyDescent="0.2">
      <c r="C3599" s="105"/>
      <c r="D3599" s="4"/>
      <c r="E3599" s="39"/>
      <c r="F3599" s="106"/>
      <c r="G3599" s="7"/>
    </row>
    <row r="3600" spans="3:7" x14ac:dyDescent="0.2">
      <c r="C3600" s="105"/>
      <c r="D3600" s="4"/>
      <c r="E3600" s="39"/>
      <c r="F3600" s="106"/>
      <c r="G3600" s="7"/>
    </row>
    <row r="3601" spans="3:7" x14ac:dyDescent="0.2">
      <c r="C3601" s="105"/>
      <c r="D3601" s="4"/>
      <c r="E3601" s="39"/>
      <c r="F3601" s="106"/>
      <c r="G3601" s="7"/>
    </row>
    <row r="3602" spans="3:7" x14ac:dyDescent="0.2">
      <c r="C3602" s="105"/>
      <c r="D3602" s="4"/>
      <c r="E3602" s="39"/>
      <c r="F3602" s="106"/>
      <c r="G3602" s="7"/>
    </row>
    <row r="3603" spans="3:7" x14ac:dyDescent="0.2">
      <c r="C3603" s="105"/>
      <c r="D3603" s="4"/>
      <c r="E3603" s="39"/>
      <c r="F3603" s="106"/>
      <c r="G3603" s="7"/>
    </row>
    <row r="3604" spans="3:7" x14ac:dyDescent="0.2">
      <c r="C3604" s="105"/>
      <c r="D3604" s="4"/>
      <c r="E3604" s="39"/>
      <c r="F3604" s="106"/>
      <c r="G3604" s="7"/>
    </row>
    <row r="3605" spans="3:7" x14ac:dyDescent="0.2">
      <c r="C3605" s="105"/>
      <c r="D3605" s="4"/>
      <c r="E3605" s="39"/>
      <c r="F3605" s="106"/>
      <c r="G3605" s="7"/>
    </row>
    <row r="3606" spans="3:7" x14ac:dyDescent="0.2">
      <c r="C3606" s="105"/>
      <c r="D3606" s="4"/>
      <c r="E3606" s="39"/>
      <c r="F3606" s="106"/>
      <c r="G3606" s="7"/>
    </row>
  </sheetData>
  <mergeCells count="1">
    <mergeCell ref="K874:K875"/>
  </mergeCells>
  <conditionalFormatting sqref="N1030:N2000">
    <cfRule type="expression" dxfId="10" priority="1">
      <formula>AND($N1030&lt;788,$N1030&gt;0)</formula>
    </cfRule>
  </conditionalFormatting>
  <pageMargins left="0.7" right="0.7" top="0.75" bottom="0.75" header="0.3" footer="0.3"/>
  <pageSetup orientation="landscape" horizontalDpi="0" verticalDpi="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Nicolás Varas Saavedra</dc:creator>
  <cp:lastModifiedBy>Santiago Nicolás Varas Saavedra</cp:lastModifiedBy>
  <dcterms:created xsi:type="dcterms:W3CDTF">2026-03-05T15:35:56Z</dcterms:created>
  <dcterms:modified xsi:type="dcterms:W3CDTF">2026-03-05T15:37:07Z</dcterms:modified>
</cp:coreProperties>
</file>